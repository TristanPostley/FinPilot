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 codeName="ThisWorkbook"/>
  <bookViews>
    <workbookView windowWidth="28480" windowHeight="11020" tabRatio="675"/>
  </bookViews>
  <sheets>
    <sheet name="Intro" sheetId="2900" r:id="rId1"/>
    <sheet name="Financial Statements" sheetId="1" r:id="rId2"/>
    <sheet name="Ratio Analysis" sheetId="2892" r:id="rId3"/>
    <sheet name="Cash Flow Analysis" sheetId="48" r:id="rId4"/>
    <sheet name="Credit Analysis" sheetId="2911" r:id="rId5"/>
    <sheet name="Forecasting Assumptions" sheetId="52" r:id="rId6"/>
    <sheet name="Valuation Parameters" sheetId="2902" r:id="rId7"/>
    <sheet name="Residual Income Valuations" sheetId="2819" r:id="rId8"/>
    <sheet name="DCF Valuations" sheetId="4" r:id="rId9"/>
    <sheet name="EPS Forecaster" sheetId="2897" r:id="rId10"/>
    <sheet name="Model Summary" sheetId="2903" r:id="rId11"/>
    <sheet name="Case Data" sheetId="2904" r:id="rId12"/>
    <sheet name="Master" sheetId="2912" state="hidden" r:id="rId13"/>
  </sheets>
  <definedNames>
    <definedName name="_xlnm.Print_Area" localSheetId="3">'Cash Flow Analysis'!$A$1:$P$45,'Cash Flow Analysis'!$A$47:$P$116</definedName>
    <definedName name="_xlnm.Print_Area" localSheetId="9">'EPS Forecaster'!$A$1:$G$25</definedName>
    <definedName name="_xlnm.Print_Area" localSheetId="5">'Forecasting Assumptions'!$A$1:$Q$49</definedName>
    <definedName name="_xlnm.Print_Area" localSheetId="6">'Valuation Parameters'!$A$1:$K$20</definedName>
    <definedName name="solver_adj" localSheetId="8" hidden="1">'DCF Valuations'!$B$29</definedName>
    <definedName name="solver_adj" localSheetId="5" hidden="1">'Forecasting Assumptions'!$Q$15</definedName>
    <definedName name="solver_adj" localSheetId="0" hidden="1">Intro!$Y$11</definedName>
    <definedName name="solver_adj" localSheetId="7" hidden="1">'Residual Income Valuations'!$B$34</definedName>
    <definedName name="solver_cvg" localSheetId="8" hidden="1">0.001</definedName>
    <definedName name="solver_cvg" localSheetId="5" hidden="1">0.001</definedName>
    <definedName name="solver_cvg" localSheetId="7" hidden="1">0.001</definedName>
    <definedName name="solver_drv" localSheetId="8" hidden="1">1</definedName>
    <definedName name="solver_drv" localSheetId="5" hidden="1">1</definedName>
    <definedName name="solver_drv" localSheetId="7" hidden="1">1</definedName>
    <definedName name="solver_est" localSheetId="8" hidden="1">1</definedName>
    <definedName name="solver_est" localSheetId="5" hidden="1">1</definedName>
    <definedName name="solver_est" localSheetId="7" hidden="1">1</definedName>
    <definedName name="solver_itr" localSheetId="8" hidden="1">100</definedName>
    <definedName name="solver_itr" localSheetId="5" hidden="1">100</definedName>
    <definedName name="solver_itr" localSheetId="7" hidden="1">100</definedName>
    <definedName name="solver_lin" localSheetId="8" hidden="1">2</definedName>
    <definedName name="solver_lin" localSheetId="5" hidden="1">2</definedName>
    <definedName name="solver_lin" localSheetId="7" hidden="1">2</definedName>
    <definedName name="solver_neg" localSheetId="8" hidden="1">2</definedName>
    <definedName name="solver_neg" localSheetId="5" hidden="1">2</definedName>
    <definedName name="solver_neg" localSheetId="7" hidden="1">2</definedName>
    <definedName name="solver_num" localSheetId="8" hidden="1">0</definedName>
    <definedName name="solver_num" localSheetId="5" hidden="1">0</definedName>
    <definedName name="solver_num" localSheetId="7" hidden="1">0</definedName>
    <definedName name="solver_nwt" localSheetId="8" hidden="1">1</definedName>
    <definedName name="solver_nwt" localSheetId="5" hidden="1">1</definedName>
    <definedName name="solver_nwt" localSheetId="7" hidden="1">1</definedName>
    <definedName name="solver_opt" localSheetId="8" hidden="1">'DCF Valuations'!$A$11</definedName>
    <definedName name="solver_opt" localSheetId="5" hidden="1">'Forecasting Assumptions'!#REF!</definedName>
    <definedName name="solver_opt" localSheetId="0" hidden="1">Intro!$Z$42</definedName>
    <definedName name="solver_opt" localSheetId="7" hidden="1">'Residual Income Valuations'!$A$11</definedName>
    <definedName name="solver_pre" localSheetId="8" hidden="1">0.000001</definedName>
    <definedName name="solver_pre" localSheetId="5" hidden="1">0.000001</definedName>
    <definedName name="solver_pre" localSheetId="7" hidden="1">0.000001</definedName>
    <definedName name="solver_scl" localSheetId="8" hidden="1">2</definedName>
    <definedName name="solver_scl" localSheetId="5" hidden="1">2</definedName>
    <definedName name="solver_scl" localSheetId="7" hidden="1">2</definedName>
    <definedName name="solver_sho" localSheetId="8" hidden="1">2</definedName>
    <definedName name="solver_sho" localSheetId="5" hidden="1">2</definedName>
    <definedName name="solver_sho" localSheetId="7" hidden="1">2</definedName>
    <definedName name="solver_tim" localSheetId="8" hidden="1">100</definedName>
    <definedName name="solver_tim" localSheetId="5" hidden="1">100</definedName>
    <definedName name="solver_tim" localSheetId="7" hidden="1">100</definedName>
    <definedName name="solver_tol" localSheetId="8" hidden="1">0.05</definedName>
    <definedName name="solver_tol" localSheetId="5" hidden="1">0.05</definedName>
    <definedName name="solver_tol" localSheetId="7" hidden="1">0.05</definedName>
    <definedName name="solver_typ" localSheetId="8" hidden="1">3</definedName>
    <definedName name="solver_typ" localSheetId="5" hidden="1">3</definedName>
    <definedName name="solver_typ" localSheetId="0" hidden="1">3</definedName>
    <definedName name="solver_typ" localSheetId="7" hidden="1">3</definedName>
    <definedName name="solver_val" localSheetId="8" hidden="1">1</definedName>
    <definedName name="solver_val" localSheetId="5" hidden="1">0</definedName>
    <definedName name="solver_val" localSheetId="0" hidden="1">0</definedName>
    <definedName name="solver_val" localSheetId="7" hidden="1">1</definedName>
  </definedNames>
  <calcPr calcId="191029"/>
  <customWorkbookViews>
    <customWorkbookView name="russell's view" guid="{0C8E75F0-104F-11D3-8830-006008AC4B3E}" maximized="1" windowWidth="1020" windowHeight="579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<sst xmlns="http://schemas.openxmlformats.org/spreadsheetml/2006/main" count="15597" uniqueCount="9349">
  <si>
    <t>STEPS:</t>
  </si>
  <si>
    <t>1) enter financial data on the Financial Statements sheet,</t>
  </si>
  <si>
    <t>2) examine the Ratio Analysis and Cash Flow Analysis,</t>
  </si>
  <si>
    <t xml:space="preserve">3) enter forecasts on the Forecasting Assumptions sheet to predict the future Financial Statements, </t>
  </si>
  <si>
    <t>4) enter cost of capital assumptions on the Valuation Parameters Sheet to determine the company's value,</t>
  </si>
  <si>
    <t>5) evaluate the details of the resulting valuation using either the Residual Income or Discounted Cash Flow Valuations.</t>
  </si>
  <si>
    <t>Financial Statements</t>
  </si>
  <si>
    <t>($000s)</t>
  </si>
  <si>
    <t>Data can be entered manually in financial statements or as a block cut-and-paste from the Case Data Sheet to the Raw Data Input section below.</t>
  </si>
  <si>
    <t>Jump to Raw Data Input</t>
  </si>
  <si>
    <t>Company Name, Ticker and SIC</t>
  </si>
  <si>
    <t>Common Shares Outstanding</t>
  </si>
  <si>
    <t xml:space="preserve">  (in 000s at most recent fiscal year end)</t>
  </si>
  <si>
    <t>Link to Industry Comps</t>
  </si>
  <si>
    <t>Actual</t>
  </si>
  <si>
    <t>Forecast</t>
  </si>
  <si>
    <t>Fiscal Year End (YYYY-MM-DD)</t>
  </si>
  <si>
    <t>Income Statement</t>
  </si>
  <si>
    <t>Sales (Net)</t>
  </si>
  <si>
    <t>Cost of Goods Sold</t>
  </si>
  <si>
    <t>Gross Profit</t>
  </si>
  <si>
    <t>R&amp;D Expense</t>
  </si>
  <si>
    <t>SG&amp;A Expense</t>
  </si>
  <si>
    <t>EBITDA</t>
  </si>
  <si>
    <t>Depreciation &amp; Amortization</t>
  </si>
  <si>
    <t>EBIT</t>
  </si>
  <si>
    <t>Net Interest Expense</t>
  </si>
  <si>
    <t>Non-Operating Income (Loss)</t>
  </si>
  <si>
    <t>EBT</t>
  </si>
  <si>
    <t>Income Taxes</t>
  </si>
  <si>
    <t>Other Income (Loss)</t>
  </si>
  <si>
    <t>Net Income Before Ext. Items</t>
  </si>
  <si>
    <t>Ext. Items &amp; Disc. Ops.</t>
  </si>
  <si>
    <t>Noncontrolling Interest in Earnings</t>
  </si>
  <si>
    <t>Preferred Dividends</t>
  </si>
  <si>
    <t>Net Income (available to common)</t>
  </si>
  <si>
    <t/>
  </si>
  <si>
    <t>Balance Sheet</t>
  </si>
  <si>
    <t>Operating Cash and Market. Sec.</t>
  </si>
  <si>
    <t>Receivables</t>
  </si>
  <si>
    <t>Inventories</t>
  </si>
  <si>
    <t>Other Current Assets</t>
  </si>
  <si>
    <t>Total Current Assets</t>
  </si>
  <si>
    <t>PP&amp;E (Net)</t>
  </si>
  <si>
    <t>Investments</t>
  </si>
  <si>
    <t>Intangibles</t>
  </si>
  <si>
    <t>Other Assets</t>
  </si>
  <si>
    <t>Total Assets</t>
  </si>
  <si>
    <t>Current Debt</t>
  </si>
  <si>
    <t>Accounts Payable</t>
  </si>
  <si>
    <t>Income Taxes Payable</t>
  </si>
  <si>
    <t>Other Current Liabilities</t>
  </si>
  <si>
    <t>Total Current Liabilities</t>
  </si>
  <si>
    <t>Long-Term Debt</t>
  </si>
  <si>
    <t>Other Liabilities</t>
  </si>
  <si>
    <t>Deferred Taxes</t>
  </si>
  <si>
    <t>Total Liabilities</t>
  </si>
  <si>
    <t>Noncontrolling Interest</t>
  </si>
  <si>
    <t>Preferred Stock</t>
  </si>
  <si>
    <t>Paid in Common Capital (Net)</t>
  </si>
  <si>
    <t>Retained Earnings</t>
  </si>
  <si>
    <t>Total Common Equity</t>
  </si>
  <si>
    <t>Total Liabilities and Equity</t>
  </si>
  <si>
    <t>Statement of Retained Earnings</t>
  </si>
  <si>
    <t>Beg. Retained Earnings</t>
  </si>
  <si>
    <t>+Net Income</t>
  </si>
  <si>
    <t>-Common Dividends</t>
  </si>
  <si>
    <t>+/-Clean Surplus Plug (Ignore)</t>
  </si>
  <si>
    <t>=End. Retained Earnings</t>
  </si>
  <si>
    <t>Values for Dupont Analysis and Valuation</t>
  </si>
  <si>
    <t>Net Operating Income</t>
  </si>
  <si>
    <t>Net Financial Expense</t>
  </si>
  <si>
    <t>Net Income</t>
  </si>
  <si>
    <t>Effective Tax Rate</t>
  </si>
  <si>
    <t>Net Operating Assets</t>
  </si>
  <si>
    <t>Net Financial Obligations</t>
  </si>
  <si>
    <t>Raw Data Inputs</t>
  </si>
  <si>
    <t>cut-and-paste raw data block from DataMaker file here</t>
  </si>
  <si>
    <t>Company Name and Ticker</t>
  </si>
  <si>
    <t>DOLLAR TREE 2021</t>
  </si>
  <si>
    <t>DLTR</t>
  </si>
  <si>
    <t>A Windows vs Macintosh issue can cause the fiscal year end dates to be off by roughly 4 years.  If this occurs, select and copy the 1462 cell below, select the cells with the dates, choose Paste Special Values and select Subtract or Add.</t>
  </si>
  <si>
    <t>Interest Expense</t>
  </si>
  <si>
    <t>Common Dividends</t>
  </si>
  <si>
    <t>Industry Analysis</t>
  </si>
  <si>
    <t>Link to Financial Statements</t>
  </si>
  <si>
    <t>Sector (Fama-French 12 Industry)</t>
  </si>
  <si>
    <t>Industry (Fama-French 49 Industry)</t>
  </si>
  <si>
    <t>Sub-Industry (SEC SIC Code Title)</t>
  </si>
  <si>
    <t>Comparables (Same SIC Code)</t>
  </si>
  <si>
    <t>Ticker</t>
  </si>
  <si>
    <t>Company Name</t>
  </si>
  <si>
    <t>Ratio Analysis</t>
  </si>
  <si>
    <t xml:space="preserve"> </t>
  </si>
  <si>
    <t>Fiscal Year End Date</t>
  </si>
  <si>
    <t>Annual Growth Rates</t>
  </si>
  <si>
    <t>Sales</t>
  </si>
  <si>
    <t>Assets</t>
  </si>
  <si>
    <t>Common Equity</t>
  </si>
  <si>
    <t>Earnings</t>
  </si>
  <si>
    <t>Free Cash Flow to Investors</t>
  </si>
  <si>
    <t>Sustainable Growth Rate</t>
  </si>
  <si>
    <t>Profitability</t>
  </si>
  <si>
    <t>Return on Equity</t>
  </si>
  <si>
    <t>Return on Equity (b4 non-recurring)</t>
  </si>
  <si>
    <t>Return on Net Operating Assets</t>
  </si>
  <si>
    <t>Basic Dupont Model</t>
  </si>
  <si>
    <t xml:space="preserve">   Net Profit Margin</t>
  </si>
  <si>
    <t>x Total Asset Turnover</t>
  </si>
  <si>
    <t>x Total Leverage</t>
  </si>
  <si>
    <t>= Return on Equity</t>
  </si>
  <si>
    <t>Advanced Dupont Model</t>
  </si>
  <si>
    <t xml:space="preserve">   Net Operating Margin</t>
  </si>
  <si>
    <t>x Net Operating Asset Turnover</t>
  </si>
  <si>
    <t>= Return on Net Operating Assets</t>
  </si>
  <si>
    <t>Net Borrowing Cost (NBC)</t>
  </si>
  <si>
    <t>Spread (RNOA - NBC)</t>
  </si>
  <si>
    <t>Financial Leverage (LEV)</t>
  </si>
  <si>
    <t>ROE = RNOA + LEV*Spread</t>
  </si>
  <si>
    <t>Margin Analysis</t>
  </si>
  <si>
    <t>Gross Margin</t>
  </si>
  <si>
    <t>EBITDA Margin</t>
  </si>
  <si>
    <t>EBIT Margin</t>
  </si>
  <si>
    <t>Net Operating Margin (b4 non-rec.)</t>
  </si>
  <si>
    <t>Net Operating Margin</t>
  </si>
  <si>
    <t>Turnover Analysis</t>
  </si>
  <si>
    <t>Net Operating Asset Turnover</t>
  </si>
  <si>
    <t>Net Working Capital Turnover</t>
  </si>
  <si>
    <t>Avge Days to Collect Receivables</t>
  </si>
  <si>
    <t>Avge Inventory Holding Period</t>
  </si>
  <si>
    <t>Avge Days to Pay Payables</t>
  </si>
  <si>
    <t>PP&amp;E Turnover</t>
  </si>
  <si>
    <t>Analysis of Leverage</t>
  </si>
  <si>
    <t xml:space="preserve"> - Long-Term Capital Structure</t>
  </si>
  <si>
    <t>Debt to Equity Ratio</t>
  </si>
  <si>
    <t>FFO to Total Debt</t>
  </si>
  <si>
    <t>CFO to Total Debt</t>
  </si>
  <si>
    <t xml:space="preserve"> - Short-Term Liquidity</t>
  </si>
  <si>
    <t>Current Ratio</t>
  </si>
  <si>
    <t>Quick Ratio</t>
  </si>
  <si>
    <t>EBIT Interest Coverage</t>
  </si>
  <si>
    <t>EBITDA Interest Coverage</t>
  </si>
  <si>
    <t>Fiscal Year</t>
  </si>
  <si>
    <t>Cash Flow Analysis</t>
  </si>
  <si>
    <t>($000)</t>
  </si>
  <si>
    <t>Pro Forma Statement of Cash Flows</t>
  </si>
  <si>
    <t>Operating:</t>
  </si>
  <si>
    <t xml:space="preserve"> +Depreciation &amp; Amortization</t>
  </si>
  <si>
    <t xml:space="preserve"> +Increase in Deferred Taxes</t>
  </si>
  <si>
    <t xml:space="preserve"> +Increase in Other Liabilities</t>
  </si>
  <si>
    <t xml:space="preserve"> +Noncontrolling Interest in Earnings</t>
  </si>
  <si>
    <t xml:space="preserve"> +Preferred Dividends</t>
  </si>
  <si>
    <t xml:space="preserve"> =Funds From Operations</t>
  </si>
  <si>
    <t xml:space="preserve"> -Increase in Receivables</t>
  </si>
  <si>
    <t xml:space="preserve"> -Increase in Inventory</t>
  </si>
  <si>
    <t xml:space="preserve"> -Increase in Other Current Assets</t>
  </si>
  <si>
    <t xml:space="preserve"> +Increase in Accounts Payable</t>
  </si>
  <si>
    <t xml:space="preserve"> +Increase in Taxes Payable</t>
  </si>
  <si>
    <t xml:space="preserve"> +Increase in Other Curr. Liabilities</t>
  </si>
  <si>
    <t xml:space="preserve"> =Cash From Operations</t>
  </si>
  <si>
    <t>Investing:</t>
  </si>
  <si>
    <t xml:space="preserve"> -Capital Expenditures</t>
  </si>
  <si>
    <t xml:space="preserve"> -Increase in Investments</t>
  </si>
  <si>
    <t xml:space="preserve"> -Purchases of Intangibles</t>
  </si>
  <si>
    <t xml:space="preserve"> -Increase in Other Assets</t>
  </si>
  <si>
    <t xml:space="preserve"> =Cash From Investing</t>
  </si>
  <si>
    <t>Financing:</t>
  </si>
  <si>
    <t xml:space="preserve"> +Increase in Debt</t>
  </si>
  <si>
    <t xml:space="preserve"> -Dividends Paid to Noncontrolling Interest</t>
  </si>
  <si>
    <t xml:space="preserve"> -Dividends Paid on Preferred</t>
  </si>
  <si>
    <t xml:space="preserve"> +Increase in Pref. Stock</t>
  </si>
  <si>
    <t xml:space="preserve"> -Dividends Paid on Common</t>
  </si>
  <si>
    <t xml:space="preserve"> +/-Net Issuance of Common Stock</t>
  </si>
  <si>
    <t xml:space="preserve"> +/-Clean Surplus Plug (Ignore)</t>
  </si>
  <si>
    <t xml:space="preserve"> =Cash From Financing</t>
  </si>
  <si>
    <t>Net Change in Cash</t>
  </si>
  <si>
    <t xml:space="preserve"> + Beginning Cash Balance</t>
  </si>
  <si>
    <t xml:space="preserve"> = Ending Cash Balance</t>
  </si>
  <si>
    <t>Free Cash Flow to Common Equity</t>
  </si>
  <si>
    <r>
      <rPr>
        <b/>
        <sz val="10"/>
        <color indexed="12"/>
        <rFont val="Arial"/>
        <charset val="134"/>
      </rPr>
      <t xml:space="preserve">   </t>
    </r>
    <r>
      <rPr>
        <sz val="10"/>
        <rFont val="Arial"/>
        <charset val="134"/>
      </rPr>
      <t>Net Income</t>
    </r>
  </si>
  <si>
    <t xml:space="preserve"> - Increase in Common Equity</t>
  </si>
  <si>
    <t xml:space="preserve"> =Free Cash Flow to Common Equity</t>
  </si>
  <si>
    <t>Computation based on SCF:</t>
  </si>
  <si>
    <t xml:space="preserve"> +Cash From Operations</t>
  </si>
  <si>
    <t xml:space="preserve"> -Increase in Cash</t>
  </si>
  <si>
    <t xml:space="preserve"> +Cash From Investing</t>
  </si>
  <si>
    <t xml:space="preserve"> +Increase in Preferred Stock</t>
  </si>
  <si>
    <t>Financing Flows:</t>
  </si>
  <si>
    <t xml:space="preserve"> +Dividends Paid</t>
  </si>
  <si>
    <t xml:space="preserve"> -Net Issuance of Common Stock</t>
  </si>
  <si>
    <t xml:space="preserve"> = Free Cash Flow to Common Equity</t>
  </si>
  <si>
    <t>Free Cash Flow to all Investors</t>
  </si>
  <si>
    <t xml:space="preserve">   Net Operating Income</t>
  </si>
  <si>
    <t xml:space="preserve"> - Increase in Net Operating Assets</t>
  </si>
  <si>
    <t xml:space="preserve"> =Free Cash Flow to Investors</t>
  </si>
  <si>
    <t xml:space="preserve">   Cash From Operations</t>
  </si>
  <si>
    <t xml:space="preserve">  -Increase in Operating Cash</t>
  </si>
  <si>
    <t xml:space="preserve"> +Cash from Investing</t>
  </si>
  <si>
    <t xml:space="preserve"> +Interest Expense</t>
  </si>
  <si>
    <t xml:space="preserve"> -Tax Shield on Interest</t>
  </si>
  <si>
    <t xml:space="preserve"> +Dividends on Common Stock</t>
  </si>
  <si>
    <t xml:space="preserve"> +Dividends on Preferred Stock</t>
  </si>
  <si>
    <t xml:space="preserve"> +Dividends Paid to Noncontrolling Interest</t>
  </si>
  <si>
    <t xml:space="preserve"> -Net Issuance of Debt</t>
  </si>
  <si>
    <t xml:space="preserve"> -Net Issuance of Preferred Stock</t>
  </si>
  <si>
    <t>Traditional Computation of FCF:</t>
  </si>
  <si>
    <t xml:space="preserve">  EBIT</t>
  </si>
  <si>
    <t xml:space="preserve"> -Taxes on EBIT</t>
  </si>
  <si>
    <t xml:space="preserve"> = NOPLAT</t>
  </si>
  <si>
    <t xml:space="preserve"> +Non-Operating Income (Loss)</t>
  </si>
  <si>
    <t xml:space="preserve"> +Other Income (Loss)</t>
  </si>
  <si>
    <t xml:space="preserve"> +Ext. Items &amp; Disc. Ops.</t>
  </si>
  <si>
    <t xml:space="preserve"> =Gross Cash Flow</t>
  </si>
  <si>
    <t xml:space="preserve"> -Increase in Working Capital</t>
  </si>
  <si>
    <t>Analysis of Earnings Quality</t>
  </si>
  <si>
    <t>(Red Shading = Quality Flag)</t>
  </si>
  <si>
    <t xml:space="preserve">    Current Op. Accruals/NOA</t>
  </si>
  <si>
    <t xml:space="preserve"> + Non-Current Op. Accruals/NOA</t>
  </si>
  <si>
    <t xml:space="preserve"> = Operating Accruals/NOA</t>
  </si>
  <si>
    <t xml:space="preserve">    Sales Growth</t>
  </si>
  <si>
    <t xml:space="preserve">  - NOA Turnover Growth</t>
  </si>
  <si>
    <t xml:space="preserve">  - Interaction</t>
  </si>
  <si>
    <t>Credit Analysis</t>
  </si>
  <si>
    <t>Analysis of Credit Risk</t>
  </si>
  <si>
    <t>Net Income to Total Assets</t>
  </si>
  <si>
    <t xml:space="preserve">   implied default probability</t>
  </si>
  <si>
    <t>Total Liabilities to Total Assets</t>
  </si>
  <si>
    <t>EBIT to Interest Expense</t>
  </si>
  <si>
    <t>Inventory Holding Period</t>
  </si>
  <si>
    <t>Annual Sales Growth</t>
  </si>
  <si>
    <t>Average Implied Default Probability</t>
  </si>
  <si>
    <t>Default Probability Color  Scale</t>
  </si>
  <si>
    <t>Low</t>
  </si>
  <si>
    <t>Medium</t>
  </si>
  <si>
    <t>High</t>
  </si>
  <si>
    <t>Lookup Table of default probability</t>
  </si>
  <si>
    <t>decile 1</t>
  </si>
  <si>
    <t>min decile 2</t>
  </si>
  <si>
    <t>min decile 3</t>
  </si>
  <si>
    <t>min decile 4</t>
  </si>
  <si>
    <t>min decile 5</t>
  </si>
  <si>
    <t>min decile 6</t>
  </si>
  <si>
    <t>min decile 7</t>
  </si>
  <si>
    <t>min decile 8</t>
  </si>
  <si>
    <t>min decile 9</t>
  </si>
  <si>
    <t>min decile 10</t>
  </si>
  <si>
    <t>Min</t>
  </si>
  <si>
    <t>Max</t>
  </si>
  <si>
    <t>NI to TA thresholds</t>
  </si>
  <si>
    <t>NI to TA default rates</t>
  </si>
  <si>
    <t>TL to TA thresholds</t>
  </si>
  <si>
    <t>TL to TA default rates</t>
  </si>
  <si>
    <t>Quick Ratio thresholds</t>
  </si>
  <si>
    <t>Quick Ratio default rates</t>
  </si>
  <si>
    <t>EBIT to Int thresholds</t>
  </si>
  <si>
    <t>EBIT to Int default rates</t>
  </si>
  <si>
    <t>Inv Holding thresholds</t>
  </si>
  <si>
    <t>Inv Holding default rates</t>
  </si>
  <si>
    <t>Sales Growth thresholds</t>
  </si>
  <si>
    <t>Sales Growth default rates</t>
  </si>
  <si>
    <t>Forecasting Assumptions</t>
  </si>
  <si>
    <t>TERMINAL</t>
  </si>
  <si>
    <t>YEAR</t>
  </si>
  <si>
    <t>Implied Return on Equity</t>
  </si>
  <si>
    <t>Income Statement Assumptions</t>
  </si>
  <si>
    <t>Sales Growth</t>
  </si>
  <si>
    <t>Cost of Goods Sold/Sales</t>
  </si>
  <si>
    <t>R&amp;D/Sales</t>
  </si>
  <si>
    <t>SG&amp;A/Sales</t>
  </si>
  <si>
    <t>Dep&amp;Amort/Avge PP&amp;E and Intang.</t>
  </si>
  <si>
    <t>Net Interest Expense/Avge Net Debt</t>
  </si>
  <si>
    <t>Non-Operating Income/Sales</t>
  </si>
  <si>
    <t>Noncontrolling Interest/After Tax Income</t>
  </si>
  <si>
    <t>Other Income/Sales</t>
  </si>
  <si>
    <t>Ext. Items &amp; Disc. Ops./Sales</t>
  </si>
  <si>
    <t>Pref. Dividends/Avge Pref. Stock</t>
  </si>
  <si>
    <t>Balance Sheet Assumptions</t>
  </si>
  <si>
    <t>Working Capital Assumptions</t>
  </si>
  <si>
    <t>Ending Operating Cash/Sales</t>
  </si>
  <si>
    <t>Ending Receivables/Sales</t>
  </si>
  <si>
    <t>Ending Inventories/COGS</t>
  </si>
  <si>
    <t>Ending Other Current Assets/Sales</t>
  </si>
  <si>
    <t>Ending Accounts Payable/COGS</t>
  </si>
  <si>
    <t>Ending Taxes Payable/Sales</t>
  </si>
  <si>
    <t>Ending Other Current Liabs/Sales</t>
  </si>
  <si>
    <t>Other Operating Asset Assumptions</t>
  </si>
  <si>
    <t>Ending Net PP&amp;E/Sales</t>
  </si>
  <si>
    <t>Ending Investments/Sales</t>
  </si>
  <si>
    <t>Ending Intangibles/Sales</t>
  </si>
  <si>
    <t>Ending Other Assets/Sales</t>
  </si>
  <si>
    <t>Other Operating Liability Assumptions</t>
  </si>
  <si>
    <t>Other Liabilities/Sales</t>
  </si>
  <si>
    <t>Deferred Taxes/Sales</t>
  </si>
  <si>
    <t>Financing Assumptions</t>
  </si>
  <si>
    <t>Current Debt/Total Assets</t>
  </si>
  <si>
    <t>Long-Term Debt/Total Assets</t>
  </si>
  <si>
    <t>Noncontrolling Interest/Total Assets</t>
  </si>
  <si>
    <t>Preferred Stock/Total Assets</t>
  </si>
  <si>
    <t>Dividend Payout Ratio</t>
  </si>
  <si>
    <t>Valuation Parameters</t>
  </si>
  <si>
    <t>Company Name:</t>
  </si>
  <si>
    <t>Required Valuation Parameters (to compute value of common equity):</t>
  </si>
  <si>
    <t>Enter Cost of Equity Capital:</t>
  </si>
  <si>
    <t>Enter Value of Contingent Claims on Common Equity ($000):</t>
  </si>
  <si>
    <t>(Link to Calculator)</t>
  </si>
  <si>
    <t>Enter Date of Valuation:</t>
  </si>
  <si>
    <t>Enter Dilution Factor for Splits Occurring Since Latest Fiscal Year End:</t>
  </si>
  <si>
    <t>Optional Valuation Parameters (to compute value to all investors):</t>
  </si>
  <si>
    <t xml:space="preserve">Enter Cost of Net Debt:   </t>
  </si>
  <si>
    <t xml:space="preserve">Enter Cost of Preferred Stock: </t>
  </si>
  <si>
    <t xml:space="preserve">Enter Cost of Noncontrolling Interest: </t>
  </si>
  <si>
    <t xml:space="preserve">Adjust the Weighted Average Cost of Capital Input </t>
  </si>
  <si>
    <t>such that the two equity values below are approximately equal:</t>
  </si>
  <si>
    <t>Equity Value computed directly</t>
  </si>
  <si>
    <t>Equity Value computed indirectly</t>
  </si>
  <si>
    <t>approximate weighted average</t>
  </si>
  <si>
    <t>from flows to equityholders:</t>
  </si>
  <si>
    <t>as the Entity Value less non-equity claims:</t>
  </si>
  <si>
    <t>cost of capital to use as starting point:</t>
  </si>
  <si>
    <t>Black Scholes Option Value Calculator</t>
  </si>
  <si>
    <t>(Back to Valuation Parameters)</t>
  </si>
  <si>
    <t>Input Parameters:</t>
  </si>
  <si>
    <t>Current Stock Price (S)</t>
  </si>
  <si>
    <t>Option Exercise Price (K)</t>
  </si>
  <si>
    <t>Years to Expiration (t)</t>
  </si>
  <si>
    <t>Forecasted Annual Dividend Yield (y)</t>
  </si>
  <si>
    <t xml:space="preserve">Risk-Free Rate (r) </t>
  </si>
  <si>
    <t>Standard Deviation of Stock Return (s)</t>
  </si>
  <si>
    <t>Value of Call Option</t>
  </si>
  <si>
    <t>Residual Income Valuation</t>
  </si>
  <si>
    <t>Most Recent Fiscal Year End</t>
  </si>
  <si>
    <t>Date of Valuation</t>
  </si>
  <si>
    <t>Cost of Common Equity</t>
  </si>
  <si>
    <t>Teriminal Growth Rate</t>
  </si>
  <si>
    <t>Fiscal Year of Forecast</t>
  </si>
  <si>
    <t>Valuation to Common Equity</t>
  </si>
  <si>
    <t>Common Equity at Beginning of Year</t>
  </si>
  <si>
    <t>Residual Income</t>
  </si>
  <si>
    <t>Present Value of Residual Income</t>
  </si>
  <si>
    <t>Present Value Beyond 10 Years</t>
  </si>
  <si>
    <t>Present Value of First 10 Years</t>
  </si>
  <si>
    <t>Common Equity as of</t>
  </si>
  <si>
    <t>Forecast Equity Value Before Time Adj.</t>
  </si>
  <si>
    <t>Forecasted Value as of Valuation Date</t>
  </si>
  <si>
    <t>Less Value of Contingent Equity Claims</t>
  </si>
  <si>
    <t>Value Attributable to Common Equity</t>
  </si>
  <si>
    <t>Common Shares Outstanding at BS Date</t>
  </si>
  <si>
    <t>Equivalent Shares at Valuation Date</t>
  </si>
  <si>
    <t>Forecast Price/Share</t>
  </si>
  <si>
    <t>Valuation to All Investors</t>
  </si>
  <si>
    <t>Cost of Debt</t>
  </si>
  <si>
    <t>Cost of Preferred Stock</t>
  </si>
  <si>
    <t>Cost of Noncontrolling Interest</t>
  </si>
  <si>
    <t>After Tax Weighted Average Cost of Capital</t>
  </si>
  <si>
    <t>Net Interest Expense to Net Debtholders</t>
  </si>
  <si>
    <t>Beginning Book Value of Debt</t>
  </si>
  <si>
    <t>Residual Interest Expense</t>
  </si>
  <si>
    <t>Present Value of Residual Interest Income</t>
  </si>
  <si>
    <t>Value of Debt</t>
  </si>
  <si>
    <t>Dividends to Preferred Stockholders</t>
  </si>
  <si>
    <t>Beginning Book Value of Preferred Stock</t>
  </si>
  <si>
    <t>Residual Income to Preferred Stock</t>
  </si>
  <si>
    <t>Present Value of Preferred Residual Income</t>
  </si>
  <si>
    <t>Value of Preferred Stock</t>
  </si>
  <si>
    <t>Beginning Book Value of Noncontrolling Interest</t>
  </si>
  <si>
    <t>Residual Income to Noncontrolling Interest</t>
  </si>
  <si>
    <t>Present Value of MI Residual Income</t>
  </si>
  <si>
    <t>Value of Noncontrolling Interest</t>
  </si>
  <si>
    <t>Beginning Net Operating Assets</t>
  </si>
  <si>
    <t>Residual Income to all Investors</t>
  </si>
  <si>
    <t>Present Value of Residual Investor Income</t>
  </si>
  <si>
    <t>Entity Value</t>
  </si>
  <si>
    <t>Less Value of Debt</t>
  </si>
  <si>
    <t>Less Value of Preferred Stock</t>
  </si>
  <si>
    <t>Less Value of Noncontrolling Interest</t>
  </si>
  <si>
    <t>DCF Valuations</t>
  </si>
  <si>
    <t>Terminal Growth Rate</t>
  </si>
  <si>
    <t>Present Value of FCF</t>
  </si>
  <si>
    <t>Cost of Net Debt</t>
  </si>
  <si>
    <t>Free Cash Flow to Debt</t>
  </si>
  <si>
    <t>Present Value of FCF to Debt</t>
  </si>
  <si>
    <t>Free Cash Flow to Preferred Stock</t>
  </si>
  <si>
    <t>Present Value of FCF to Preferred Stock</t>
  </si>
  <si>
    <t>Free Cash Flow to Noncontrolling Interest</t>
  </si>
  <si>
    <t>Present Value of FCF to Noncontrolling Interest</t>
  </si>
  <si>
    <t>Free Cash Flows to Investors</t>
  </si>
  <si>
    <t>Present Value of FCF to Investors</t>
  </si>
  <si>
    <t>Less Value of Net Debt</t>
  </si>
  <si>
    <t>EPS Forecaster</t>
  </si>
  <si>
    <t>($000, except per share amounts)</t>
  </si>
  <si>
    <t>Forecasted Price at Valuation Date</t>
  </si>
  <si>
    <t>Common Equity Issued (Repurchased)</t>
  </si>
  <si>
    <t>Forecasted Price at Year End</t>
  </si>
  <si>
    <t>New Shares Issued (Repurchased)</t>
  </si>
  <si>
    <t>Shares Outstanding at End of Year</t>
  </si>
  <si>
    <t>Forecast EPS</t>
  </si>
  <si>
    <t>Consensus Analyst Forecast of EPS</t>
  </si>
  <si>
    <t>Forecast Five Year Growth Rate in EPS</t>
  </si>
  <si>
    <t>Consensus Analyst Forecast of Growth Rate</t>
  </si>
  <si>
    <t>Model Summary</t>
  </si>
  <si>
    <t>Historical Data For:</t>
  </si>
  <si>
    <t>Most Recent Fiscal Year End:</t>
  </si>
  <si>
    <t>Average ROE (last five years)</t>
  </si>
  <si>
    <t>Sales Growth (last five years)</t>
  </si>
  <si>
    <t>Forecast Data:</t>
  </si>
  <si>
    <t>Forecast Horizon</t>
  </si>
  <si>
    <t>10 years</t>
  </si>
  <si>
    <t>This Year's ROE</t>
  </si>
  <si>
    <t>Terminal Year's ROE</t>
  </si>
  <si>
    <t>This Year's Sales Growth</t>
  </si>
  <si>
    <t>Terminal Year's Sales Growth</t>
  </si>
  <si>
    <t>This Year's Forecast EPS</t>
  </si>
  <si>
    <t>Forecast 5 Year EPS Growth</t>
  </si>
  <si>
    <t>Valuation Data:</t>
  </si>
  <si>
    <t>Cost of Equity Capital</t>
  </si>
  <si>
    <t>Valuation Date</t>
  </si>
  <si>
    <t>Estimated Price/Share</t>
  </si>
  <si>
    <t>Estimated Price/Earnings Ratio</t>
  </si>
  <si>
    <t>Estimated Market/Book Ratio</t>
  </si>
  <si>
    <t>Click a company link below to select the associated yellow data block. Then, copy and paste the yellow data block to cell range B82:F116 on the Financial Statements sheet.</t>
  </si>
  <si>
    <t>AMAZON.COM INC 2000</t>
  </si>
  <si>
    <t>COUNTY CINEMA 1998</t>
  </si>
  <si>
    <t>NORDSTROM INC 2010</t>
  </si>
  <si>
    <t>Sporting Goods Stores 2008</t>
  </si>
  <si>
    <t>AMERICA ONLINE INC 1999</t>
  </si>
  <si>
    <t xml:space="preserve">OVERSTOCK.COM INC 2003    </t>
  </si>
  <si>
    <t>TARGET 2021</t>
  </si>
  <si>
    <t>APPLE INC 2009</t>
  </si>
  <si>
    <t>FOUR MODELS</t>
  </si>
  <si>
    <t>ROSS STORES INC 2010</t>
  </si>
  <si>
    <t>TESLA MOTORS INC 2015</t>
  </si>
  <si>
    <t xml:space="preserve">CABELA'S INC 2008 </t>
  </si>
  <si>
    <t>INTEL CORP 1999</t>
  </si>
  <si>
    <t>ROYAL CARIBBEAN CRUISES LTD 1998</t>
  </si>
  <si>
    <t>VERIZON COMMUNICATIONS 2008</t>
  </si>
  <si>
    <t>CARNIVAL CORP 1998</t>
  </si>
  <si>
    <t>INTERNATIONAL BUSINESS MACHINES CORP 2009</t>
  </si>
  <si>
    <t>ROYAL CARIBBEAN CRUISES LTD 2010</t>
  </si>
  <si>
    <t>WALMART 2021</t>
  </si>
  <si>
    <t>CARNIVAL CORP/PLC (USA)  2010</t>
  </si>
  <si>
    <t>KOHL'S CORP 2010</t>
  </si>
  <si>
    <t>SALTON INC 2000</t>
  </si>
  <si>
    <t>ZYNGA, INC. 2011</t>
  </si>
  <si>
    <t>CITY SCREENS 1999</t>
  </si>
  <si>
    <t>NETFLIX INC 2004</t>
  </si>
  <si>
    <t>SIRIUS SATELLITE RADIO INC 2005</t>
  </si>
  <si>
    <t>AMERICA ONLINE INC</t>
  </si>
  <si>
    <t>AOL</t>
  </si>
  <si>
    <t>Common Shares Outstanding (000)</t>
  </si>
  <si>
    <t>AMAZON.COM INC</t>
  </si>
  <si>
    <t>AMZN</t>
  </si>
  <si>
    <t>back to top</t>
  </si>
  <si>
    <t>FOUR</t>
  </si>
  <si>
    <t xml:space="preserve">INTEL CORP                    </t>
  </si>
  <si>
    <t xml:space="preserve">INTC    </t>
  </si>
  <si>
    <t xml:space="preserve">NETFLIX INC                   </t>
  </si>
  <si>
    <t xml:space="preserve">NFLX    </t>
  </si>
  <si>
    <t xml:space="preserve">OVERSTOCK.COM INC             </t>
  </si>
  <si>
    <t xml:space="preserve">OSTK    </t>
  </si>
  <si>
    <t>ROYAL CARIBBEAN CRUISES LTD</t>
  </si>
  <si>
    <t>RCL</t>
  </si>
  <si>
    <t>CARNIVAL CORP</t>
  </si>
  <si>
    <t>CCL</t>
  </si>
  <si>
    <t>SALTON INC</t>
  </si>
  <si>
    <t>SFP</t>
  </si>
  <si>
    <t>CITY SCREENS</t>
  </si>
  <si>
    <t>CSCR</t>
  </si>
  <si>
    <t>COUNTY CINEMA</t>
  </si>
  <si>
    <t>CCIN</t>
  </si>
  <si>
    <t>KOHL'S CORP</t>
  </si>
  <si>
    <t>KSS</t>
  </si>
  <si>
    <t>NORDSTROM INC</t>
  </si>
  <si>
    <t>JWN</t>
  </si>
  <si>
    <t>ROSS STORES INC</t>
  </si>
  <si>
    <t>ROST</t>
  </si>
  <si>
    <t xml:space="preserve">CABELA'S INC                  </t>
  </si>
  <si>
    <t xml:space="preserve">CAB     </t>
  </si>
  <si>
    <t xml:space="preserve">Sporting Goods Stores         </t>
  </si>
  <si>
    <t xml:space="preserve">MG740   </t>
  </si>
  <si>
    <t>SIRIUS SATELLITE RADIO INC</t>
  </si>
  <si>
    <t>SIRI</t>
  </si>
  <si>
    <t xml:space="preserve">VERIZON COMMUNICATIONS       </t>
  </si>
  <si>
    <t xml:space="preserve">VZ     </t>
  </si>
  <si>
    <t>APPLE INC</t>
  </si>
  <si>
    <t>AAPL</t>
  </si>
  <si>
    <t>INTERNATIONAL BUSINESS MACHINES CORP</t>
  </si>
  <si>
    <t>IBM</t>
  </si>
  <si>
    <t xml:space="preserve">ROYAL CARIBBEAN CRUISES LTD </t>
  </si>
  <si>
    <t xml:space="preserve">RCL </t>
  </si>
  <si>
    <t xml:space="preserve">CARNIVAL CORP/PLC (USA) </t>
  </si>
  <si>
    <t xml:space="preserve">CCL </t>
  </si>
  <si>
    <t>TESLA MOTORS INC</t>
  </si>
  <si>
    <t>TSLA</t>
  </si>
  <si>
    <t>Zynga Inc. Class A</t>
  </si>
  <si>
    <t>ZNGA</t>
  </si>
  <si>
    <t>TGT</t>
  </si>
  <si>
    <t>WMT</t>
  </si>
  <si>
    <t>1 800 FLOWERS COM INC</t>
  </si>
  <si>
    <t>FLWS</t>
  </si>
  <si>
    <t>SIC</t>
  </si>
  <si>
    <t>FF12</t>
  </si>
  <si>
    <t>FF49</t>
  </si>
  <si>
    <t>SEC List Industry Title</t>
  </si>
  <si>
    <t>10X GENOMICS, INC.</t>
  </si>
  <si>
    <t>TXG</t>
  </si>
  <si>
    <t>CONSUMER NONDURABLES</t>
  </si>
  <si>
    <t>AGRICULTURE</t>
  </si>
  <si>
    <t>AGRICULTURAL PRODUCTION-CROPS</t>
  </si>
  <si>
    <t>111, INC.</t>
  </si>
  <si>
    <t>YI</t>
  </si>
  <si>
    <t>AGRICULTURAL PROD-LIVESTOCK &amp; ANIMAL SPECIALTIES</t>
  </si>
  <si>
    <t>17 EDUCATION &amp; TECHNOLOGY GROUP INC.</t>
  </si>
  <si>
    <t>YQ</t>
  </si>
  <si>
    <t>AGRICULTURAL SERVICES</t>
  </si>
  <si>
    <t>1847 GOEDEKER INC.</t>
  </si>
  <si>
    <t>GOED</t>
  </si>
  <si>
    <t>CONSTRUCTION MATERIALS</t>
  </si>
  <si>
    <t>FORESTRY</t>
  </si>
  <si>
    <t>1895 BANCORP OF WISCONSIN, INC. /MD/</t>
  </si>
  <si>
    <t>BCOW</t>
  </si>
  <si>
    <t>RECREATION</t>
  </si>
  <si>
    <t>FISHING, HUNTING AND TRAPPING</t>
  </si>
  <si>
    <t>1LIFE HEALTHCARE INC</t>
  </si>
  <si>
    <t>ONEM</t>
  </si>
  <si>
    <t>OTHER</t>
  </si>
  <si>
    <t>NON-METALLIC AND INDUSTRIAL METAL MINING</t>
  </si>
  <si>
    <t>METAL MINING</t>
  </si>
  <si>
    <t>1ST SOURCE CORP</t>
  </si>
  <si>
    <t>SRCE</t>
  </si>
  <si>
    <t>PRECIOUS METALS</t>
  </si>
  <si>
    <t>GOLD AND SILVER ORES</t>
  </si>
  <si>
    <t>1STDIBS.COM, INC.</t>
  </si>
  <si>
    <t>DIBS</t>
  </si>
  <si>
    <t>MISCELLANEOUS METAL ORES</t>
  </si>
  <si>
    <t>22ND CENTURY GROUP, INC.</t>
  </si>
  <si>
    <t>XXII</t>
  </si>
  <si>
    <t>ENERGY</t>
  </si>
  <si>
    <t>COAL</t>
  </si>
  <si>
    <t>BITUMINOUS COAL &amp; LIGNITE MINING</t>
  </si>
  <si>
    <t>23ANDME HOLDING CO.</t>
  </si>
  <si>
    <t>ME</t>
  </si>
  <si>
    <t>BITUMINOUS COAL &amp; LIGNITE SURFACE MINING</t>
  </si>
  <si>
    <t>2SEVENTY BIO, INC.</t>
  </si>
  <si>
    <t>TSVT</t>
  </si>
  <si>
    <t>PETROLEUM AND NATURAL GAS</t>
  </si>
  <si>
    <t>CRUDE PETROLEUM &amp; NATURAL GAS</t>
  </si>
  <si>
    <t>2U, INC.</t>
  </si>
  <si>
    <t>TWOU</t>
  </si>
  <si>
    <t>DRILLING OIL &amp; GAS WELLS</t>
  </si>
  <si>
    <t>360 DIGITECH, INC.</t>
  </si>
  <si>
    <t>QFIN</t>
  </si>
  <si>
    <t>OIL &amp; GAS FIELD EXPLORATION SERVICES</t>
  </si>
  <si>
    <t>36KR HOLDINGS INC.</t>
  </si>
  <si>
    <t>KRKR</t>
  </si>
  <si>
    <t>OIL &amp; GAS FIELD SERVICES, NEC</t>
  </si>
  <si>
    <t>3D SYSTEMS CORP</t>
  </si>
  <si>
    <t>DDD</t>
  </si>
  <si>
    <t>MINING &amp; QUARRYING OF NONMETALLIC MINERALS (NO FUELS)</t>
  </si>
  <si>
    <t>3M CO</t>
  </si>
  <si>
    <t>MMM</t>
  </si>
  <si>
    <t>CONSTRUCTION</t>
  </si>
  <si>
    <t>GENERAL BLDG CONTRACTORS - RESIDENTIAL BLDGS</t>
  </si>
  <si>
    <t>4D MOLECULAR THERAPEUTICS INC.</t>
  </si>
  <si>
    <t>FDMT</t>
  </si>
  <si>
    <t>OPERATIVE BUILDERS</t>
  </si>
  <si>
    <t>4D PHARMA PLC</t>
  </si>
  <si>
    <t>LBPS</t>
  </si>
  <si>
    <t>GENERAL BLDG CONTRACTORS - NONRESIDENTIAL BLDGS</t>
  </si>
  <si>
    <t>4FRONT VENTURES CORP.</t>
  </si>
  <si>
    <t>FFNTF</t>
  </si>
  <si>
    <t>HEAVY CONSTRUCTION OTHER THAN BLDG CONST - CONTRACTORS</t>
  </si>
  <si>
    <t>8X8 INC /DE/</t>
  </si>
  <si>
    <t>EGHT</t>
  </si>
  <si>
    <t>WATER, SEWER, PIPELINE, COMM &amp; POWER LINE CONSTRUCTION</t>
  </si>
  <si>
    <t>908 DEVICES INC.</t>
  </si>
  <si>
    <t>MASS</t>
  </si>
  <si>
    <t>CONSTRUCTION - SPECIAL TRADE CONTRACTORS</t>
  </si>
  <si>
    <t>9F INC.</t>
  </si>
  <si>
    <t>JFU</t>
  </si>
  <si>
    <t>ELECTRICAL WORK</t>
  </si>
  <si>
    <t>A-MARK PRECIOUS METALS, INC.</t>
  </si>
  <si>
    <t>AMRK</t>
  </si>
  <si>
    <t>FOOD PRODUCTS</t>
  </si>
  <si>
    <t>FOOD AND KINDRED PRODUCTS</t>
  </si>
  <si>
    <t>A.K.A. BRANDS HOLDING CORP.</t>
  </si>
  <si>
    <t>AKA</t>
  </si>
  <si>
    <t>MEAT PACKING PLANTS</t>
  </si>
  <si>
    <t>A10 NETWORKS, INC.</t>
  </si>
  <si>
    <t>ATEN</t>
  </si>
  <si>
    <t>SAUSAGES &amp; OTHER PREPARED MEAT PRODUCTS</t>
  </si>
  <si>
    <t>AADI BIOSCIENCE, INC.</t>
  </si>
  <si>
    <t>AADI</t>
  </si>
  <si>
    <t>POULTRY SLAUGHTERING AND PROCESSING</t>
  </si>
  <si>
    <t>AAON, INC.</t>
  </si>
  <si>
    <t>AAON</t>
  </si>
  <si>
    <t>DAIRY PRODUCTS</t>
  </si>
  <si>
    <t>AAR CORP</t>
  </si>
  <si>
    <t>AIR</t>
  </si>
  <si>
    <t>ICE CREAM &amp; FROZEN DESSERTS</t>
  </si>
  <si>
    <t>AARON'S COMPANY, INC.</t>
  </si>
  <si>
    <t>AAN</t>
  </si>
  <si>
    <t>CANNED, FROZEN &amp; PRESERVD FRUIT, VEG &amp; FOOD SPECIALTIES</t>
  </si>
  <si>
    <t>ABB LTD</t>
  </si>
  <si>
    <t>ABB</t>
  </si>
  <si>
    <t>CANNED, FRUITS, VEG, PRESERVES, JAMS &amp; JELLIES</t>
  </si>
  <si>
    <t>ABBOTT LABORATORIES</t>
  </si>
  <si>
    <t>ABT</t>
  </si>
  <si>
    <t>GRAIN MILL PRODUCTS</t>
  </si>
  <si>
    <t>ABBVIE INC.</t>
  </si>
  <si>
    <t>ABBV</t>
  </si>
  <si>
    <t>BAKERY PRODUCTS</t>
  </si>
  <si>
    <t>ABCELLERA BIOLOGICS INC.</t>
  </si>
  <si>
    <t>ABCL</t>
  </si>
  <si>
    <t>COOKIES &amp; CRACKERS</t>
  </si>
  <si>
    <t>ABEONA THERAPEUTICS INC.</t>
  </si>
  <si>
    <t>ABEO</t>
  </si>
  <si>
    <t>SUGAR &amp; CONFECTIONERY PRODUCTS</t>
  </si>
  <si>
    <t>ABERCROMBIE &amp; FITCH CO /DE/</t>
  </si>
  <si>
    <t>ANF</t>
  </si>
  <si>
    <t>FATS &amp; OILS</t>
  </si>
  <si>
    <t>ABIOMED INC</t>
  </si>
  <si>
    <t>ABMD</t>
  </si>
  <si>
    <t>BEER &amp; LIQUOR</t>
  </si>
  <si>
    <t>BEVERAGES</t>
  </si>
  <si>
    <t>ABM INDUSTRIES INC /DE/</t>
  </si>
  <si>
    <t>ABM</t>
  </si>
  <si>
    <t>MALT BEVERAGES</t>
  </si>
  <si>
    <t>ABRAXAS PETROLEUM CORP</t>
  </si>
  <si>
    <t>AXAS</t>
  </si>
  <si>
    <t>CANDY &amp; SODA</t>
  </si>
  <si>
    <t>BOTTLED &amp; CANNED SOFT DRINKS &amp; CARBONATED WATERS</t>
  </si>
  <si>
    <t>ABSCI CORP</t>
  </si>
  <si>
    <t>ABSI</t>
  </si>
  <si>
    <t>MISCELLANEOUS FOOD PREPARATIONS &amp; KINDRED PRODUCTS</t>
  </si>
  <si>
    <t>ABVC BIOPHARMA, INC.</t>
  </si>
  <si>
    <t>ABVC</t>
  </si>
  <si>
    <t>PREPARED FRESH OR FROZEN FISH &amp; SEAFOODS</t>
  </si>
  <si>
    <t>ACACIA RESEARCH CORP</t>
  </si>
  <si>
    <t>ACTG</t>
  </si>
  <si>
    <t>TOBACCO PRODUCTS</t>
  </si>
  <si>
    <t>ACADEMY SPORTS &amp; OUTDOORS, INC.</t>
  </si>
  <si>
    <t>ASO</t>
  </si>
  <si>
    <t>CIGARETTES</t>
  </si>
  <si>
    <t>ACADIA HEALTHCARE COMPANY, INC.</t>
  </si>
  <si>
    <t>ACHC</t>
  </si>
  <si>
    <t>TEXTILES</t>
  </si>
  <si>
    <t>TEXTILE MILL PRODUCTS</t>
  </si>
  <si>
    <t>ACADIA PHARMACEUTICALS INC</t>
  </si>
  <si>
    <t>ACAD</t>
  </si>
  <si>
    <t>BROADWOVEN FABRIC MILLS, COTTON</t>
  </si>
  <si>
    <t>ACADIA REALTY TRUST</t>
  </si>
  <si>
    <t>AKR</t>
  </si>
  <si>
    <t>BROADWOVEN FABRIC MILLS, MAN MADE FIBER &amp; SILK</t>
  </si>
  <si>
    <t>ACCEL ENTERTAINMENT, INC.</t>
  </si>
  <si>
    <t>ACEL</t>
  </si>
  <si>
    <t>KNITTING MILLS</t>
  </si>
  <si>
    <t>ACCELERATE DIAGNOSTICS, INC</t>
  </si>
  <si>
    <t>AXDX</t>
  </si>
  <si>
    <t>KNIT OUTERWEAR MILLS</t>
  </si>
  <si>
    <t>ACCENTURE PLC</t>
  </si>
  <si>
    <t>ACN</t>
  </si>
  <si>
    <t>CARPETS &amp; RUGS</t>
  </si>
  <si>
    <t>ACCO BRANDS CORP</t>
  </si>
  <si>
    <t>ACCO</t>
  </si>
  <si>
    <t>APPAREL</t>
  </si>
  <si>
    <t>APPAREL &amp; OTHER FINISHD PRODS OF FABRICS &amp; SIMILAR MATL</t>
  </si>
  <si>
    <t>ACCOLADE, INC.</t>
  </si>
  <si>
    <t>ACCD</t>
  </si>
  <si>
    <t>MEN'S &amp; BOYS' FURNISHGS, WORK CLOTHG, &amp; ALLIED GARMENTS</t>
  </si>
  <si>
    <t>ACCURAY INC</t>
  </si>
  <si>
    <t>ARAY</t>
  </si>
  <si>
    <t>WOMEN'S, MISSES', AND JUNIORS OUTERWEAR</t>
  </si>
  <si>
    <t>ACELRX PHARMACEUTICALS INC</t>
  </si>
  <si>
    <t>ACRX</t>
  </si>
  <si>
    <t>WOMEN'S, MISSES', CHILDREN'S &amp; INFANTS' UNDERGARMENTS</t>
  </si>
  <si>
    <t>ACI WORLDWIDE, INC.</t>
  </si>
  <si>
    <t>ACIW</t>
  </si>
  <si>
    <t>MISCELLANEOUS FABRICATED TEXTILE PRODUCTS</t>
  </si>
  <si>
    <t>ACLARIS THERAPEUTICS, INC.</t>
  </si>
  <si>
    <t>ACRS</t>
  </si>
  <si>
    <t>LUMBER &amp; WOOD PRODUCTS (NO FURNITURE)</t>
  </si>
  <si>
    <t>ACM RESEARCH, INC.</t>
  </si>
  <si>
    <t>ACMR</t>
  </si>
  <si>
    <t>SAWMILLS &amp; PLANTING MILLS, GENERAL</t>
  </si>
  <si>
    <t>ACME UNITED CORP</t>
  </si>
  <si>
    <t>ACU</t>
  </si>
  <si>
    <t>MILLWOOD, VENEER, PLYWOOD, &amp; STRUCTURAL WOOD MEMBERS</t>
  </si>
  <si>
    <t>ACNB CORP</t>
  </si>
  <si>
    <t>ACNB</t>
  </si>
  <si>
    <t>MOBILE HOMES</t>
  </si>
  <si>
    <t>ACREAGE HOLDINGS, INC.</t>
  </si>
  <si>
    <t>ACRHF</t>
  </si>
  <si>
    <t>PREFABRICATED WOOD BLDGS &amp; COMPONENTS</t>
  </si>
  <si>
    <t>ACRES COMMERCIAL REALTY CORP.</t>
  </si>
  <si>
    <t>ACR</t>
  </si>
  <si>
    <t>CONSUMER DURABLES</t>
  </si>
  <si>
    <t>CONSUMER GOODS</t>
  </si>
  <si>
    <t>HOUSEHOLD FURNITURE</t>
  </si>
  <si>
    <t>ACTINIUM PHARMACEUTICALS, INC.</t>
  </si>
  <si>
    <t>ATNM</t>
  </si>
  <si>
    <t>WOOD HOUSEHOLD FURNITURE, (NO UPHOLSTERED)</t>
  </si>
  <si>
    <t>ACTIVISION BLIZZARD, INC.</t>
  </si>
  <si>
    <t>ATVI</t>
  </si>
  <si>
    <t>MANUFACTURING</t>
  </si>
  <si>
    <t>BUSINESS SUPPLIES</t>
  </si>
  <si>
    <t>OFFICE FURNITURE</t>
  </si>
  <si>
    <t>ACUITY BRANDS INC</t>
  </si>
  <si>
    <t>AYI</t>
  </si>
  <si>
    <t>OFFICE FURNITURE (NO WOOD)</t>
  </si>
  <si>
    <t>ACUSHNET HOLDINGS CORP.</t>
  </si>
  <si>
    <t>GOLF</t>
  </si>
  <si>
    <t>PUBLIC BLDG &amp; RELATED FURNITURE</t>
  </si>
  <si>
    <t>ACUTUS MEDICAL, INC.</t>
  </si>
  <si>
    <t>AFIB</t>
  </si>
  <si>
    <t>PARTITIONS, SHELVG, LOCKERS, &amp; OFFICE &amp; STORE FIXTURES</t>
  </si>
  <si>
    <t>ACV AUCTIONS INC.</t>
  </si>
  <si>
    <t>ACVA</t>
  </si>
  <si>
    <t>MISCELLANEOUS FURNITURE &amp; FIXTURES</t>
  </si>
  <si>
    <t>ADAGENE INC.</t>
  </si>
  <si>
    <t>ADAG</t>
  </si>
  <si>
    <t>PAPERS &amp; ALLIED PRODUCTS</t>
  </si>
  <si>
    <t>ADAMIS PHARMACEUTICALS CORP</t>
  </si>
  <si>
    <t>ADMP</t>
  </si>
  <si>
    <t>PULP MILLS</t>
  </si>
  <si>
    <t>ADAMS RESOURCES &amp; ENERGY, INC.</t>
  </si>
  <si>
    <t>AE</t>
  </si>
  <si>
    <t>PAPER MILLS</t>
  </si>
  <si>
    <t>ADAPTHEALTH CORP.</t>
  </si>
  <si>
    <t>AHCO</t>
  </si>
  <si>
    <t>PAPERBOARD MILLS</t>
  </si>
  <si>
    <t>ADAPTIMMUNE THERAPEUTICS PLC</t>
  </si>
  <si>
    <t>ADAP</t>
  </si>
  <si>
    <t>SHIPPING CONTAINERS</t>
  </si>
  <si>
    <t>PAPERBOARD CONTAINERS &amp; BOXES</t>
  </si>
  <si>
    <t>ADAPTIVE BIOTECHNOLOGIES CORP</t>
  </si>
  <si>
    <t>ADPT</t>
  </si>
  <si>
    <t>CONVERTED PAPER &amp; PAPERBOARD PRODS (NO CONTANERS/BOXES)</t>
  </si>
  <si>
    <t>ADDENTAX GROUP CORP.</t>
  </si>
  <si>
    <t>ATXG</t>
  </si>
  <si>
    <t>PLASTICS, FOIL &amp; COATED PAPER BAGS</t>
  </si>
  <si>
    <t>ADDUS HOMECARE CORP</t>
  </si>
  <si>
    <t>ADUS</t>
  </si>
  <si>
    <t>PRINTING AND PUBLISHING</t>
  </si>
  <si>
    <t>NEWSPAPERS: PUBLISHING OR PUBLISHING &amp; PRINTING</t>
  </si>
  <si>
    <t>ADDVANTAGE TECHNOLOGIES GROUP INC</t>
  </si>
  <si>
    <t>AEY</t>
  </si>
  <si>
    <t>PERIODICALS: PUBLISHING OR PUBLISHING &amp; PRINTING</t>
  </si>
  <si>
    <t>ADIENT PLC</t>
  </si>
  <si>
    <t>ADNT</t>
  </si>
  <si>
    <t>BOOKS: PUBLISHING OR PUBLISHING &amp; PRINTING</t>
  </si>
  <si>
    <t>ADMA BIOLOGICS, INC.</t>
  </si>
  <si>
    <t>ADMA</t>
  </si>
  <si>
    <t>BOOK PRINTING</t>
  </si>
  <si>
    <t>ADOBE INC.</t>
  </si>
  <si>
    <t>ADBE</t>
  </si>
  <si>
    <t>MISCELLANEOUS PUBLISHING</t>
  </si>
  <si>
    <t>ADT INC.</t>
  </si>
  <si>
    <t>ADT</t>
  </si>
  <si>
    <t>BUSINESS SERVICES</t>
  </si>
  <si>
    <t>COMMERCIAL PRINTING</t>
  </si>
  <si>
    <t>ADTALEM GLOBAL EDUCATION INC.</t>
  </si>
  <si>
    <t>ATGE</t>
  </si>
  <si>
    <t>MANIFOLD BUSINESS FORMS</t>
  </si>
  <si>
    <t>ADTHEORENT HOLDING COMPANY, INC.</t>
  </si>
  <si>
    <t>ADTH</t>
  </si>
  <si>
    <t>GREETING CARDS</t>
  </si>
  <si>
    <t>ADTRAN INC</t>
  </si>
  <si>
    <t>ADTN</t>
  </si>
  <si>
    <t>BLANKBOOKS, LOOSELEAF BINDERS &amp; BOOKBINDG &amp; RELATD WORK</t>
  </si>
  <si>
    <t>ADVANCE AUTO PARTS INC</t>
  </si>
  <si>
    <t>AAP</t>
  </si>
  <si>
    <t>SERVICE INDUSTRIES FOR THE PRINTING TRADE</t>
  </si>
  <si>
    <t>ADVANCED DRAINAGE SYSTEMS, INC.</t>
  </si>
  <si>
    <t>WMS</t>
  </si>
  <si>
    <t>CHEMICALS AND ALLIED PRODUCTS</t>
  </si>
  <si>
    <t>CHEMICALS</t>
  </si>
  <si>
    <t>CHEMICALS &amp; ALLIED PRODUCTS</t>
  </si>
  <si>
    <t>ADVANCED EMISSIONS SOLUTIONS, INC.</t>
  </si>
  <si>
    <t>ADES</t>
  </si>
  <si>
    <t>INDUSTRIAL INORGANIC CHEMICALS</t>
  </si>
  <si>
    <t>ADVANCED ENERGY INDUSTRIES INC</t>
  </si>
  <si>
    <t>AEIS</t>
  </si>
  <si>
    <t>PLASTIC MATERIAL, SYNTH RESIN/RUBBER, CELLULOS (NO GLASS)</t>
  </si>
  <si>
    <t>ADVANCED MICRO DEVICES INC</t>
  </si>
  <si>
    <t>AMD</t>
  </si>
  <si>
    <t>PLASTIC MATERIALS, SYNTH RESINS &amp; NONVULCAN ELASTOMERS</t>
  </si>
  <si>
    <t>ADVANSIX INC.</t>
  </si>
  <si>
    <t>ASIX</t>
  </si>
  <si>
    <t>HEALTHCARE</t>
  </si>
  <si>
    <t>PHARMACEUTICAL PRODUCTS</t>
  </si>
  <si>
    <t>MEDICINAL CHEMICALS &amp; BOTANICAL PRODUCTS</t>
  </si>
  <si>
    <t>ADVANTAGE SOLUTIONS INC.</t>
  </si>
  <si>
    <t>ADV</t>
  </si>
  <si>
    <t>PHARMACEUTICAL PREPARATIONS</t>
  </si>
  <si>
    <t>AECOM</t>
  </si>
  <si>
    <t>ACM</t>
  </si>
  <si>
    <t>IN VITRO &amp; IN VIVO DIAGNOSTIC SUBSTANCES</t>
  </si>
  <si>
    <t>AEHR TEST SYSTEMS</t>
  </si>
  <si>
    <t>AEHR</t>
  </si>
  <si>
    <t>BIOLOGICAL PRODUCTS, (NO DISGNOSTIC SUBSTANCES)</t>
  </si>
  <si>
    <t>AEMETIS, INC</t>
  </si>
  <si>
    <t>AMTX</t>
  </si>
  <si>
    <t>SOAP, DETERGENTS, CLEANG PREPARATIONS, PERFUMES, COSMETICS</t>
  </si>
  <si>
    <t>AERCAP HOLDINGS N.V.</t>
  </si>
  <si>
    <t>AER</t>
  </si>
  <si>
    <t>SPECIALTY CLEANING, POLISHING AND SANITATION PREPARATIONS</t>
  </si>
  <si>
    <t>AERIE PHARMACEUTICALS INC</t>
  </si>
  <si>
    <t>AERI</t>
  </si>
  <si>
    <t>PERFUMES, COSMETICS &amp; OTHER TOILET PREPARATIONS</t>
  </si>
  <si>
    <t>AEROJET ROCKETDYNE HOLDINGS, INC.</t>
  </si>
  <si>
    <t>AJRD</t>
  </si>
  <si>
    <t>PAINTS, VARNISHES, LACQUERS, ENAMELS &amp; ALLIED PRODS</t>
  </si>
  <si>
    <t>AEROVIRONMENT INC</t>
  </si>
  <si>
    <t>AVAV</t>
  </si>
  <si>
    <t>INDUSTRIAL ORGANIC CHEMICALS</t>
  </si>
  <si>
    <t>AERSALE CORP</t>
  </si>
  <si>
    <t>ASLE</t>
  </si>
  <si>
    <t>AGRICULTURAL CHEMICALS</t>
  </si>
  <si>
    <t>AES CORP</t>
  </si>
  <si>
    <t>AES</t>
  </si>
  <si>
    <t>MISCELLANEOUS CHEMICAL PRODUCTS</t>
  </si>
  <si>
    <t>AETHLON MEDICAL INC</t>
  </si>
  <si>
    <t>AEMD</t>
  </si>
  <si>
    <t>ADHESIVES &amp; SEALANTS</t>
  </si>
  <si>
    <t>AEVA TECHNOLOGIES, INC.</t>
  </si>
  <si>
    <t>AEVA</t>
  </si>
  <si>
    <t>PETROLEUM REFINING</t>
  </si>
  <si>
    <t>AEYE, INC.</t>
  </si>
  <si>
    <t>LIDR</t>
  </si>
  <si>
    <t>ASPHALT PAVING &amp; ROOFING MATERIALS</t>
  </si>
  <si>
    <t>AFFILIATED MANAGERS GROUP, INC.</t>
  </si>
  <si>
    <t>AMG</t>
  </si>
  <si>
    <t>MISCELLANEOUS PRODUCTS OF PETROLEUM &amp; COAL</t>
  </si>
  <si>
    <t>AFFINITY BANCSHARES, INC.</t>
  </si>
  <si>
    <t>AFBI</t>
  </si>
  <si>
    <t>AUTOMOBILES AND TRUCKS</t>
  </si>
  <si>
    <t>TIRES &amp; INNER TUBES</t>
  </si>
  <si>
    <t>AFFIRM HOLDINGS, INC.</t>
  </si>
  <si>
    <t>AFRM</t>
  </si>
  <si>
    <t>RUBBER &amp; PLASTICS FOOTWEAR</t>
  </si>
  <si>
    <t>AFLAC INC</t>
  </si>
  <si>
    <t>AFL</t>
  </si>
  <si>
    <t>RUBBER AND PLASTIC PRODUCTS</t>
  </si>
  <si>
    <t>GASKETS, PACKG &amp; SEALG DEVICES &amp; RUBBER &amp; PLASTICS HOSE</t>
  </si>
  <si>
    <t>AG MORTGAGE INVESTMENT TRUST, INC.</t>
  </si>
  <si>
    <t>MITT</t>
  </si>
  <si>
    <t>FABRICATED RUBBER PRODUCTS, NEC</t>
  </si>
  <si>
    <t>AGCO CORP /DE</t>
  </si>
  <si>
    <t>AGCO</t>
  </si>
  <si>
    <t>MISCELLANEOUS PLASTICS PRODUCTS</t>
  </si>
  <si>
    <t>AGEAGLE AERIAL SYSTEMS INC.</t>
  </si>
  <si>
    <t>UAVS</t>
  </si>
  <si>
    <t>UNSUPPORTED PLASTICS FILM &amp; SHEET</t>
  </si>
  <si>
    <t>AGENUS INC</t>
  </si>
  <si>
    <t>AGEN</t>
  </si>
  <si>
    <t>PLASTICS FOAM PRODUCTS</t>
  </si>
  <si>
    <t>AGILE THERAPEUTICS INC</t>
  </si>
  <si>
    <t>AGRX</t>
  </si>
  <si>
    <t>PLASTICS PRODUCTS, NEC</t>
  </si>
  <si>
    <t>AGILENT TECHNOLOGIES, INC.</t>
  </si>
  <si>
    <t>A</t>
  </si>
  <si>
    <t>LEATHER &amp; LEATHER PRODUCTS</t>
  </si>
  <si>
    <t>AGILETHOUGHT, INC.</t>
  </si>
  <si>
    <t>AGIL</t>
  </si>
  <si>
    <t>FOOTWEAR, (NO RUBBER)</t>
  </si>
  <si>
    <t>AGILITI, INC. DE</t>
  </si>
  <si>
    <t>AGTI</t>
  </si>
  <si>
    <t>FLAT GLASS</t>
  </si>
  <si>
    <t>AGILON HEALTH, INC.</t>
  </si>
  <si>
    <t>AGL</t>
  </si>
  <si>
    <t>GLASS &amp; GLASSWARE, PRESSED OR BLOWN</t>
  </si>
  <si>
    <t>AGILYSYS INC</t>
  </si>
  <si>
    <t>AGYS</t>
  </si>
  <si>
    <t>GLASS CONTAINERS</t>
  </si>
  <si>
    <t>AGIOS PHARMACEUTICALS, INC.</t>
  </si>
  <si>
    <t>AGIO</t>
  </si>
  <si>
    <t>GLASS PRODUCTS, MADE OF PURCHASED GLASS</t>
  </si>
  <si>
    <t>AGNC INVESTMENT CORP.</t>
  </si>
  <si>
    <t>AGNC</t>
  </si>
  <si>
    <t>CEMENT, HYDRAULIC</t>
  </si>
  <si>
    <t>AGORA, INC.</t>
  </si>
  <si>
    <t>API</t>
  </si>
  <si>
    <t>STRUCTURAL CLAY PRODUCTS</t>
  </si>
  <si>
    <t>AGREE REALTY CORP</t>
  </si>
  <si>
    <t>ADC</t>
  </si>
  <si>
    <t>POTTERY &amp; RELATED PRODUCTS</t>
  </si>
  <si>
    <t>AGRIFY CORP</t>
  </si>
  <si>
    <t>AGFY</t>
  </si>
  <si>
    <t>CONCRETE, GYPSUM &amp; PLASTER PRODUCTS</t>
  </si>
  <si>
    <t>AGROFRESH SOLUTIONS, INC.</t>
  </si>
  <si>
    <t>AGFS</t>
  </si>
  <si>
    <t>CONCRETE PRODUCTS, EXCEPT BLOCK &amp; BRICK</t>
  </si>
  <si>
    <t>AIM IMMUNOTECH INC.</t>
  </si>
  <si>
    <t>AIM</t>
  </si>
  <si>
    <t>CUT STONE &amp; STONE PRODUCTS</t>
  </si>
  <si>
    <t>AIR INDUSTRIES GROUP</t>
  </si>
  <si>
    <t>AIRI</t>
  </si>
  <si>
    <t>ABRASIVE, ASBESTOS &amp; MISC NONMETALLIC MINERAL PRODS</t>
  </si>
  <si>
    <t>AIR LEASE CORP</t>
  </si>
  <si>
    <t>AL</t>
  </si>
  <si>
    <t>STEEL WORKS ETC</t>
  </si>
  <si>
    <t>STEEL WORKS, BLAST FURNACES &amp; ROLLING &amp; FINISHING MILLS</t>
  </si>
  <si>
    <t>AIR PRODUCTS &amp; CHEMICALS INC /DE/</t>
  </si>
  <si>
    <t>APD</t>
  </si>
  <si>
    <t>STEEL WORKS, BLAST FURNACES &amp; ROLLING MILLS (COKE OVENS)</t>
  </si>
  <si>
    <t>AIR T INC</t>
  </si>
  <si>
    <t>AIRT</t>
  </si>
  <si>
    <t>STEEL PIPE &amp; TUBES</t>
  </si>
  <si>
    <t>AIR TRANSPORT SERVICES GROUP, INC.</t>
  </si>
  <si>
    <t>ATSG</t>
  </si>
  <si>
    <t>IRON &amp; STEEL FOUNDRIES</t>
  </si>
  <si>
    <t>AIRBNB, INC.</t>
  </si>
  <si>
    <t>ABNB</t>
  </si>
  <si>
    <t>PRIMARY SMELTING &amp; REFINING OF NONFERROUS METALS</t>
  </si>
  <si>
    <t>AIRGAIN INC</t>
  </si>
  <si>
    <t>AIRG</t>
  </si>
  <si>
    <t>PRIMARY PRODUCTION OF ALUMINUM</t>
  </si>
  <si>
    <t>AIRNET TECHNOLOGY INC.</t>
  </si>
  <si>
    <t>ANTE</t>
  </si>
  <si>
    <t>SECONDARY SMELTING &amp; REFINING OF NONFERROUS METALS</t>
  </si>
  <si>
    <t>AIRSCULPT TECHNOLOGIES, INC.</t>
  </si>
  <si>
    <t>AIRS</t>
  </si>
  <si>
    <t>ROLLING DRAWING &amp; EXTRUDING OF NONFERROUS METALS</t>
  </si>
  <si>
    <t>AIRSPAN NETWORKS HOLDINGS INC.</t>
  </si>
  <si>
    <t>MIMO</t>
  </si>
  <si>
    <t>DRAWING &amp; INSULATING OF NONFERROUS WIRE</t>
  </si>
  <si>
    <t>AKAMAI TECHNOLOGIES INC</t>
  </si>
  <si>
    <t>AKAM</t>
  </si>
  <si>
    <t>NONFERROUS FOUNDRIES (CASTINGS)</t>
  </si>
  <si>
    <t>AKEBIA THERAPEUTICS, INC.</t>
  </si>
  <si>
    <t>AKBA</t>
  </si>
  <si>
    <t>MISCELLANEOUS PRIMARY METAL PRODUCTS</t>
  </si>
  <si>
    <t>AKOUSTIS TECHNOLOGIES, INC.</t>
  </si>
  <si>
    <t>AKTS</t>
  </si>
  <si>
    <t>METAL CANS</t>
  </si>
  <si>
    <t>AKOYA BIOSCIENCES, INC.</t>
  </si>
  <si>
    <t>AKYA</t>
  </si>
  <si>
    <t>METAL SHIPPING BARRELS, DRUMS, KEGS &amp; PAILS</t>
  </si>
  <si>
    <t>AKUMIN INC.</t>
  </si>
  <si>
    <t>AKU</t>
  </si>
  <si>
    <t>CUTLERY, HANDTOOLS &amp; GENERAL HARDWARE</t>
  </si>
  <si>
    <t>ALAMO GROUP INC</t>
  </si>
  <si>
    <t>ALG</t>
  </si>
  <si>
    <t>HEATING EQUIP, EXCEPT ELEC &amp; WARM AIR; &amp; PLUMBING FIXTURES</t>
  </si>
  <si>
    <t>ALARM.COM HOLDINGS, INC.</t>
  </si>
  <si>
    <t>ALRM</t>
  </si>
  <si>
    <t>HEATING EQUIPMENT, EXCEPT ELECTRIC &amp; WARM AIR FURNACES</t>
  </si>
  <si>
    <t>ALASKA AIR GROUP, INC.</t>
  </si>
  <si>
    <t>ALK</t>
  </si>
  <si>
    <t>FABRICATED STRUCTURAL METAL PRODUCTS</t>
  </si>
  <si>
    <t>ALBANY INTERNATIONAL CORP /DE/</t>
  </si>
  <si>
    <t>AIN</t>
  </si>
  <si>
    <t>METAL DOORS, SASH, FRAMES, MOLDINGS &amp; TRIM</t>
  </si>
  <si>
    <t>ALBEMARLE CORP</t>
  </si>
  <si>
    <t>ALB</t>
  </si>
  <si>
    <t>FABRICATED PRODUCTS</t>
  </si>
  <si>
    <t>FABRICATED PLATE WORK (BOILER SHOPS)</t>
  </si>
  <si>
    <t>ALBERTSONS COMPANIES, INC.</t>
  </si>
  <si>
    <t>ACI</t>
  </si>
  <si>
    <t>SHEET METAL WORK</t>
  </si>
  <si>
    <t>ALBIREO PHARMA, INC.</t>
  </si>
  <si>
    <t>ALBO</t>
  </si>
  <si>
    <t>PREFABRICATED METAL BUILDINGS &amp; COMPONENTS</t>
  </si>
  <si>
    <t>ALCOA CORP</t>
  </si>
  <si>
    <t>AA</t>
  </si>
  <si>
    <t>SCREW MACHINE PRODUCTS</t>
  </si>
  <si>
    <t>ALECTOR, INC.</t>
  </si>
  <si>
    <t>ALEC</t>
  </si>
  <si>
    <t>BOLTS, NUTS, SCREWS, RIVETS &amp; WASHERS</t>
  </si>
  <si>
    <t>ALERUS FINANCIAL CORP</t>
  </si>
  <si>
    <t>ALRS</t>
  </si>
  <si>
    <t>METAL FORGINGS &amp; STAMPINGS</t>
  </si>
  <si>
    <t>ALEXANDER &amp; BALDWIN, INC.</t>
  </si>
  <si>
    <t>ALEX</t>
  </si>
  <si>
    <t>COATING, ENGRAVING &amp; ALLIED SERVICES</t>
  </si>
  <si>
    <t>ALEXANDERS INC</t>
  </si>
  <si>
    <t>ALX</t>
  </si>
  <si>
    <t>DEFENSE</t>
  </si>
  <si>
    <t>ORDNANCE &amp; ACCESSORIES, (NO VEHICLES/GUIDED MISSILES)</t>
  </si>
  <si>
    <t>ALEXANDRIA REAL ESTATE EQUITIES, INC.</t>
  </si>
  <si>
    <t>ARE</t>
  </si>
  <si>
    <t>MISCELLANEOUS FABRICATED METAL PRODUCTS</t>
  </si>
  <si>
    <t>ALGONQUIN POWER &amp; UTILITIES CORP.</t>
  </si>
  <si>
    <t>AQN</t>
  </si>
  <si>
    <t>MACHINERY</t>
  </si>
  <si>
    <t>ENGINES &amp; TURBINES</t>
  </si>
  <si>
    <t>ALIBABA GROUP HOLDING LTD</t>
  </si>
  <si>
    <t>BABA</t>
  </si>
  <si>
    <t>FARM MACHINERY &amp; EQUIPMENT</t>
  </si>
  <si>
    <t>ALICO, INC.</t>
  </si>
  <si>
    <t>ALCO</t>
  </si>
  <si>
    <t>LAWN &amp; GARDEN TRACTORS &amp; HOME LAWN &amp; GARDENS EQUIP</t>
  </si>
  <si>
    <t>ALIGN TECHNOLOGY INC</t>
  </si>
  <si>
    <t>ALGN</t>
  </si>
  <si>
    <t>CONSTRUCTION, MINING &amp; MATERIALS HANDLING MACHINERY &amp; EQUIP</t>
  </si>
  <si>
    <t>ALIGNMENT HEALTHCARE, INC.</t>
  </si>
  <si>
    <t>ALHC</t>
  </si>
  <si>
    <t>CONSTRUCTION MACHINERY &amp; EQUIP</t>
  </si>
  <si>
    <t>ALIMERA SCIENCES INC</t>
  </si>
  <si>
    <t>ALIM</t>
  </si>
  <si>
    <t>MINING MACHINERY &amp; EQUIP (NO OIL &amp; GAS FIELD MACH &amp; EQUIP)</t>
  </si>
  <si>
    <t>ALJ REGIONAL HOLDINGS INC</t>
  </si>
  <si>
    <t>ALJJ</t>
  </si>
  <si>
    <t>OIL &amp; GAS FIELD MACHINERY &amp; EQUIPMENT</t>
  </si>
  <si>
    <t>ALKALINE WATER CO INC</t>
  </si>
  <si>
    <t>WTER</t>
  </si>
  <si>
    <t>INDUSTRIAL TRUCKS, TRACTORS, TRAILORS &amp; STACKERS</t>
  </si>
  <si>
    <t>ALKAMI TECHNOLOGY, INC.</t>
  </si>
  <si>
    <t>ALKT</t>
  </si>
  <si>
    <t>METALWORKG MACHINERY &amp; EQUIPMENT</t>
  </si>
  <si>
    <t>ALKERMES PLC.</t>
  </si>
  <si>
    <t>ALKS</t>
  </si>
  <si>
    <t>MACHINE TOOLS, METAL CUTTING TYPES</t>
  </si>
  <si>
    <t>ALLBIRDS, INC.</t>
  </si>
  <si>
    <t>BIRD</t>
  </si>
  <si>
    <t>SPECIAL INDUSTRY MACHINERY (NO METALWORKING MACHINERY)</t>
  </si>
  <si>
    <t>ALLEGHANY CORP /DE</t>
  </si>
  <si>
    <t>Y</t>
  </si>
  <si>
    <t>PRINTING TRADES MACHINERY &amp; EQUIPMENT</t>
  </si>
  <si>
    <t>ALLEGHENY TECHNOLOGIES INC</t>
  </si>
  <si>
    <t>ATI</t>
  </si>
  <si>
    <t>SPECIAL INDUSTRY MACHINERY, NEC</t>
  </si>
  <si>
    <t>ALLEGIANCE BANCSHARES, INC.</t>
  </si>
  <si>
    <t>ABTX</t>
  </si>
  <si>
    <t>GENERAL INDUSTRIAL MACHINERY &amp; EQUIPMENT</t>
  </si>
  <si>
    <t>ALLEGIANT TRAVEL CO</t>
  </si>
  <si>
    <t>ALGT</t>
  </si>
  <si>
    <t>PUMPS &amp; PUMPING EQUIPMENT</t>
  </si>
  <si>
    <t>ALLEGION PLC</t>
  </si>
  <si>
    <t>ALLE</t>
  </si>
  <si>
    <t>BALL &amp; ROLLER BEARINGS</t>
  </si>
  <si>
    <t>ALLEGRO MICROSYSTEMS, INC.</t>
  </si>
  <si>
    <t>ALGM</t>
  </si>
  <si>
    <t>INDUSTRIAL &amp; COMMERCIAL FANS &amp; BLOWERS &amp; AIR PURIFING EQUIP</t>
  </si>
  <si>
    <t>ALLETE INC</t>
  </si>
  <si>
    <t>ALE</t>
  </si>
  <si>
    <t>INDUSTRIAL PROCESS FURNACES &amp; OVENS</t>
  </si>
  <si>
    <t>ALLIANCE RESOURCE PARTNERS LP</t>
  </si>
  <si>
    <t>ARLP</t>
  </si>
  <si>
    <t>GENERAL INDUSTRIAL MACHINERY &amp; EQUIPMENT, NEC</t>
  </si>
  <si>
    <t>ALLIANT ENERGY CORP</t>
  </si>
  <si>
    <t>LNT</t>
  </si>
  <si>
    <t>TECHNOLOGY</t>
  </si>
  <si>
    <t>COMPUTERS</t>
  </si>
  <si>
    <t>COMPUTER &amp; OFFICE EQUIPMENT</t>
  </si>
  <si>
    <t>ALLIED ESPORTS ENTERTAINMENT, INC.</t>
  </si>
  <si>
    <t>AESE</t>
  </si>
  <si>
    <t>ELECTRONIC COMPUTERS</t>
  </si>
  <si>
    <t>ALLIED MOTION TECHNOLOGIES INC</t>
  </si>
  <si>
    <t>AMOT</t>
  </si>
  <si>
    <t>COMPUTER STORAGE DEVICES</t>
  </si>
  <si>
    <t>ALLISON TRANSMISSION HOLDINGS INC</t>
  </si>
  <si>
    <t>ALSN</t>
  </si>
  <si>
    <t>COMPUTER TERMINALS</t>
  </si>
  <si>
    <t>ALLOT LTD.</t>
  </si>
  <si>
    <t>ALLT</t>
  </si>
  <si>
    <t>COMPUTER COMMUNICATIONS EQUIPMENT</t>
  </si>
  <si>
    <t>ALLSCRIPTS HEALTHCARE SOLUTIONS, INC.</t>
  </si>
  <si>
    <t>MDRX</t>
  </si>
  <si>
    <t>COMPUTER PERIPHERAL EQUIPMENT, NEC</t>
  </si>
  <si>
    <t>ALLSTATE CORP</t>
  </si>
  <si>
    <t>ALL</t>
  </si>
  <si>
    <t>CALCULATING &amp; ACCOUNTING MACHINES (NO ELECTRONIC COMPUTERS)</t>
  </si>
  <si>
    <t>ALLY FINANCIAL INC.</t>
  </si>
  <si>
    <t>ALLY</t>
  </si>
  <si>
    <t>OFFICE MACHINES, NEC</t>
  </si>
  <si>
    <t>ALNYLAM PHARMACEUTICALS, INC.</t>
  </si>
  <si>
    <t>ALNY</t>
  </si>
  <si>
    <t>REFRIGERATION &amp; SERVICE INDUSTRY MACHINERY</t>
  </si>
  <si>
    <t>ALPHA &amp; OMEGA SEMICONDUCTOR LTD</t>
  </si>
  <si>
    <t>AOSL</t>
  </si>
  <si>
    <t>AIR-COND &amp; WARM AIR HEATG EQUIP &amp; COMM &amp; INDL REFRIG EQUIP</t>
  </si>
  <si>
    <t>ALPHA METALLURGICAL RESOURCES, INC.</t>
  </si>
  <si>
    <t>AMR</t>
  </si>
  <si>
    <t>MISC INDUSTRIAL &amp; COMMERCIAL MACHINERY &amp; EQUIPMENT</t>
  </si>
  <si>
    <t>ALPHA PRO TECH LTD</t>
  </si>
  <si>
    <t>APT</t>
  </si>
  <si>
    <t>ELECTRICAL EQUIPMENT</t>
  </si>
  <si>
    <t>ELECTRONIC &amp; OTHER ELECTRICAL EQUIPMENT (NO COMPUTER EQUIP)</t>
  </si>
  <si>
    <t>ALPHA TEKNOVA, INC.</t>
  </si>
  <si>
    <t>TKNO</t>
  </si>
  <si>
    <t>POWER, DISTRIBUTION &amp; SPECIALTY TRANSFORMERS</t>
  </si>
  <si>
    <t>ALPHABET INC.</t>
  </si>
  <si>
    <t>GOOGL</t>
  </si>
  <si>
    <t>SWITCHGEAR &amp; SWITCHBOARD APPARATUS</t>
  </si>
  <si>
    <t>ALPHATEC HOLDINGS, INC.</t>
  </si>
  <si>
    <t>ATEC</t>
  </si>
  <si>
    <t>ELECTRICAL INDUSTRIAL APPARATUS</t>
  </si>
  <si>
    <t>ALPINE 4 HOLDINGS, INC.</t>
  </si>
  <si>
    <t>ALPP</t>
  </si>
  <si>
    <t>MOTORS &amp; GENERATORS</t>
  </si>
  <si>
    <t>ALPINE IMMUNE SCIENCES, INC.</t>
  </si>
  <si>
    <t>ALPN</t>
  </si>
  <si>
    <t>HOUSEHOLD APPLIANCES</t>
  </si>
  <si>
    <t>ALPINE INCOME PROPERTY TRUST, INC.</t>
  </si>
  <si>
    <t>PINE</t>
  </si>
  <si>
    <t>ELECTRIC HOUSEWARES &amp; FANS</t>
  </si>
  <si>
    <t>ALSET EHOME INTERNATIONAL INC.</t>
  </si>
  <si>
    <t>AEI</t>
  </si>
  <si>
    <t>ELECTRIC LIGHTING &amp; WIRING EQUIPMENT</t>
  </si>
  <si>
    <t>ALTA EQUIPMENT GROUP INC.</t>
  </si>
  <si>
    <t>ALTG</t>
  </si>
  <si>
    <t>HOUSEHOLD AUDIO &amp; VIDEO EQUIPMENT</t>
  </si>
  <si>
    <t>ALTAIR ENGINEERING INC.</t>
  </si>
  <si>
    <t>ALTR</t>
  </si>
  <si>
    <t>PHONOGRAPH RECORDS &amp; PRERECORDED AUDIO TAPES &amp; DISKS</t>
  </si>
  <si>
    <t>ALTERYX, INC.</t>
  </si>
  <si>
    <t>AYX</t>
  </si>
  <si>
    <t>ELECTRONIC EQUIPMENT</t>
  </si>
  <si>
    <t>TELEPHONE &amp; TELEGRAPH APPARATUS</t>
  </si>
  <si>
    <t>ALTICE USA, INC.</t>
  </si>
  <si>
    <t>ATUS</t>
  </si>
  <si>
    <t>RADIO &amp; TV BROADCASTING &amp; COMMUNICATIONS EQUIPMENT</t>
  </si>
  <si>
    <t>ALTIMMUNE, INC.</t>
  </si>
  <si>
    <t>ALT</t>
  </si>
  <si>
    <t>COMMUNICATIONS EQUIPMENT, NEC</t>
  </si>
  <si>
    <t>ALTISOURCE PORTFOLIO SOLUTIONS S.A.</t>
  </si>
  <si>
    <t>ASPS</t>
  </si>
  <si>
    <t>ELECTRONIC COMPONENTS &amp; ACCESSORIES</t>
  </si>
  <si>
    <t>ALTO INGREDIENTS, INC.</t>
  </si>
  <si>
    <t>ALTO</t>
  </si>
  <si>
    <t>PRINTED CIRCUIT BOARDS</t>
  </si>
  <si>
    <t>ALTRA INDUSTRIAL MOTION CORP.</t>
  </si>
  <si>
    <t>AIMC</t>
  </si>
  <si>
    <t>SEMICONDUCTORS &amp; RELATED DEVICES</t>
  </si>
  <si>
    <t>ALTRIA GROUP, INC.</t>
  </si>
  <si>
    <t>MO</t>
  </si>
  <si>
    <t>ELECTRONIC COILS, TRANSFORMERS &amp; OTHER INDUCTORS</t>
  </si>
  <si>
    <t>ALTUS POWER, INC.</t>
  </si>
  <si>
    <t>AMPS</t>
  </si>
  <si>
    <t>ELECTRONIC CONNECTORS</t>
  </si>
  <si>
    <t>ALX ONCOLOGY HOLDINGS INC</t>
  </si>
  <si>
    <t>ALXO</t>
  </si>
  <si>
    <t>ELECTRONIC COMPONENTS, NEC</t>
  </si>
  <si>
    <t>AMALGAMATED FINANCIAL CORP.</t>
  </si>
  <si>
    <t>AMAL</t>
  </si>
  <si>
    <t>MISCELLANEOUS ELECTRICAL MACHINERY, EQUIPMENT &amp; SUPPLIES</t>
  </si>
  <si>
    <t>AMARIN CORP PLCUK</t>
  </si>
  <si>
    <t>AMRN</t>
  </si>
  <si>
    <t>MAGNETIC &amp; OPTICAL RECORDING MEDIA</t>
  </si>
  <si>
    <t>AMAZON COM INC</t>
  </si>
  <si>
    <t>MOTOR VEHICLES &amp; PASSENGER CAR BODIES</t>
  </si>
  <si>
    <t>AMBAC FINANCIAL GROUP INC</t>
  </si>
  <si>
    <t>AMBC</t>
  </si>
  <si>
    <t>TRUCK &amp; BUS BODIES</t>
  </si>
  <si>
    <t>AMBARELLA INC</t>
  </si>
  <si>
    <t>AMBA</t>
  </si>
  <si>
    <t>MOTOR VEHICLE PARTS &amp; ACCESSORIES</t>
  </si>
  <si>
    <t>AMBRX BIOPHARMA INC.</t>
  </si>
  <si>
    <t>AMAM</t>
  </si>
  <si>
    <t>TRUCK TRAILERS</t>
  </si>
  <si>
    <t>AMC ENTERTAINMENT HOLDINGS, INC.</t>
  </si>
  <si>
    <t>AMC</t>
  </si>
  <si>
    <t>MOTOR HOMES</t>
  </si>
  <si>
    <t>AMC NETWORKS INC.</t>
  </si>
  <si>
    <t>AMCX</t>
  </si>
  <si>
    <t>AIRCRAFT</t>
  </si>
  <si>
    <t>AIRCRAFT &amp; PARTS</t>
  </si>
  <si>
    <t>AMCON DISTRIBUTING CO</t>
  </si>
  <si>
    <t>DIT</t>
  </si>
  <si>
    <t>AMCOR PLC</t>
  </si>
  <si>
    <t>AMCR</t>
  </si>
  <si>
    <t>AIRCRAFT ENGINES &amp; ENGINE PARTS</t>
  </si>
  <si>
    <t>AMDOCS LTD</t>
  </si>
  <si>
    <t>DOX</t>
  </si>
  <si>
    <t>AIRCRAFT PARTS &amp; AUXILIARY EQUIPMENT, NEC</t>
  </si>
  <si>
    <t>AMERANT BANCORP INC.</t>
  </si>
  <si>
    <t>AMTB</t>
  </si>
  <si>
    <t>SHIPBUILDING, RAILROAD EQUIPMENT</t>
  </si>
  <si>
    <t>SHIP &amp; BOAT BUILDING &amp; REPAIRING</t>
  </si>
  <si>
    <t>AMERCO /NV/</t>
  </si>
  <si>
    <t>UHAL</t>
  </si>
  <si>
    <t>RAILROAD EQUIPMENT</t>
  </si>
  <si>
    <t>AMEREN CORP</t>
  </si>
  <si>
    <t>AEE</t>
  </si>
  <si>
    <t>MOTORCYCLES, BICYCLES &amp; PARTS</t>
  </si>
  <si>
    <t>AMERESCO, INC.</t>
  </si>
  <si>
    <t>AMRC</t>
  </si>
  <si>
    <t>GUIDED MISSILES &amp; SPACE VEHICLES &amp; PARTS</t>
  </si>
  <si>
    <t>AMERICA FIRST MULTIFAMILY INVESTORS, L.P.</t>
  </si>
  <si>
    <t>ATAX</t>
  </si>
  <si>
    <t>MISCELLANEOUS TRANSPORTATION EQUIPMENT</t>
  </si>
  <si>
    <t>AMERICAN AIRLINES GROUP INC.</t>
  </si>
  <si>
    <t>AAL</t>
  </si>
  <si>
    <t>SEARCH, DETECTION, NAVAGATION, GUIDANCE, AERONAUTICAL SYS</t>
  </si>
  <si>
    <t>AMERICAN ASSETS TRUST, INC.</t>
  </si>
  <si>
    <t>AAT</t>
  </si>
  <si>
    <t>MEASURING AND CONTROL EQUIPMENT</t>
  </si>
  <si>
    <t>LABORATORY APPARATUS &amp; FURNITURE</t>
  </si>
  <si>
    <t>AMERICAN AXLE &amp; MANUFACTURING HOLDINGS INC</t>
  </si>
  <si>
    <t>AXL</t>
  </si>
  <si>
    <t>AUTO CONTROLS FOR REGULATING RESIDENTIAL &amp; COMML ENVIRONMENTS</t>
  </si>
  <si>
    <t>AMERICAN CAMPUS COMMUNITIES INC</t>
  </si>
  <si>
    <t>ACC</t>
  </si>
  <si>
    <t>INDUSTRIAL INSTRUMENTS FOR MEASUREMENT, DISPLAY, AND CONTROL</t>
  </si>
  <si>
    <t>AMERICAN EAGLE OUTFITTERS INC</t>
  </si>
  <si>
    <t>AEO</t>
  </si>
  <si>
    <t>TOTALIZING FLUID METERS &amp; COUNTING DEVICES</t>
  </si>
  <si>
    <t>AMERICAN ELECTRIC POWER CO INC</t>
  </si>
  <si>
    <t>AEP</t>
  </si>
  <si>
    <t>INSTRUMENTS FOR MEAS &amp; TESTING OF ELECTRICITY &amp; ELEC SIGNALS</t>
  </si>
  <si>
    <t>AMERICAN EQUITY INVESTMENT LIFE HOLDING CO</t>
  </si>
  <si>
    <t>AEL</t>
  </si>
  <si>
    <t>LABORATORY ANALYTICAL INSTRUMENTS</t>
  </si>
  <si>
    <t>AMERICAN EXPRESS CO</t>
  </si>
  <si>
    <t>AXP</t>
  </si>
  <si>
    <t>OPTICAL INSTRUMENTS &amp; LENSES</t>
  </si>
  <si>
    <t>AMERICAN FINANCIAL GROUP INC</t>
  </si>
  <si>
    <t>AFG</t>
  </si>
  <si>
    <t>MEASURING &amp; CONTROLLING DEVICES, NEC</t>
  </si>
  <si>
    <t>AMERICAN HOMES 4 RENT</t>
  </si>
  <si>
    <t>AMH</t>
  </si>
  <si>
    <t>MEDICAL EQUIPMENT</t>
  </si>
  <si>
    <t>SURGICAL &amp; MEDICAL INSTRUMENTS &amp; APPARATUS</t>
  </si>
  <si>
    <t>AMERICAN INTERNATIONAL GROUP, INC.</t>
  </si>
  <si>
    <t>AIG</t>
  </si>
  <si>
    <t>ORTHOPEDIC, PROSTHETIC &amp; SURGICAL APPLIANCES &amp; SUPPLIES</t>
  </si>
  <si>
    <t>AMERICAN NATIONAL BANKSHARES INC.</t>
  </si>
  <si>
    <t>AMNB</t>
  </si>
  <si>
    <t>DENTAL EQUIPMENT &amp; SUPPLIES</t>
  </si>
  <si>
    <t>AMERICAN OUTDOOR BRANDS, INC.</t>
  </si>
  <si>
    <t>AOUT</t>
  </si>
  <si>
    <t>X-RAY APPARATUS &amp; TUBES &amp; RELATED IRRADIATION APPARATUS</t>
  </si>
  <si>
    <t>AMERICAN PUBLIC EDUCATION INC</t>
  </si>
  <si>
    <t>APEI</t>
  </si>
  <si>
    <t>ELECTROMEDICAL &amp; ELECTROTHERAPEUTIC APPARATUS</t>
  </si>
  <si>
    <t>AMERICAN REALTY INVESTORS INC</t>
  </si>
  <si>
    <t>ARL</t>
  </si>
  <si>
    <t>OPHTHALMIC GOODS</t>
  </si>
  <si>
    <t>AMERICAN RESOURCES CORP</t>
  </si>
  <si>
    <t>AREC</t>
  </si>
  <si>
    <t>PHOTOGRAPHIC EQUIPMENT &amp; SUPPLIES</t>
  </si>
  <si>
    <t>AMERICAN SHARED HOSPITAL SERVICES</t>
  </si>
  <si>
    <t>AMS</t>
  </si>
  <si>
    <t>WATCHES, CLOCKS, CLOCKWORK OPERATED DEVICES/PARTS</t>
  </si>
  <si>
    <t>AMERICAN SOFTWARE INC</t>
  </si>
  <si>
    <t>AMSWA</t>
  </si>
  <si>
    <t>JEWELRY, SILVERWARE &amp; PLATED WARE</t>
  </si>
  <si>
    <t>AMERICAN STATES WATER CO</t>
  </si>
  <si>
    <t>AWR</t>
  </si>
  <si>
    <t>JEWELRY, PRECIOUS METAL</t>
  </si>
  <si>
    <t>AMERICAN SUPERCONDUCTOR CORP /DE/</t>
  </si>
  <si>
    <t>AMSC</t>
  </si>
  <si>
    <t>MUSICAL INSTRUMENTS</t>
  </si>
  <si>
    <t>AMERICAN TOWER CORP /MA/</t>
  </si>
  <si>
    <t>AMT</t>
  </si>
  <si>
    <t>DOLLS &amp; STUFFED TOYS</t>
  </si>
  <si>
    <t>AMERICAN VANGUARD CORP</t>
  </si>
  <si>
    <t>AVD</t>
  </si>
  <si>
    <t>GAMES, TOYS &amp; CHILDREN'S VEHICLES (NO DOLLS &amp; BICYCLES)</t>
  </si>
  <si>
    <t>AMERICAN WATER WORKS COMPANY, INC.</t>
  </si>
  <si>
    <t>AWK</t>
  </si>
  <si>
    <t>SPORTING &amp; ATHLETIC GOODS, NEC</t>
  </si>
  <si>
    <t>AMERICAN WELL CORP</t>
  </si>
  <si>
    <t>AMWL</t>
  </si>
  <si>
    <t>PENS, PENCILS &amp; OTHER ARTISTS' MATERIALS</t>
  </si>
  <si>
    <t>AMERICAN WOODMARK CORP</t>
  </si>
  <si>
    <t>AMWD</t>
  </si>
  <si>
    <t>COSTUME JEWELRY &amp; NOVELTIES</t>
  </si>
  <si>
    <t>AMERICANN, INC.</t>
  </si>
  <si>
    <t>ACAN</t>
  </si>
  <si>
    <t>ALMOST NOTHING</t>
  </si>
  <si>
    <t>MISCELLANEOUS MANUFACTURING INDUSTRIES</t>
  </si>
  <si>
    <t>AMERICAS CARMART INC</t>
  </si>
  <si>
    <t>CRMT</t>
  </si>
  <si>
    <t>TRANSPORTATION</t>
  </si>
  <si>
    <t>RAILROADS, LINE-HAUL OPERATING</t>
  </si>
  <si>
    <t>AMERICOLD REALTY TRUST</t>
  </si>
  <si>
    <t>COLD</t>
  </si>
  <si>
    <t>RAILROAD SWITCHING &amp; TERMINAL ESTABLISHMENTS</t>
  </si>
  <si>
    <t>AMERIPRISE FINANCIAL INC</t>
  </si>
  <si>
    <t>AMP</t>
  </si>
  <si>
    <t>LOCAL &amp; SUBURBAN TRANSIT &amp; INTERURBAN HWY PASSENGER TRANS</t>
  </si>
  <si>
    <t>AMERIS BANCORP</t>
  </si>
  <si>
    <t>ABCB</t>
  </si>
  <si>
    <t>TRUCKING &amp; COURIER SERVICES (NO AIR)</t>
  </si>
  <si>
    <t>AMERISAFE INC</t>
  </si>
  <si>
    <t>AMSF</t>
  </si>
  <si>
    <t>TRUCKING (NO LOCAL)</t>
  </si>
  <si>
    <t>AMERISERV FINANCIAL INC /PA/</t>
  </si>
  <si>
    <t>ASRV</t>
  </si>
  <si>
    <t>PUBLIC WAREHOUSING &amp; STORAGE</t>
  </si>
  <si>
    <t>AMERISOURCEBERGEN CORP</t>
  </si>
  <si>
    <t>ABC</t>
  </si>
  <si>
    <t>TERMINAL MAINTENANCE FACILITIES FOR MOTOR FREIGHT TRANSPORT</t>
  </si>
  <si>
    <t>AMES NATIONAL CORP</t>
  </si>
  <si>
    <t>ATLO</t>
  </si>
  <si>
    <t>WATER TRANSPORTATION</t>
  </si>
  <si>
    <t>AMETEK INC/</t>
  </si>
  <si>
    <t>AME</t>
  </si>
  <si>
    <t>DEEP SEA FOREIGN TRANSPORTATION OF FREIGHT</t>
  </si>
  <si>
    <t>AMGEN INC</t>
  </si>
  <si>
    <t>AMGN</t>
  </si>
  <si>
    <t>AIR TRANSPORTATION, SCHEDULED</t>
  </si>
  <si>
    <t>AMICUS THERAPEUTICS, INC.</t>
  </si>
  <si>
    <t>FOLD</t>
  </si>
  <si>
    <t>AIR COURIER SERVICES</t>
  </si>
  <si>
    <t>AMKOR TECHNOLOGY, INC.</t>
  </si>
  <si>
    <t>AMKR</t>
  </si>
  <si>
    <t>AIR TRANSPORTATION, NONSCHEDULED</t>
  </si>
  <si>
    <t>AMMO, INC.</t>
  </si>
  <si>
    <t>POWW</t>
  </si>
  <si>
    <t>AIRPORTS, FLYING FIELDS &amp; AIRPORT TERMINAL SERVICES</t>
  </si>
  <si>
    <t>AMN HEALTHCARE SERVICES INC</t>
  </si>
  <si>
    <t>AMN</t>
  </si>
  <si>
    <t>PIPE LINES (NO NATURAL GAS)</t>
  </si>
  <si>
    <t>AMNEAL PHARMACEUTICALS, INC.</t>
  </si>
  <si>
    <t>AMRX</t>
  </si>
  <si>
    <t>TRANSPORTATION SERVICES</t>
  </si>
  <si>
    <t>AMPCO PITTSBURGH CORP</t>
  </si>
  <si>
    <t>AP</t>
  </si>
  <si>
    <t>ARRANGEMENT OF TRANSPORTATION OF FREIGHT &amp; CARGO</t>
  </si>
  <si>
    <t>AMPHASTAR PHARMACEUTICALS, INC.</t>
  </si>
  <si>
    <t>AMPH</t>
  </si>
  <si>
    <t>TELECOMMUNICATIONS</t>
  </si>
  <si>
    <t>COMMUNICATION</t>
  </si>
  <si>
    <t>RADIOTELEPHONE COMMUNICATIONS</t>
  </si>
  <si>
    <t>AMPHENOL CORP /DE/</t>
  </si>
  <si>
    <t>APH</t>
  </si>
  <si>
    <t>TELEPHONE COMMUNICATIONS (NO RADIOTELEPHONE)</t>
  </si>
  <si>
    <t>AMPLIFY ENERGY CORP.</t>
  </si>
  <si>
    <t>AMPY</t>
  </si>
  <si>
    <t>TELEGRAPH &amp; OTHER MESSAGE COMMUNICATIONS</t>
  </si>
  <si>
    <t>AMPLITUDE, INC.</t>
  </si>
  <si>
    <t>AMPL</t>
  </si>
  <si>
    <t>RADIO BROADCASTING STATIONS</t>
  </si>
  <si>
    <t>AMREP CORP.</t>
  </si>
  <si>
    <t>AXR</t>
  </si>
  <si>
    <t>TELEVISION BROADCASTING STATIONS</t>
  </si>
  <si>
    <t>AMTECH SYSTEMS INC</t>
  </si>
  <si>
    <t>ASYS</t>
  </si>
  <si>
    <t>CABLE &amp; OTHER PAY TELEVISION SERVICES</t>
  </si>
  <si>
    <t>AMYRIS, INC.</t>
  </si>
  <si>
    <t>AMRS</t>
  </si>
  <si>
    <t>COMMUNICATIONS SERVICES, NEC</t>
  </si>
  <si>
    <t>ANALOG DEVICES INC</t>
  </si>
  <si>
    <t>ADI</t>
  </si>
  <si>
    <t>UTILITIES</t>
  </si>
  <si>
    <t>ELECTRIC, GAS &amp; SANITARY SERVICES</t>
  </si>
  <si>
    <t>ANAPTYSBIO, INC</t>
  </si>
  <si>
    <t>ANAB</t>
  </si>
  <si>
    <t>ELECTRIC SERVICES</t>
  </si>
  <si>
    <t>ANAVEX LIFE SCIENCES CORP.</t>
  </si>
  <si>
    <t>AVXL</t>
  </si>
  <si>
    <t>NATURAL GAS TRANSMISSION</t>
  </si>
  <si>
    <t>ANDERSONS, INC.</t>
  </si>
  <si>
    <t>ANDE</t>
  </si>
  <si>
    <t>NATURAL GAS TRANSMISISON &amp; DISTRIBUTION</t>
  </si>
  <si>
    <t>ANGEL OAK MORTGAGE, INC.</t>
  </si>
  <si>
    <t>AOMR</t>
  </si>
  <si>
    <t>NATURAL GAS DISTRIBUTION</t>
  </si>
  <si>
    <t>ANGI INC.</t>
  </si>
  <si>
    <t>ANGI</t>
  </si>
  <si>
    <t>ELECTRIC &amp; OTHER SERVICES COMBINED</t>
  </si>
  <si>
    <t>ANGIODYNAMICS INC</t>
  </si>
  <si>
    <t>ANGO</t>
  </si>
  <si>
    <t>GAS &amp; OTHER SERVICES COMBINED</t>
  </si>
  <si>
    <t>ANGION BIOMEDICA CORP.</t>
  </si>
  <si>
    <t>ANGN</t>
  </si>
  <si>
    <t>WATER SUPPLY</t>
  </si>
  <si>
    <t>ANI PHARMACEUTICALS INC</t>
  </si>
  <si>
    <t>ANIP</t>
  </si>
  <si>
    <t>SANITARY SERVICES</t>
  </si>
  <si>
    <t>ANIKA THERAPEUTICS, INC.</t>
  </si>
  <si>
    <t>ANIK</t>
  </si>
  <si>
    <t>REFUSE SYSTEMS</t>
  </si>
  <si>
    <t>ANNALY CAPITAL MANAGEMENT INC</t>
  </si>
  <si>
    <t>NLY</t>
  </si>
  <si>
    <t>HAZARDOUS WASTE MANAGEMENT</t>
  </si>
  <si>
    <t>ANSYS INC</t>
  </si>
  <si>
    <t>ANSS</t>
  </si>
  <si>
    <t>STEAM &amp; AIR-CONDITIONING SUPPLY</t>
  </si>
  <si>
    <t>ANTERIX INC.</t>
  </si>
  <si>
    <t>ATEX</t>
  </si>
  <si>
    <t>COGENERATION SERVICES &amp; SMALL POWER PRODUCERS</t>
  </si>
  <si>
    <t>ANTERO MIDSTREAM CORP</t>
  </si>
  <si>
    <t>AM</t>
  </si>
  <si>
    <t>RETAIL &amp; WHOLESALE</t>
  </si>
  <si>
    <t>WHOLESALE</t>
  </si>
  <si>
    <t>WHOLESALE-DURABLE GOODS</t>
  </si>
  <si>
    <t>ANTERO RESOURCES CORP</t>
  </si>
  <si>
    <t>AR</t>
  </si>
  <si>
    <t>WHOLESALE-MOTOR VEHICLES &amp; MOTOR VEHICLE PARTS &amp; SUPPLIES</t>
  </si>
  <si>
    <t>AON PLC</t>
  </si>
  <si>
    <t>AON</t>
  </si>
  <si>
    <t>WHOLESALE-MOTOR VEHICLE SUPPLIES &amp; NEW PARTS</t>
  </si>
  <si>
    <t>APARTMENT INCOME REIT CORP.</t>
  </si>
  <si>
    <t>AIRC</t>
  </si>
  <si>
    <t>WHOLESALE-FURNITURE &amp; HOME FURNISHINGS</t>
  </si>
  <si>
    <t>APARTMENT INVESTMENT &amp; MANAGEMENT CO</t>
  </si>
  <si>
    <t>AIV</t>
  </si>
  <si>
    <t>WHOLESALE-LUMBER &amp; OTHER CONSTRUCTION MATERIALS</t>
  </si>
  <si>
    <t>APELLIS PHARMACEUTICALS, INC.</t>
  </si>
  <si>
    <t>APLS</t>
  </si>
  <si>
    <t>WHOLESALE-LUMBER, PLYWOOD, MILLWORK &amp; WOOD PANELS</t>
  </si>
  <si>
    <t>API GROUP CORP</t>
  </si>
  <si>
    <t>APG</t>
  </si>
  <si>
    <t>WHOLESALE-PROFESSIONAL &amp; COMMERCIAL EQUIPMENT &amp; SUPPLIES</t>
  </si>
  <si>
    <t>APOGEE ENTERPRISES, INC.</t>
  </si>
  <si>
    <t>APOG</t>
  </si>
  <si>
    <t>WHOLESALE-COMPUTERS &amp; PERIPHERAL EQUIPMENT &amp; SOFTWARE</t>
  </si>
  <si>
    <t>APOLLO COMMERCIAL REAL ESTATE FINANCE, INC.</t>
  </si>
  <si>
    <t>ARI</t>
  </si>
  <si>
    <t>WHOLESALE-MEDICAL, DENTAL &amp; HOSPITAL EQUIPMENT &amp; SUPPLIES</t>
  </si>
  <si>
    <t>APOLLO ENDOSURGERY, INC.</t>
  </si>
  <si>
    <t>APEN</t>
  </si>
  <si>
    <t>WHOLESALE-METALS &amp; MINERALS (NO PETROLEUM)</t>
  </si>
  <si>
    <t>APOLLO MEDICAL HOLDINGS, INC.</t>
  </si>
  <si>
    <t>AMEH</t>
  </si>
  <si>
    <t>WHOLESALE-METALS SERVICE CENTERS &amp; OFFICES</t>
  </si>
  <si>
    <t>APPFOLIO INC</t>
  </si>
  <si>
    <t>APPF</t>
  </si>
  <si>
    <t>WHOLESALE-ELECTRICAL APPARATUS &amp; EQUIPMENT, WIRING SUPPLIES</t>
  </si>
  <si>
    <t>APPGATE, INC.</t>
  </si>
  <si>
    <t>APGT</t>
  </si>
  <si>
    <t>WHOLESALE-ELECTRICAL APPLIANCES, TV &amp; RADIO SETS</t>
  </si>
  <si>
    <t>APPIAN CORP</t>
  </si>
  <si>
    <t>APPN</t>
  </si>
  <si>
    <t>WHOLESALE-ELECTRONIC PARTS &amp; EQUIPMENT, NEC</t>
  </si>
  <si>
    <t>APPLE HOSPITALITY REIT, INC.</t>
  </si>
  <si>
    <t>APLE</t>
  </si>
  <si>
    <t>WHOLESALE-HARDWARE &amp; PLUMBING &amp; HEATING EQUIPMENT &amp; SUPPLIES</t>
  </si>
  <si>
    <t>WHOLESALE-HARDWARE</t>
  </si>
  <si>
    <t>APPLIED GENETIC TECHNOLOGIES CORP</t>
  </si>
  <si>
    <t>AGTC</t>
  </si>
  <si>
    <t>WHOLESALE-MACHINERY, EQUIPMENT &amp; SUPPLIES</t>
  </si>
  <si>
    <t>APPLIED INDUSTRIAL TECHNOLOGIES INC</t>
  </si>
  <si>
    <t>AIT</t>
  </si>
  <si>
    <t>WHOLESALE-CONSTRUCTION &amp; MINING (NO PETRO) MACHINERY &amp; EQUIP</t>
  </si>
  <si>
    <t>APPLIED MATERIALS INC /DE</t>
  </si>
  <si>
    <t>AMAT</t>
  </si>
  <si>
    <t>WHOLESALE-INDUSTRIAL MACHINERY &amp; EQUIPMENT</t>
  </si>
  <si>
    <t>APPLIED OPTOELECTRONICS, INC.</t>
  </si>
  <si>
    <t>AAOI</t>
  </si>
  <si>
    <t>WHOLESALE-MISC DURABLE GOODS</t>
  </si>
  <si>
    <t>APPLIED UV, INC.</t>
  </si>
  <si>
    <t>AUVI</t>
  </si>
  <si>
    <t>WHOLESALE-JEWELRY, WATCHES, PRECIOUS STONES &amp; METALS</t>
  </si>
  <si>
    <t>APPLOVIN CORP</t>
  </si>
  <si>
    <t>APP</t>
  </si>
  <si>
    <t>WHOLESALE-DURABLE GOODS, NEC</t>
  </si>
  <si>
    <t>APTARGROUP, INC.</t>
  </si>
  <si>
    <t>ATR</t>
  </si>
  <si>
    <t>WHOLESALE-PAPER &amp; PAPER PRODUCTS</t>
  </si>
  <si>
    <t>APTEVO THERAPEUTICS INC.</t>
  </si>
  <si>
    <t>APVO</t>
  </si>
  <si>
    <t>WHOLESALE-DRUGS, PROPRIETARIES &amp; DRUGGISTS' SUNDRIES</t>
  </si>
  <si>
    <t>APTINYX INC.</t>
  </si>
  <si>
    <t>APTX</t>
  </si>
  <si>
    <t>WHOLESALE-APPAREL, PIECE GOODS &amp; NOTIONS</t>
  </si>
  <si>
    <t>APTIV PLC</t>
  </si>
  <si>
    <t>APTV</t>
  </si>
  <si>
    <t>WHOLESALE-GROCERIES &amp; RELATED PRODUCTS</t>
  </si>
  <si>
    <t>APYX MEDICAL CORP</t>
  </si>
  <si>
    <t>APYX</t>
  </si>
  <si>
    <t>WHOLESALE-GROCERIES, GENERAL LINE</t>
  </si>
  <si>
    <t>AQUA METALS, INC.</t>
  </si>
  <si>
    <t>AQMS</t>
  </si>
  <si>
    <t>WHOLESALE-FARM PRODUCT RAW MATERIALS</t>
  </si>
  <si>
    <t>AQUABOUNTY TECHNOLOGIES, INC.</t>
  </si>
  <si>
    <t>AQB</t>
  </si>
  <si>
    <t>WHOLESALE-CHEMICALS &amp; ALLIED PRODUCTS</t>
  </si>
  <si>
    <t>AQUESTIVE THERAPEUTICS, INC.</t>
  </si>
  <si>
    <t>AQST</t>
  </si>
  <si>
    <t>WHOLESALE-PETROLEUM BULK STATIONS &amp; TERMINALS</t>
  </si>
  <si>
    <t>ARAMARK</t>
  </si>
  <si>
    <t>ARMK</t>
  </si>
  <si>
    <t>WHOLESALE-PETROLEUM &amp; PETROLEUM PRODUCTS (NO BULK STATIONS)</t>
  </si>
  <si>
    <t>ARAVIVE, INC.</t>
  </si>
  <si>
    <t>ARAV</t>
  </si>
  <si>
    <t>WHOLESALE-BEER, WINE &amp; DISTILLED ALCOHOLIC BEVERAGES</t>
  </si>
  <si>
    <t>ARBOR REALTY TRUST INC</t>
  </si>
  <si>
    <t>ABR</t>
  </si>
  <si>
    <t>WHOLESALE-MISCELLANEOUS NONDURABLE GOODS</t>
  </si>
  <si>
    <t>ARBUTUS BIOPHARMA CORP</t>
  </si>
  <si>
    <t>ABUS</t>
  </si>
  <si>
    <t>RETAIL</t>
  </si>
  <si>
    <t>RETAIL-BUILDING MATERIALS, HARDWARE, GARDEN SUPPLY</t>
  </si>
  <si>
    <t>ARC DOCUMENT SOLUTIONS, INC.</t>
  </si>
  <si>
    <t>ARC</t>
  </si>
  <si>
    <t>RETAIL-LUMBER &amp; OTHER BUILDING MATERIALS DEALERS</t>
  </si>
  <si>
    <t>ARCADIA BIOSCIENCES, INC.</t>
  </si>
  <si>
    <t>RKDA</t>
  </si>
  <si>
    <t>RETAIL-MOBILE HOME DEALERS</t>
  </si>
  <si>
    <t>ARCBEST CORP /DE/</t>
  </si>
  <si>
    <t>ARCB</t>
  </si>
  <si>
    <t>RETAIL-DEPARTMENT STORES</t>
  </si>
  <si>
    <t>ARCH CAPITAL GROUP LTD.</t>
  </si>
  <si>
    <t>ACGL</t>
  </si>
  <si>
    <t>RETAIL-VARIETY STORES</t>
  </si>
  <si>
    <t>ARCH RESOURCES, INC.</t>
  </si>
  <si>
    <t>ARCH</t>
  </si>
  <si>
    <t>RETAIL-MISC GENERAL MERCHANDISE STORES</t>
  </si>
  <si>
    <t>ARCHAEA ENERGY INC.</t>
  </si>
  <si>
    <t>LFG</t>
  </si>
  <si>
    <t>RETAIL-FOOD STORES</t>
  </si>
  <si>
    <t>ARCHER-DANIELS-MIDLAND CO</t>
  </si>
  <si>
    <t>ADM</t>
  </si>
  <si>
    <t>RETAIL-GROCERY STORES</t>
  </si>
  <si>
    <t>ARCHROCK, INC.</t>
  </si>
  <si>
    <t>AROC</t>
  </si>
  <si>
    <t>RETAIL-CONVENIENCE STORES</t>
  </si>
  <si>
    <t>ARCIMOTO INC</t>
  </si>
  <si>
    <t>FUV</t>
  </si>
  <si>
    <t>RETAIL-AUTO DEALERS &amp; GASOLINE STATIONS</t>
  </si>
  <si>
    <t>ARCONIC CORP</t>
  </si>
  <si>
    <t>ARNC</t>
  </si>
  <si>
    <t>RETAIL-AUTO &amp; HOME SUPPLY STORES</t>
  </si>
  <si>
    <t>ARCOS DORADOS HOLDINGS INC.</t>
  </si>
  <si>
    <t>ARCO</t>
  </si>
  <si>
    <t>RETAIL-APPAREL &amp; ACCESSORY STORES</t>
  </si>
  <si>
    <t>ARCOSA, INC.</t>
  </si>
  <si>
    <t>ACA</t>
  </si>
  <si>
    <t>RETAIL-WOMEN'S CLOTHING STORES</t>
  </si>
  <si>
    <t>ARCTURUS THERAPEUTICS HOLDINGS INC.</t>
  </si>
  <si>
    <t>ARCT</t>
  </si>
  <si>
    <t>RETAIL-FAMILY CLOTHING STORES</t>
  </si>
  <si>
    <t>ARCUS BIOSCIENCES, INC.</t>
  </si>
  <si>
    <t>RCUS</t>
  </si>
  <si>
    <t>RETAIL-SHOE STORES</t>
  </si>
  <si>
    <t>ARDELYX, INC.</t>
  </si>
  <si>
    <t>ARDX</t>
  </si>
  <si>
    <t>RETAIL-HOME FURNITURE, FURNISHINGS &amp; EQUIPMENT STORES</t>
  </si>
  <si>
    <t>ARDMORE SHIPPING CORP</t>
  </si>
  <si>
    <t>ASC</t>
  </si>
  <si>
    <t>RETAIL-FURNITURE STORES</t>
  </si>
  <si>
    <t>ARES COMMERCIAL REAL ESTATE CORP</t>
  </si>
  <si>
    <t>ACRE</t>
  </si>
  <si>
    <t>RETAIL-RADIO, TV &amp; CONSUMER ELECTRONICS STORES</t>
  </si>
  <si>
    <t>ARES MANAGEMENT CORP</t>
  </si>
  <si>
    <t>ARES</t>
  </si>
  <si>
    <t>RETAIL-COMPUTER &amp; COMPUTER SOFTWARE STORES</t>
  </si>
  <si>
    <t>ARGAN INC</t>
  </si>
  <si>
    <t>AGX</t>
  </si>
  <si>
    <t>RETAIL-RECORD &amp; PRERECORDED TAPE STORES</t>
  </si>
  <si>
    <t>ARGO GROUP INTERNATIONAL HOLDINGS, LTD.</t>
  </si>
  <si>
    <t>ARGO</t>
  </si>
  <si>
    <t>RESTAURANTS, HOTELS, MOTELS</t>
  </si>
  <si>
    <t>RETAIL-EATING &amp; DRINKING PLACES</t>
  </si>
  <si>
    <t>ARHAUS, INC.</t>
  </si>
  <si>
    <t>ARHS</t>
  </si>
  <si>
    <t>RETAIL-EATING PLACES</t>
  </si>
  <si>
    <t>ARIDIS PHARMACEUTICALS, INC.</t>
  </si>
  <si>
    <t>ARDS</t>
  </si>
  <si>
    <t>RETAIL-MISCELLANEOUS RETAIL</t>
  </si>
  <si>
    <t>ARIS WATER SOLUTIONS, INC.</t>
  </si>
  <si>
    <t>ARIS</t>
  </si>
  <si>
    <t>RETAIL-DRUG STORES AND PROPRIETARY STORES</t>
  </si>
  <si>
    <t>ARISTA NETWORKS, INC.</t>
  </si>
  <si>
    <t>ANET</t>
  </si>
  <si>
    <t>RETAIL-MISCELLANEOUS SHOPPING GOODS STORES</t>
  </si>
  <si>
    <t>ARK RESTAURANTS CORP</t>
  </si>
  <si>
    <t>ARKR</t>
  </si>
  <si>
    <t>RETAIL-JEWELRY STORES</t>
  </si>
  <si>
    <t>ARKO CORP.</t>
  </si>
  <si>
    <t>ARKO</t>
  </si>
  <si>
    <t>RETAIL-HOBBY, TOY &amp; GAME SHOPS</t>
  </si>
  <si>
    <t>ARLINGTON ASSET INVESTMENT CORP.</t>
  </si>
  <si>
    <t>AAIC</t>
  </si>
  <si>
    <t>RETAIL-NONSTORE RETAILERS</t>
  </si>
  <si>
    <t>ARLO TECHNOLOGIES, INC.</t>
  </si>
  <si>
    <t>ARLO</t>
  </si>
  <si>
    <t>RETAIL-CATALOG &amp; MAIL-ORDER HOUSES</t>
  </si>
  <si>
    <t>ARMADA HOFFLER PROPERTIES, INC.</t>
  </si>
  <si>
    <t>AHH</t>
  </si>
  <si>
    <t>RETAIL-RETAIL STORES, NEC</t>
  </si>
  <si>
    <t>ARMOUR RESIDENTIAL REIT, INC.</t>
  </si>
  <si>
    <t>ARR</t>
  </si>
  <si>
    <t>FINANCE</t>
  </si>
  <si>
    <t>BANKING</t>
  </si>
  <si>
    <t>NATIONAL COMMERCIAL BANKS</t>
  </si>
  <si>
    <t>ARMSTRONG WORLD INDUSTRIES INC</t>
  </si>
  <si>
    <t>AWI</t>
  </si>
  <si>
    <t>STATE COMMERCIAL BANKS</t>
  </si>
  <si>
    <t>ARRAY TECHNOLOGIES, INC.</t>
  </si>
  <si>
    <t>ARRY</t>
  </si>
  <si>
    <t>COMMERCIAL BANKS, NEC</t>
  </si>
  <si>
    <t>ARROW ELECTRONICS INC</t>
  </si>
  <si>
    <t>ARW</t>
  </si>
  <si>
    <t>SAVINGS INSTITUTION, FEDERALLY CHARTERED</t>
  </si>
  <si>
    <t>ARROW FINANCIAL CORP</t>
  </si>
  <si>
    <t>AROW</t>
  </si>
  <si>
    <t>SAVINGS INSTITUTIONS, NOT FEDERALLY CHARTERED</t>
  </si>
  <si>
    <t>ARROWHEAD PHARMACEUTICALS, INC.</t>
  </si>
  <si>
    <t>ARWR</t>
  </si>
  <si>
    <t>FUNCTIONS RELATED TO DEPOSITORY BANKING, NEC</t>
  </si>
  <si>
    <t>ARTERIS, INC.</t>
  </si>
  <si>
    <t>AIP</t>
  </si>
  <si>
    <t>FEDERAL &amp; FEDERALLY-SPONSORED CREDIT AGENCIES</t>
  </si>
  <si>
    <t>ARTESIAN RESOURCES CORP</t>
  </si>
  <si>
    <t>ARTNA</t>
  </si>
  <si>
    <t>PERSONAL CREDIT INSTITUTIONS</t>
  </si>
  <si>
    <t>ARTHUR J. GALLAGHER &amp; CO.</t>
  </si>
  <si>
    <t>AJG</t>
  </si>
  <si>
    <t>SHORT-TERM BUSINESS CREDIT INSTITUTIONS</t>
  </si>
  <si>
    <t>ARTISAN PARTNERS ASSET MANAGEMENT INC.</t>
  </si>
  <si>
    <t>APAM</t>
  </si>
  <si>
    <t>MISCELLANEOUS BUSINESS CREDIT INSTITUTION</t>
  </si>
  <si>
    <t>ARTS WAY MANUFACTURING CO INC</t>
  </si>
  <si>
    <t>ARTW</t>
  </si>
  <si>
    <t>MORTGAGE BANKERS &amp; LOAN CORRESPONDENTS</t>
  </si>
  <si>
    <t>ARVINAS, INC.</t>
  </si>
  <si>
    <t>ARVN</t>
  </si>
  <si>
    <t>LOAN BROKERS</t>
  </si>
  <si>
    <t>ASANA, INC.</t>
  </si>
  <si>
    <t>ASAN</t>
  </si>
  <si>
    <t>FINANCE LESSORS</t>
  </si>
  <si>
    <t>ASBURY AUTOMOTIVE GROUP INC</t>
  </si>
  <si>
    <t>ABG</t>
  </si>
  <si>
    <t>ASSET-BACKED SECURITIES</t>
  </si>
  <si>
    <t>ASCEND WELLNESS HOLDINGS, INC</t>
  </si>
  <si>
    <t>AAWH</t>
  </si>
  <si>
    <t>FINANCE SERVICES</t>
  </si>
  <si>
    <t>ASENSUS SURGICAL, INC.</t>
  </si>
  <si>
    <t>ASXC</t>
  </si>
  <si>
    <t>TRADING</t>
  </si>
  <si>
    <t>SECURITY &amp; COMMODITY BROKERS, DEALERS, EXCHANGES &amp; SERVICES</t>
  </si>
  <si>
    <t>ASGN INC</t>
  </si>
  <si>
    <t>ASGN</t>
  </si>
  <si>
    <t>SECURITY BROKERS, DEALERS &amp; FLOTATION COMPANIES</t>
  </si>
  <si>
    <t>ASHFORD HOSPITALITY TRUST INC</t>
  </si>
  <si>
    <t>AHT</t>
  </si>
  <si>
    <t>COMMODITY CONTRACTS BROKERS &amp; DEALERS</t>
  </si>
  <si>
    <t>ASHFORD INC.</t>
  </si>
  <si>
    <t>AINC</t>
  </si>
  <si>
    <t>INVESTMENT ADVICE</t>
  </si>
  <si>
    <t>ASHLAND GLOBAL HOLDINGS INC</t>
  </si>
  <si>
    <t>ASH</t>
  </si>
  <si>
    <t>INSURANCE</t>
  </si>
  <si>
    <t>LIFE INSURANCE</t>
  </si>
  <si>
    <t>ASPEN AEROGELS INC</t>
  </si>
  <si>
    <t>ASPN</t>
  </si>
  <si>
    <t>ACCIDENT &amp; HEALTH INSURANCE</t>
  </si>
  <si>
    <t>ASPEN GROUP, INC.</t>
  </si>
  <si>
    <t>ASPU</t>
  </si>
  <si>
    <t>HOSPITAL &amp; MEDICAL SERVICE PLANS</t>
  </si>
  <si>
    <t>ASPEN INSURANCE HOLDINGS LTD</t>
  </si>
  <si>
    <t>AHL-PC</t>
  </si>
  <si>
    <t>FIRE, MARINE &amp; CASUALTY INSURANCE</t>
  </si>
  <si>
    <t>ASPIRA WOMEN'S HEALTH INC.</t>
  </si>
  <si>
    <t>AWH</t>
  </si>
  <si>
    <t>SURETY INSURANCE</t>
  </si>
  <si>
    <t>ASSEMBLY BIOSCIENCES, INC.</t>
  </si>
  <si>
    <t>ASMB</t>
  </si>
  <si>
    <t>TITLE INSURANCE</t>
  </si>
  <si>
    <t>ASSERTIO HOLDINGS, INC.</t>
  </si>
  <si>
    <t>ASRT</t>
  </si>
  <si>
    <t>INSURANCE CARRIERS, NEC</t>
  </si>
  <si>
    <t>ASSETMARK FINANCIAL HOLDINGS, INC.</t>
  </si>
  <si>
    <t>AMK</t>
  </si>
  <si>
    <t>INSURANCE AGENTS, BROKERS &amp; SERVICE</t>
  </si>
  <si>
    <t>ASSOCIATED BANC-CORP</t>
  </si>
  <si>
    <t>ASB</t>
  </si>
  <si>
    <t>REAL ESTATE</t>
  </si>
  <si>
    <t>ASSOCIATED CAPITAL GROUP, INC.</t>
  </si>
  <si>
    <t>AC</t>
  </si>
  <si>
    <t>REAL ESTATE OPERATORS (NO DEVELOPERS) &amp; LESSORS</t>
  </si>
  <si>
    <t>ASSURANT, INC.</t>
  </si>
  <si>
    <t>AIZ</t>
  </si>
  <si>
    <t>OPERATORS OF NONRESIDENTIAL BUILDINGS</t>
  </si>
  <si>
    <t>ASSURE HOLDINGS CORP.</t>
  </si>
  <si>
    <t>IONM</t>
  </si>
  <si>
    <t>OPERATORS OF APARTMENT BUILDINGS</t>
  </si>
  <si>
    <t>ASSURED GUARANTY LTD</t>
  </si>
  <si>
    <t>AGO</t>
  </si>
  <si>
    <t>LESSORS OF REAL PROPERTY, NEC</t>
  </si>
  <si>
    <t>AST SPACEMOBILE, INC.</t>
  </si>
  <si>
    <t>ASTS</t>
  </si>
  <si>
    <t>REAL ESTATE AGENTS &amp; MANAGERS (FOR OTHERS)</t>
  </si>
  <si>
    <t>ASTEC INDUSTRIES INC</t>
  </si>
  <si>
    <t>ASTE</t>
  </si>
  <si>
    <t>REAL ESTATE DEALERS (FOR THEIR OWN ACCOUNT)</t>
  </si>
  <si>
    <t>ASTRONICS CORP</t>
  </si>
  <si>
    <t>ATRO</t>
  </si>
  <si>
    <t>LAND SUBDIVIDERS &amp; DEVELOPERS (NO CEMETERIES)</t>
  </si>
  <si>
    <t>ASTRONOVA, INC.</t>
  </si>
  <si>
    <t>ALOT</t>
  </si>
  <si>
    <t>BLANK CHECKS</t>
  </si>
  <si>
    <t>ASURE SOFTWARE INC</t>
  </si>
  <si>
    <t>ASUR</t>
  </si>
  <si>
    <t>OIL ROYALTY TRADERS</t>
  </si>
  <si>
    <t>AT&amp;T INC.</t>
  </si>
  <si>
    <t>T</t>
  </si>
  <si>
    <t>PATENT OWNERS &amp; LESSORS</t>
  </si>
  <si>
    <t>ATA CREATIVITY GLOBAL</t>
  </si>
  <si>
    <t>AACG</t>
  </si>
  <si>
    <t>MINERAL ROYALTY TRADERS</t>
  </si>
  <si>
    <t>ATEA PHARMACEUTICALS, INC.</t>
  </si>
  <si>
    <t>AVIR</t>
  </si>
  <si>
    <t>REAL ESTATE INVESTMENT TRUSTS</t>
  </si>
  <si>
    <t>ATHENEX, INC.</t>
  </si>
  <si>
    <t>ATNX</t>
  </si>
  <si>
    <t>INVESTORS, NEC</t>
  </si>
  <si>
    <t>ATHERSYS, INC / NEW</t>
  </si>
  <si>
    <t>ATHX</t>
  </si>
  <si>
    <t>HOTELS, ROOMING HOUSES, CAMPS &amp; OTHER LODGING PLACES</t>
  </si>
  <si>
    <t>ATI PHYSICAL THERAPY, INC.</t>
  </si>
  <si>
    <t>ATIP</t>
  </si>
  <si>
    <t>HOTELS &amp; MOTELS</t>
  </si>
  <si>
    <t>ATIF HOLDINGS LTD</t>
  </si>
  <si>
    <t>ATIF</t>
  </si>
  <si>
    <t>PERSONAL SERVICES</t>
  </si>
  <si>
    <t>SERVICES-PERSONAL SERVICES</t>
  </si>
  <si>
    <t>ATKORE INC.</t>
  </si>
  <si>
    <t>ATKR</t>
  </si>
  <si>
    <t>SERVICES-ADVERTISING</t>
  </si>
  <si>
    <t>ATLANTIC AMERICAN CORP</t>
  </si>
  <si>
    <t>AAME</t>
  </si>
  <si>
    <t>SERVICES-ADVERTISING AGENCIES</t>
  </si>
  <si>
    <t>ATLANTIC UNION BANKSHARES CORP</t>
  </si>
  <si>
    <t>AUB</t>
  </si>
  <si>
    <t>SERVICES-CONSUMER CREDIT REPORTING, COLLECTION AGENCIES</t>
  </si>
  <si>
    <t>ATLANTICUS HOLDINGS CORP</t>
  </si>
  <si>
    <t>ATLC</t>
  </si>
  <si>
    <t>SERVICES-MAILING, REPRODUCTION, COMMERCIAL ART &amp; PHOTOGRAPHY</t>
  </si>
  <si>
    <t>ATLAS AIR WORLDWIDE HOLDINGS INC</t>
  </si>
  <si>
    <t>AAWW</t>
  </si>
  <si>
    <t>SERVICES-DIRECT MAIL ADVERTISING SERVICES</t>
  </si>
  <si>
    <t>ATLAS CORP.</t>
  </si>
  <si>
    <t>ATCO</t>
  </si>
  <si>
    <t>SERVICES-TO DWELLINGS &amp; OTHER BUILDINGS</t>
  </si>
  <si>
    <t>ATLAS TECHNICAL CONSULTANTS, INC.</t>
  </si>
  <si>
    <t>ATCX</t>
  </si>
  <si>
    <t>SERVICES-MISCELLANEOUS EQUIPMENT RENTAL &amp; LEASING</t>
  </si>
  <si>
    <t>ATMOS ENERGY CORP</t>
  </si>
  <si>
    <t>ATO</t>
  </si>
  <si>
    <t>SERVICES-EQUIPMENT RENTAL &amp; LEASING, NEC</t>
  </si>
  <si>
    <t>ATN INTERNATIONAL, INC.</t>
  </si>
  <si>
    <t>ATNI</t>
  </si>
  <si>
    <t>SERVICES-EMPLOYMENT AGENCIES</t>
  </si>
  <si>
    <t>ATOMERA INC</t>
  </si>
  <si>
    <t>ATOM</t>
  </si>
  <si>
    <t>SERVICES-HELP SUPPLY SERVICES</t>
  </si>
  <si>
    <t>ATRICURE, INC.</t>
  </si>
  <si>
    <t>ATRC</t>
  </si>
  <si>
    <t>COMPUTER SOFTWARE</t>
  </si>
  <si>
    <t>SERVICES-COMPUTER PROGRAMMING, DATA PROCESSING, ETC.</t>
  </si>
  <si>
    <t>ATRION CORP</t>
  </si>
  <si>
    <t>ATRI</t>
  </si>
  <si>
    <t>SERVICES-COMPUTER PROGRAMMING SERVICES</t>
  </si>
  <si>
    <t>ATYR PHARMA INC</t>
  </si>
  <si>
    <t>LIFE</t>
  </si>
  <si>
    <t>SERVICES-PREPACKAGED SOFTWARE</t>
  </si>
  <si>
    <t>AUBURN NATIONAL BANCORPORATION, INC</t>
  </si>
  <si>
    <t>AUBN</t>
  </si>
  <si>
    <t>SERVICES-COMPUTER INTEGRATED SYSTEMS DESIGN</t>
  </si>
  <si>
    <t>AUDACY, INC.</t>
  </si>
  <si>
    <t>AUD</t>
  </si>
  <si>
    <t>SERVICES-COMPUTER PROCESSING &amp; DATA PREPARATION</t>
  </si>
  <si>
    <t>AUDIOCODES LTD</t>
  </si>
  <si>
    <t>AUDC</t>
  </si>
  <si>
    <t>SERVICES-COMPUTER RENTAL &amp; LEASING</t>
  </si>
  <si>
    <t>AUDIOEYE INC</t>
  </si>
  <si>
    <t>AEYE</t>
  </si>
  <si>
    <t>SERVICES-MISCELLANEOUS BUSINESS SERVICES</t>
  </si>
  <si>
    <t>AUGMEDIX, INC.</t>
  </si>
  <si>
    <t>AUGX</t>
  </si>
  <si>
    <t>SERVICES-DETECTIVE, GUARD &amp; ARMORED CAR SERVICES</t>
  </si>
  <si>
    <t>AURINIA PHARMACEUTICALS INC.</t>
  </si>
  <si>
    <t>AUPH</t>
  </si>
  <si>
    <t>SERVICES-PHOTOFINISHING LABORATORIES</t>
  </si>
  <si>
    <t>AURORA MOBILE LTD</t>
  </si>
  <si>
    <t>JG</t>
  </si>
  <si>
    <t>SERVICES-TELEPHONE INTERCONNECT SYSTEMS</t>
  </si>
  <si>
    <t>AUTODESK, INC.</t>
  </si>
  <si>
    <t>ADSK</t>
  </si>
  <si>
    <t>SERVICES-BUSINESS SERVICES, NEC</t>
  </si>
  <si>
    <t>AUTOHOME INC.</t>
  </si>
  <si>
    <t>ATHM</t>
  </si>
  <si>
    <t>SERVICES-AUTOMOTIVE REPAIR, SERVICES &amp; PARKING</t>
  </si>
  <si>
    <t>AUTOLIV INC</t>
  </si>
  <si>
    <t>ALV</t>
  </si>
  <si>
    <t>SERVICES-AUTO RENTAL &amp; LEASING (NO DRIVERS)</t>
  </si>
  <si>
    <t>AUTOMATIC DATA PROCESSING INC</t>
  </si>
  <si>
    <t>ADP</t>
  </si>
  <si>
    <t>SERVICES-MISCELLANEOUS REPAIR SERVICES</t>
  </si>
  <si>
    <t>AUTONATION, INC.</t>
  </si>
  <si>
    <t>AN</t>
  </si>
  <si>
    <t>ENTERTAINMENT</t>
  </si>
  <si>
    <t>SERVICES-MOTION PICTURE &amp; VIDEO TAPE PRODUCTION</t>
  </si>
  <si>
    <t>AUTOSCOPE TECHNOLOGIES CORP</t>
  </si>
  <si>
    <t>AATC</t>
  </si>
  <si>
    <t>SERVICES-ALLIED TO MOTION PICTURE PRODUCTION</t>
  </si>
  <si>
    <t>AUTOZONE INC</t>
  </si>
  <si>
    <t>AZO</t>
  </si>
  <si>
    <t>SERVICES-MOTION PICTURE &amp; VIDEO TAPE DISTRIBUTION</t>
  </si>
  <si>
    <t>AVADEL PHARMACEUTICALS PLC</t>
  </si>
  <si>
    <t>AVDL</t>
  </si>
  <si>
    <t>SERVICES-ALLIED TO MOTION PICTURE DISTRIBUTION</t>
  </si>
  <si>
    <t>AVALARA, INC.</t>
  </si>
  <si>
    <t>AVLR</t>
  </si>
  <si>
    <t>SERVICES-MOTION PICTURE THEATERS</t>
  </si>
  <si>
    <t>AVALO THERAPEUTICS, INC.</t>
  </si>
  <si>
    <t>AVTX</t>
  </si>
  <si>
    <t>SERVICES-VIDEO TAPE RENTAL</t>
  </si>
  <si>
    <t>AVALON GLOBOCARE CORP.</t>
  </si>
  <si>
    <t>AVCO</t>
  </si>
  <si>
    <t>SERVICES-AMUSEMENT &amp; RECREATION SERVICES</t>
  </si>
  <si>
    <t>AVALON HOLDINGS CORP</t>
  </si>
  <si>
    <t>AWX</t>
  </si>
  <si>
    <t>SERVICES-RACING, INCLUDING TRACK OPERATION</t>
  </si>
  <si>
    <t>AVALONBAY COMMUNITIES INC</t>
  </si>
  <si>
    <t>AVB</t>
  </si>
  <si>
    <t>SERVICES-MISCELLANEOUS AMUSEMENT &amp; RECREATION</t>
  </si>
  <si>
    <t>AVANGRID, INC.</t>
  </si>
  <si>
    <t>AGR</t>
  </si>
  <si>
    <t>SERVICES-MEMBERSHIP SPORTS &amp; RECREATION CLUBS</t>
  </si>
  <si>
    <t>AVANOS MEDICAL, INC.</t>
  </si>
  <si>
    <t>AVNS</t>
  </si>
  <si>
    <t>SERVICES-HEALTH SERVICES</t>
  </si>
  <si>
    <t>AVANTOR, INC.</t>
  </si>
  <si>
    <t>AVTR</t>
  </si>
  <si>
    <t>SERVICES-OFFICES &amp; CLINICS OF DOCTORS OF MEDICINE</t>
  </si>
  <si>
    <t>AVAYA HOLDINGS CORP.</t>
  </si>
  <si>
    <t>AVYA</t>
  </si>
  <si>
    <t>SERVICES-NURSING &amp; PERSONAL CARE FACILITIES</t>
  </si>
  <si>
    <t>AVEANNA HEALTHCARE HOLDINGS, INC.</t>
  </si>
  <si>
    <t>AVAH</t>
  </si>
  <si>
    <t>SERVICES-SKILLED NURSING CARE FACILITIES</t>
  </si>
  <si>
    <t>AVEO PHARMACEUTICALS, INC.</t>
  </si>
  <si>
    <t>AVEO</t>
  </si>
  <si>
    <t>SERVICES-HOSPITALS</t>
  </si>
  <si>
    <t>AVEPOINT, INC.</t>
  </si>
  <si>
    <t>AVPT</t>
  </si>
  <si>
    <t>SERVICES-GENERAL MEDICAL &amp; SURGICAL HOSPITALS, NEC</t>
  </si>
  <si>
    <t>AVERY DENNISON CORP</t>
  </si>
  <si>
    <t>AVY</t>
  </si>
  <si>
    <t>SERVICES-MEDICAL LABORATORIES</t>
  </si>
  <si>
    <t>AVIAT NETWORKS, INC.</t>
  </si>
  <si>
    <t>AVNW</t>
  </si>
  <si>
    <t>SERVICES-HOME HEALTH CARE SERVICES</t>
  </si>
  <si>
    <t>AVID BIOSERVICES, INC.</t>
  </si>
  <si>
    <t>CDMO</t>
  </si>
  <si>
    <t>SERVICES-MISC HEALTH &amp; ALLIED SERVICES, NEC</t>
  </si>
  <si>
    <t>AVID TECHNOLOGY, INC.</t>
  </si>
  <si>
    <t>AVID</t>
  </si>
  <si>
    <t>SERVICES-SPECIALTY OUTPATIENT FACILITIES, NEC</t>
  </si>
  <si>
    <t>AVIDITY BIOSCIENCES, INC.</t>
  </si>
  <si>
    <t>RNA</t>
  </si>
  <si>
    <t>SERVICES-LEGAL SERVICES</t>
  </si>
  <si>
    <t>AVIDXCHANGE HOLDINGS, INC.</t>
  </si>
  <si>
    <t>AVDX</t>
  </si>
  <si>
    <t>SERVICES-EDUCATIONAL SERVICES</t>
  </si>
  <si>
    <t>AVIENT CORP</t>
  </si>
  <si>
    <t>AVNT</t>
  </si>
  <si>
    <t>SERVICES-SOCIAL SERVICES</t>
  </si>
  <si>
    <t>AVINGER INC</t>
  </si>
  <si>
    <t>AVGR</t>
  </si>
  <si>
    <t>SERVICES-CHILD DAY CARE SERVICES</t>
  </si>
  <si>
    <t>AVIS BUDGET GROUP, INC.</t>
  </si>
  <si>
    <t>CAR</t>
  </si>
  <si>
    <t>SERVICES-MEMBERSHIP ORGANIZATIONS</t>
  </si>
  <si>
    <t>AVISTA CORP</t>
  </si>
  <si>
    <t>AVA</t>
  </si>
  <si>
    <t>SERVICES-ENGINEERING, ACCOUNTING, RESEARCH, MANAGEMENT</t>
  </si>
  <si>
    <t>AVITA MEDICAL, INC.</t>
  </si>
  <si>
    <t>RCEL</t>
  </si>
  <si>
    <t>SERVICES-ENGINEERING SERVICES</t>
  </si>
  <si>
    <t>AVNET INC</t>
  </si>
  <si>
    <t>AVT</t>
  </si>
  <si>
    <t>SERVICES-COMMERCIAL PHYSICAL &amp; BIOLOGICAL RESEARCH</t>
  </si>
  <si>
    <t>AWARE INC /MA/</t>
  </si>
  <si>
    <t>AWRE</t>
  </si>
  <si>
    <t>SERVICES-TESTING LABORATORIES</t>
  </si>
  <si>
    <t>AXALTA COATING SYSTEMS LTD.</t>
  </si>
  <si>
    <t>AXTA</t>
  </si>
  <si>
    <t>SERVICES-MANAGEMENT SERVICES</t>
  </si>
  <si>
    <t>AXCELIS TECHNOLOGIES INC</t>
  </si>
  <si>
    <t>ACLS</t>
  </si>
  <si>
    <t>SERVICES-MANAGEMENT CONSULTING SERVICES</t>
  </si>
  <si>
    <t>AXIS CAPITAL HOLDINGS LTD</t>
  </si>
  <si>
    <t>AXS</t>
  </si>
  <si>
    <t>SERVICES-FACILITIES SUPPORT MANAGEMENT SERVICES</t>
  </si>
  <si>
    <t>AXOGEN, INC.</t>
  </si>
  <si>
    <t>AXGN</t>
  </si>
  <si>
    <t>AMERICAN DEPOSITARY RECEIPTS</t>
  </si>
  <si>
    <t>AXON ENTERPRISE, INC.</t>
  </si>
  <si>
    <t>AXON</t>
  </si>
  <si>
    <t>FOREIGN GOVERNMENTS</t>
  </si>
  <si>
    <t>AXONICS, INC.</t>
  </si>
  <si>
    <t>AXNX</t>
  </si>
  <si>
    <t>SERVICES-SERVICES, NEC</t>
  </si>
  <si>
    <t>AXOS FINANCIAL, INC.</t>
  </si>
  <si>
    <t>AX</t>
  </si>
  <si>
    <t>INTERNATIONAL AFFAIRS</t>
  </si>
  <si>
    <t>AXT INC</t>
  </si>
  <si>
    <t>AXTI</t>
  </si>
  <si>
    <t>NON-OPERATING ESTABLISHMENTS</t>
  </si>
  <si>
    <t>AYALA PHARMACEUTICALS, INC.</t>
  </si>
  <si>
    <t>AYLA</t>
  </si>
  <si>
    <t>AYRO, INC.</t>
  </si>
  <si>
    <t>AYRO</t>
  </si>
  <si>
    <t>AYTU BIOPHARMA, INC</t>
  </si>
  <si>
    <t>AYTU</t>
  </si>
  <si>
    <t>AZEK CO INC.</t>
  </si>
  <si>
    <t>AZEK</t>
  </si>
  <si>
    <t>AZIYO BIOLOGICS, INC.</t>
  </si>
  <si>
    <t>AZYO</t>
  </si>
  <si>
    <t>AZURE POWER GLOBAL LTD</t>
  </si>
  <si>
    <t>AZRE</t>
  </si>
  <si>
    <t>AZZ INC</t>
  </si>
  <si>
    <t>AZZ</t>
  </si>
  <si>
    <t>B&amp;G FOODS, INC.</t>
  </si>
  <si>
    <t>BGS</t>
  </si>
  <si>
    <t>B. RILEY FINANCIAL, INC.</t>
  </si>
  <si>
    <t>RILY</t>
  </si>
  <si>
    <t>BABCOCK &amp; WILCOX ENTERPRISES, INC.</t>
  </si>
  <si>
    <t>BW</t>
  </si>
  <si>
    <t>BACKBLAZE, INC.</t>
  </si>
  <si>
    <t>BLZE</t>
  </si>
  <si>
    <t>BADGER METER INC</t>
  </si>
  <si>
    <t>BMI</t>
  </si>
  <si>
    <t>BAIDU, INC.</t>
  </si>
  <si>
    <t>BIDU</t>
  </si>
  <si>
    <t>BAKER HUGHES CO</t>
  </si>
  <si>
    <t>BKR</t>
  </si>
  <si>
    <t>BALCHEM CORP</t>
  </si>
  <si>
    <t>BCPC</t>
  </si>
  <si>
    <t>BALLANTYNE STRONG, INC.</t>
  </si>
  <si>
    <t>BTN</t>
  </si>
  <si>
    <t>BALLY'S CORP</t>
  </si>
  <si>
    <t>BALY</t>
  </si>
  <si>
    <t>BANC OF CALIFORNIA, INC.</t>
  </si>
  <si>
    <t>BANC</t>
  </si>
  <si>
    <t>BANCFIRST CORP /OK/</t>
  </si>
  <si>
    <t>BANF</t>
  </si>
  <si>
    <t>BANCORP, INC.</t>
  </si>
  <si>
    <t>TBBK</t>
  </si>
  <si>
    <t>BANDWIDTH INC.</t>
  </si>
  <si>
    <t>BAND</t>
  </si>
  <si>
    <t>BANK FIRST CORP</t>
  </si>
  <si>
    <t>BFC</t>
  </si>
  <si>
    <t>BANK OF AMERICA CORP /DE/</t>
  </si>
  <si>
    <t>BAC</t>
  </si>
  <si>
    <t>BANK OF HAWAII CORP</t>
  </si>
  <si>
    <t>BOH</t>
  </si>
  <si>
    <t>BANK OF MARIN BANCORP</t>
  </si>
  <si>
    <t>BMRC</t>
  </si>
  <si>
    <t>BANK OF N.T. BUTTERFIELD &amp; SON LTD</t>
  </si>
  <si>
    <t>NTB</t>
  </si>
  <si>
    <t>BANK OF NEW YORK MELLON CORP</t>
  </si>
  <si>
    <t>BK</t>
  </si>
  <si>
    <t>BANK OF SOUTH CAROLINA CORP</t>
  </si>
  <si>
    <t>BKSC</t>
  </si>
  <si>
    <t>BANK OF THE JAMES FINANCIAL GROUP INC</t>
  </si>
  <si>
    <t>BOTJ</t>
  </si>
  <si>
    <t>BANK7 CORP.</t>
  </si>
  <si>
    <t>BSVN</t>
  </si>
  <si>
    <t>BANKFINANCIAL CORP</t>
  </si>
  <si>
    <t>BFIN</t>
  </si>
  <si>
    <t>BANKGUAM HOLDING CO</t>
  </si>
  <si>
    <t>BKGM</t>
  </si>
  <si>
    <t>BANKUNITED, INC.</t>
  </si>
  <si>
    <t>BKU</t>
  </si>
  <si>
    <t>BANKWELL FINANCIAL GROUP, INC.</t>
  </si>
  <si>
    <t>BWFG</t>
  </si>
  <si>
    <t>BANNER CORP</t>
  </si>
  <si>
    <t>BANR</t>
  </si>
  <si>
    <t>BAOSHENG MEDIA GROUP HOLDINGS LTD</t>
  </si>
  <si>
    <t>BAOS</t>
  </si>
  <si>
    <t>BAOZUN INC.</t>
  </si>
  <si>
    <t>BZUN</t>
  </si>
  <si>
    <t>BAR HARBOR BANKSHARES</t>
  </si>
  <si>
    <t>BHB</t>
  </si>
  <si>
    <t>BARK, INC.</t>
  </si>
  <si>
    <t>BARK</t>
  </si>
  <si>
    <t>BARNES &amp; NOBLE EDUCATION, INC.</t>
  </si>
  <si>
    <t>BNED</t>
  </si>
  <si>
    <t>BARNES GROUP INC</t>
  </si>
  <si>
    <t>B</t>
  </si>
  <si>
    <t>BARNWELL INDUSTRIES INC</t>
  </si>
  <si>
    <t>BRN</t>
  </si>
  <si>
    <t>BARRETT BUSINESS SERVICES INC</t>
  </si>
  <si>
    <t>BBSI</t>
  </si>
  <si>
    <t>BASSETT FURNITURE INDUSTRIES INC</t>
  </si>
  <si>
    <t>BSET</t>
  </si>
  <si>
    <t>BATH &amp; BODY WORKS, INC.</t>
  </si>
  <si>
    <t>BBWI</t>
  </si>
  <si>
    <t>BATTALION OIL CORP</t>
  </si>
  <si>
    <t>BATL</t>
  </si>
  <si>
    <t>BAUDAX BIO, INC.</t>
  </si>
  <si>
    <t>BXRX</t>
  </si>
  <si>
    <t>BAUSCH HEALTH COMPANIES INC.</t>
  </si>
  <si>
    <t>BHC</t>
  </si>
  <si>
    <t>BAXTER INTERNATIONAL INC</t>
  </si>
  <si>
    <t>BAX</t>
  </si>
  <si>
    <t>BAYCOM CORP</t>
  </si>
  <si>
    <t>BCML</t>
  </si>
  <si>
    <t>BAYFIRST FINANCIAL CORP.</t>
  </si>
  <si>
    <t>BAFN</t>
  </si>
  <si>
    <t>BBQ HOLDINGS, INC.</t>
  </si>
  <si>
    <t>BBQ</t>
  </si>
  <si>
    <t>BBX CAPITAL, INC.</t>
  </si>
  <si>
    <t>BBXIA</t>
  </si>
  <si>
    <t>BCB BANCORP INC</t>
  </si>
  <si>
    <t>BCBP</t>
  </si>
  <si>
    <t>BEACHBODY COMPANY, INC.</t>
  </si>
  <si>
    <t>BODY</t>
  </si>
  <si>
    <t>BEACON ROOFING SUPPLY INC</t>
  </si>
  <si>
    <t>BECN</t>
  </si>
  <si>
    <t>BEAM GLOBAL</t>
  </si>
  <si>
    <t>BEEM</t>
  </si>
  <si>
    <t>BEAM THERAPEUTICS INC.</t>
  </si>
  <si>
    <t>BEAM</t>
  </si>
  <si>
    <t>BEASLEY BROADCAST GROUP INC</t>
  </si>
  <si>
    <t>BBGI</t>
  </si>
  <si>
    <t>BEAUTY HEALTH CO</t>
  </si>
  <si>
    <t>SKIN</t>
  </si>
  <si>
    <t>BEAZER HOMES USA INC</t>
  </si>
  <si>
    <t>BZH</t>
  </si>
  <si>
    <t>BECTON DICKINSON &amp; CO</t>
  </si>
  <si>
    <t>BDX</t>
  </si>
  <si>
    <t>BED BATH &amp; BEYOND INC</t>
  </si>
  <si>
    <t>BBBY</t>
  </si>
  <si>
    <t>BEIGENE, LTD.</t>
  </si>
  <si>
    <t>BGNE</t>
  </si>
  <si>
    <t>BEL FUSE INC /NJ</t>
  </si>
  <si>
    <t>BELFA</t>
  </si>
  <si>
    <t>BELDEN INC.</t>
  </si>
  <si>
    <t>BDC</t>
  </si>
  <si>
    <t>BELLICUM PHARMACEUTICALS, INC</t>
  </si>
  <si>
    <t>BLCM</t>
  </si>
  <si>
    <t>BELLRING BRANDS, INC.</t>
  </si>
  <si>
    <t>BRBR</t>
  </si>
  <si>
    <t>BENCHMARK ELECTRONICS INC</t>
  </si>
  <si>
    <t>BHE</t>
  </si>
  <si>
    <t>BENEFITFOCUS, INC.</t>
  </si>
  <si>
    <t>BNFT</t>
  </si>
  <si>
    <t>BENSON HILL, INC.</t>
  </si>
  <si>
    <t>BHIL</t>
  </si>
  <si>
    <t>BENTLEY SYSTEMS INC</t>
  </si>
  <si>
    <t>BSY</t>
  </si>
  <si>
    <t>BERKELEY LIGHTS, INC.</t>
  </si>
  <si>
    <t>BLI</t>
  </si>
  <si>
    <t>BERKLEY W R CORP</t>
  </si>
  <si>
    <t>WRB</t>
  </si>
  <si>
    <t>BERKSHIRE GREY, INC.</t>
  </si>
  <si>
    <t>BGRY</t>
  </si>
  <si>
    <t>BERKSHIRE HATHAWAY INC</t>
  </si>
  <si>
    <t>BRK-B</t>
  </si>
  <si>
    <t>BERKSHIRE HILLS BANCORP INC</t>
  </si>
  <si>
    <t>BHLB</t>
  </si>
  <si>
    <t>BERRY CORP (BRY)</t>
  </si>
  <si>
    <t>BRY</t>
  </si>
  <si>
    <t>BERRY GLOBAL GROUP, INC.</t>
  </si>
  <si>
    <t>BERY</t>
  </si>
  <si>
    <t>BEST BUY CO INC</t>
  </si>
  <si>
    <t>BBY</t>
  </si>
  <si>
    <t>BEST INC.</t>
  </si>
  <si>
    <t>BEST</t>
  </si>
  <si>
    <t>BETTER CHOICE CO INC.</t>
  </si>
  <si>
    <t>BTTR</t>
  </si>
  <si>
    <t>BEYOND AIR, INC.</t>
  </si>
  <si>
    <t>XAIR</t>
  </si>
  <si>
    <t>BEYOND MEAT, INC.</t>
  </si>
  <si>
    <t>BYND</t>
  </si>
  <si>
    <t>BEYONDSPRING INC.</t>
  </si>
  <si>
    <t>BYSI</t>
  </si>
  <si>
    <t>BGC PARTNERS, INC.</t>
  </si>
  <si>
    <t>BGCP</t>
  </si>
  <si>
    <t>BGSF, INC.</t>
  </si>
  <si>
    <t>BGSF</t>
  </si>
  <si>
    <t>BICYCLE THERAPEUTICS PLC</t>
  </si>
  <si>
    <t>BCYC</t>
  </si>
  <si>
    <t>BIG 5 SPORTING GOODS CORP</t>
  </si>
  <si>
    <t>BGFV</t>
  </si>
  <si>
    <t>BIG LOTS INC</t>
  </si>
  <si>
    <t>BIG</t>
  </si>
  <si>
    <t>BIGCOMMERCE HOLDINGS, INC.</t>
  </si>
  <si>
    <t>BIGC</t>
  </si>
  <si>
    <t>BIGLARI HOLDINGS INC.</t>
  </si>
  <si>
    <t>BH-A</t>
  </si>
  <si>
    <t>BILIBILI INC.</t>
  </si>
  <si>
    <t>BILI</t>
  </si>
  <si>
    <t>BILL.COM HOLDINGS, INC.</t>
  </si>
  <si>
    <t>BILL</t>
  </si>
  <si>
    <t>BIMI INTERNATIONAL MEDICAL INC.</t>
  </si>
  <si>
    <t>BIMI</t>
  </si>
  <si>
    <t>BIMINI CAPITAL MANAGEMENT, INC.</t>
  </si>
  <si>
    <t>BMNM</t>
  </si>
  <si>
    <t>BIO KEY INTERNATIONAL INC</t>
  </si>
  <si>
    <t>BKYI</t>
  </si>
  <si>
    <t>BIO-RAD LABORATORIES, INC.</t>
  </si>
  <si>
    <t>BIO</t>
  </si>
  <si>
    <t>BIO-TECHNE CORP</t>
  </si>
  <si>
    <t>TECH</t>
  </si>
  <si>
    <t>BIOCARDIA, INC.</t>
  </si>
  <si>
    <t>BCDA</t>
  </si>
  <si>
    <t>BIOCEPT INC</t>
  </si>
  <si>
    <t>BIOC</t>
  </si>
  <si>
    <t>BIOCRYST PHARMACEUTICALS INC</t>
  </si>
  <si>
    <t>BCRX</t>
  </si>
  <si>
    <t>BIODESIX INC</t>
  </si>
  <si>
    <t>BDSX</t>
  </si>
  <si>
    <t>BIOFRONTERA INC.</t>
  </si>
  <si>
    <t>BFRI</t>
  </si>
  <si>
    <t>BIOGEN INC.</t>
  </si>
  <si>
    <t>BIIB</t>
  </si>
  <si>
    <t>BIOHAVEN PHARMACEUTICAL HOLDING CO LTD.</t>
  </si>
  <si>
    <t>BHVN</t>
  </si>
  <si>
    <t>BIOLASE, INC</t>
  </si>
  <si>
    <t>BIOL</t>
  </si>
  <si>
    <t>BIOLIFE SOLUTIONS INC</t>
  </si>
  <si>
    <t>BLFS</t>
  </si>
  <si>
    <t>BIOMARIN PHARMACEUTICAL INC</t>
  </si>
  <si>
    <t>BMRN</t>
  </si>
  <si>
    <t>BIOMERICA INC</t>
  </si>
  <si>
    <t>BMRA</t>
  </si>
  <si>
    <t>BIOSIG TECHNOLOGIES, INC.</t>
  </si>
  <si>
    <t>BSGM</t>
  </si>
  <si>
    <t>BIOVENTUS INC.</t>
  </si>
  <si>
    <t>BVS</t>
  </si>
  <si>
    <t>BIRD GLOBAL, INC.</t>
  </si>
  <si>
    <t>BRDS</t>
  </si>
  <si>
    <t>BIRKS GROUP INC.</t>
  </si>
  <si>
    <t>BGI</t>
  </si>
  <si>
    <t>BIT BROTHER LTD</t>
  </si>
  <si>
    <t>BTB</t>
  </si>
  <si>
    <t>BIT DIGITAL, INC</t>
  </si>
  <si>
    <t>BTBT</t>
  </si>
  <si>
    <t>BIT MINING LTD</t>
  </si>
  <si>
    <t>BTCM</t>
  </si>
  <si>
    <t>BITNILE HOLDINGS, INC.</t>
  </si>
  <si>
    <t>NILE</t>
  </si>
  <si>
    <t>BJ'S WHOLESALE CLUB HOLDINGS, INC.</t>
  </si>
  <si>
    <t>BJ</t>
  </si>
  <si>
    <t>BJS RESTAURANTS INC</t>
  </si>
  <si>
    <t>BJRI</t>
  </si>
  <si>
    <t>BK TECHNOLOGIES</t>
  </si>
  <si>
    <t>BKTI</t>
  </si>
  <si>
    <t>BLACK HILLS CORP /SD/</t>
  </si>
  <si>
    <t>BKH</t>
  </si>
  <si>
    <t>BLACK KNIGHT, INC.</t>
  </si>
  <si>
    <t>BKI</t>
  </si>
  <si>
    <t>BLACK STONE MINERALS, L.P.</t>
  </si>
  <si>
    <t>BSM</t>
  </si>
  <si>
    <t>BLACKBAUD INC</t>
  </si>
  <si>
    <t>BLKB</t>
  </si>
  <si>
    <t>BLACKBERRY LTD</t>
  </si>
  <si>
    <t>BB</t>
  </si>
  <si>
    <t>BLACKLINE, INC.</t>
  </si>
  <si>
    <t>BL</t>
  </si>
  <si>
    <t>BLACKROCK INC.</t>
  </si>
  <si>
    <t>BLK</t>
  </si>
  <si>
    <t>BLACKSKY TECHNOLOGY INC.</t>
  </si>
  <si>
    <t>BKSY</t>
  </si>
  <si>
    <t>BLACKSTONE INC</t>
  </si>
  <si>
    <t>BX</t>
  </si>
  <si>
    <t>BLACKSTONE MORTGAGE TRUST, INC.</t>
  </si>
  <si>
    <t>BXMT</t>
  </si>
  <si>
    <t>BLADE AIR MOBILITY, INC.</t>
  </si>
  <si>
    <t>BLDE</t>
  </si>
  <si>
    <t>BLEND LABS, INC.</t>
  </si>
  <si>
    <t>BLND</t>
  </si>
  <si>
    <t>BLINK CHARGING CO.</t>
  </si>
  <si>
    <t>BLNK</t>
  </si>
  <si>
    <t>BLOCK, INC.</t>
  </si>
  <si>
    <t>SQ</t>
  </si>
  <si>
    <t>BLOOM ENERGY CORP</t>
  </si>
  <si>
    <t>BE</t>
  </si>
  <si>
    <t>BLOOMIN' BRANDS, INC.</t>
  </si>
  <si>
    <t>BLMN</t>
  </si>
  <si>
    <t>BLUCORA, INC.</t>
  </si>
  <si>
    <t>BCOR</t>
  </si>
  <si>
    <t>BLUE APRON HOLDINGS, INC.</t>
  </si>
  <si>
    <t>APRN</t>
  </si>
  <si>
    <t>BLUE BIRD CORP</t>
  </si>
  <si>
    <t>BLBD</t>
  </si>
  <si>
    <t>BLUE DOLPHIN ENERGY CO</t>
  </si>
  <si>
    <t>BDCO</t>
  </si>
  <si>
    <t>BLUE FOUNDRY BANCORP</t>
  </si>
  <si>
    <t>BLFY</t>
  </si>
  <si>
    <t>BLUE HAT INTERACTIVE ENTERTAINMENT TECHNOLOGY</t>
  </si>
  <si>
    <t>BHAT</t>
  </si>
  <si>
    <t>BLUE OWL CAPITAL INC.</t>
  </si>
  <si>
    <t>OWL</t>
  </si>
  <si>
    <t>BLUE RIDGE BANKSHARES, INC.</t>
  </si>
  <si>
    <t>BRBS</t>
  </si>
  <si>
    <t>BLUEBIRD BIO, INC.</t>
  </si>
  <si>
    <t>BLUE</t>
  </si>
  <si>
    <t>BLUECITY HOLDINGS LTD</t>
  </si>
  <si>
    <t>BLCT</t>
  </si>
  <si>
    <t>BLUEGREEN VACATIONS HOLDING CORP</t>
  </si>
  <si>
    <t>BVH</t>
  </si>
  <si>
    <t>BLUEKNIGHT ENERGY PARTNERS, L.P.</t>
  </si>
  <si>
    <t>BKEP</t>
  </si>
  <si>
    <t>BLUELINX HOLDINGS INC.</t>
  </si>
  <si>
    <t>BXC</t>
  </si>
  <si>
    <t>BLUEPRINT MEDICINES CORP</t>
  </si>
  <si>
    <t>BPMC</t>
  </si>
  <si>
    <t>BLUEROCK RESIDENTIAL GROWTH REIT, INC.</t>
  </si>
  <si>
    <t>BRG</t>
  </si>
  <si>
    <t>BM TECHNOLOGIES, INC.</t>
  </si>
  <si>
    <t>BMTX</t>
  </si>
  <si>
    <t>BODY &amp; MIND INC.</t>
  </si>
  <si>
    <t>BMMJ</t>
  </si>
  <si>
    <t>BOEING CO</t>
  </si>
  <si>
    <t>BA</t>
  </si>
  <si>
    <t>BOGOTA FINANCIAL CORP.</t>
  </si>
  <si>
    <t>BSBK</t>
  </si>
  <si>
    <t>BOISE CASCADE CO</t>
  </si>
  <si>
    <t>BCC</t>
  </si>
  <si>
    <t>BOK FINANCIAL CORP</t>
  </si>
  <si>
    <t>BOKF</t>
  </si>
  <si>
    <t>BOLT BIOTHERAPEUTICS, INC.</t>
  </si>
  <si>
    <t>BOLT</t>
  </si>
  <si>
    <t>BON NATURAL LIFE LTD</t>
  </si>
  <si>
    <t>BON</t>
  </si>
  <si>
    <t>BONSO ELECTRONICS INTERNATIONAL INC</t>
  </si>
  <si>
    <t>BNSO</t>
  </si>
  <si>
    <t>BOOKING HOLDINGS INC.</t>
  </si>
  <si>
    <t>BKNG</t>
  </si>
  <si>
    <t>BOOT BARN HOLDINGS, INC.</t>
  </si>
  <si>
    <t>BOOT</t>
  </si>
  <si>
    <t>BOOZ ALLEN HAMILTON HOLDING CORP</t>
  </si>
  <si>
    <t>BAH</t>
  </si>
  <si>
    <t>BORGWARNER INC</t>
  </si>
  <si>
    <t>BWA</t>
  </si>
  <si>
    <t>BORQS TECHNOLOGIES, INC.</t>
  </si>
  <si>
    <t>BRQS</t>
  </si>
  <si>
    <t>BORR DRILLING LTD</t>
  </si>
  <si>
    <t>BORR</t>
  </si>
  <si>
    <t>BOS BETTER ONLINE SOLUTIONS LTD</t>
  </si>
  <si>
    <t>BOSC</t>
  </si>
  <si>
    <t>BOSTON BEER CO INC</t>
  </si>
  <si>
    <t>SAM</t>
  </si>
  <si>
    <t>BOSTON PROPERTIES INC</t>
  </si>
  <si>
    <t>BXP</t>
  </si>
  <si>
    <t>BOSTON SCIENTIFIC CORP</t>
  </si>
  <si>
    <t>BSX</t>
  </si>
  <si>
    <t>BOWMAN CONSULTING GROUP LTD.</t>
  </si>
  <si>
    <t>BWMN</t>
  </si>
  <si>
    <t>BOX INC</t>
  </si>
  <si>
    <t>BOX</t>
  </si>
  <si>
    <t>BOXED, INC.</t>
  </si>
  <si>
    <t>BOXD</t>
  </si>
  <si>
    <t>BOXLIGHT CORP</t>
  </si>
  <si>
    <t>BOXL</t>
  </si>
  <si>
    <t>BOYD GAMING CORP</t>
  </si>
  <si>
    <t>BYD</t>
  </si>
  <si>
    <t>BRADY CORP</t>
  </si>
  <si>
    <t>BRC</t>
  </si>
  <si>
    <t>BRAEMAR HOTELS &amp; RESORTS INC.</t>
  </si>
  <si>
    <t>BHR</t>
  </si>
  <si>
    <t>BRANDYWINE REALTY TRUST</t>
  </si>
  <si>
    <t>BDN</t>
  </si>
  <si>
    <t>BRAZE, INC.</t>
  </si>
  <si>
    <t>BRZE</t>
  </si>
  <si>
    <t>BRICKELL BIOTECH, INC.</t>
  </si>
  <si>
    <t>BBI</t>
  </si>
  <si>
    <t>BRIDGEBIO PHARMA, INC.</t>
  </si>
  <si>
    <t>BBIO</t>
  </si>
  <si>
    <t>BRIDGELINE DIGITAL, INC.</t>
  </si>
  <si>
    <t>BLIN</t>
  </si>
  <si>
    <t>BRIDGEWATER BANCSHARES INC</t>
  </si>
  <si>
    <t>BWB</t>
  </si>
  <si>
    <t>BRIDGFORD FOODS CORP</t>
  </si>
  <si>
    <t>BRID</t>
  </si>
  <si>
    <t>BRIGHAM MINERALS, INC.</t>
  </si>
  <si>
    <t>MNRL</t>
  </si>
  <si>
    <t>BRIGHT HEALTH GROUP INC.</t>
  </si>
  <si>
    <t>BHG</t>
  </si>
  <si>
    <t>BRIGHT HORIZONS FAMILY SOLUTIONS INC.</t>
  </si>
  <si>
    <t>BFAM</t>
  </si>
  <si>
    <t>BRIGHT SCHOLAR EDUCATION HOLDINGS LTD</t>
  </si>
  <si>
    <t>BEDU</t>
  </si>
  <si>
    <t>BRIGHTCOVE INC</t>
  </si>
  <si>
    <t>BCOV</t>
  </si>
  <si>
    <t>BRIGHTHOUSE FINANCIAL, INC.</t>
  </si>
  <si>
    <t>BHF</t>
  </si>
  <si>
    <t>BRIGHTSPHERE INVESTMENT GROUP INC.</t>
  </si>
  <si>
    <t>BSIG</t>
  </si>
  <si>
    <t>BRIGHTSPIRE CAPITAL, INC.</t>
  </si>
  <si>
    <t>BRSP</t>
  </si>
  <si>
    <t>BRIGHTVIEW HOLDINGS, INC.</t>
  </si>
  <si>
    <t>BV</t>
  </si>
  <si>
    <t>BRILLIANT EARTH GROUP, INC.</t>
  </si>
  <si>
    <t>BRLT</t>
  </si>
  <si>
    <t>BRINKER INTERNATIONAL, INC</t>
  </si>
  <si>
    <t>EAT</t>
  </si>
  <si>
    <t>BRINKS CO</t>
  </si>
  <si>
    <t>BCO</t>
  </si>
  <si>
    <t>BRISTOL MYERS SQUIBB CO</t>
  </si>
  <si>
    <t>BMY</t>
  </si>
  <si>
    <t>BRISTOW GROUP INC.</t>
  </si>
  <si>
    <t>VTOL</t>
  </si>
  <si>
    <t>BRIXMOR PROPERTY GROUP INC.</t>
  </si>
  <si>
    <t>BRX</t>
  </si>
  <si>
    <t>BROAD STREET REALTY, INC.</t>
  </si>
  <si>
    <t>BRST</t>
  </si>
  <si>
    <t>BROADCOM INC.</t>
  </si>
  <si>
    <t>AVGO</t>
  </si>
  <si>
    <t>BROADMARK REALTY CAPITAL INC.</t>
  </si>
  <si>
    <t>BRMK</t>
  </si>
  <si>
    <t>BROADRIDGE FINANCIAL SOLUTIONS, INC.</t>
  </si>
  <si>
    <t>BR</t>
  </si>
  <si>
    <t>BROADSTONE NET LEASE, INC.</t>
  </si>
  <si>
    <t>BNL</t>
  </si>
  <si>
    <t>BROADWAY FINANCIAL CORP DE</t>
  </si>
  <si>
    <t>BYFC</t>
  </si>
  <si>
    <t>BROADWIND, INC.</t>
  </si>
  <si>
    <t>BWEN</t>
  </si>
  <si>
    <t>BROOKDALE SENIOR LIVING INC.</t>
  </si>
  <si>
    <t>BKD</t>
  </si>
  <si>
    <t>BROOKLINE BANCORP INC</t>
  </si>
  <si>
    <t>BRKL</t>
  </si>
  <si>
    <t>BROOKS AUTOMATION, INC.</t>
  </si>
  <si>
    <t>AZTA</t>
  </si>
  <si>
    <t>BROWN &amp; BROWN, INC.</t>
  </si>
  <si>
    <t>BRO</t>
  </si>
  <si>
    <t>BROWN FORMAN CORP</t>
  </si>
  <si>
    <t>BF-A</t>
  </si>
  <si>
    <t>BRT APARTMENTS CORP.</t>
  </si>
  <si>
    <t>BRT</t>
  </si>
  <si>
    <t>BRUKER CORP</t>
  </si>
  <si>
    <t>BRKR</t>
  </si>
  <si>
    <t>BRUNSWICK CORP</t>
  </si>
  <si>
    <t>BC</t>
  </si>
  <si>
    <t>BSQUARE CORP /WA</t>
  </si>
  <si>
    <t>BSQR</t>
  </si>
  <si>
    <t>BTRS HOLDINGS INC.</t>
  </si>
  <si>
    <t>BTRS</t>
  </si>
  <si>
    <t>BUCKLE INC</t>
  </si>
  <si>
    <t>BKE</t>
  </si>
  <si>
    <t>BUILD-A-BEAR WORKSHOP INC</t>
  </si>
  <si>
    <t>BBW</t>
  </si>
  <si>
    <t>BUILDERS FIRSTSOURCE, INC.</t>
  </si>
  <si>
    <t>BLDR</t>
  </si>
  <si>
    <t>BUMBLE INC.</t>
  </si>
  <si>
    <t>BMBL</t>
  </si>
  <si>
    <t>BUNGELTD</t>
  </si>
  <si>
    <t>BG</t>
  </si>
  <si>
    <t>BURFORD CAPITAL LTD</t>
  </si>
  <si>
    <t>BUR</t>
  </si>
  <si>
    <t>BURLINGTON STORES, INC.</t>
  </si>
  <si>
    <t>BURL</t>
  </si>
  <si>
    <t>BURNING ROCK BIOTECH LTD</t>
  </si>
  <si>
    <t>BNR</t>
  </si>
  <si>
    <t>BUSINESS FIRST BANCSHARES, INC.</t>
  </si>
  <si>
    <t>BFST</t>
  </si>
  <si>
    <t>BUTLER NATIONAL CORP</t>
  </si>
  <si>
    <t>BUKS</t>
  </si>
  <si>
    <t>BUTTERFLY NETWORK, INC.</t>
  </si>
  <si>
    <t>BFLY</t>
  </si>
  <si>
    <t>BUZZFEED, INC.</t>
  </si>
  <si>
    <t>BZFD</t>
  </si>
  <si>
    <t>BWX TECHNOLOGIES, INC.</t>
  </si>
  <si>
    <t>BWXT</t>
  </si>
  <si>
    <t>BYLINE BANCORP, INC.</t>
  </si>
  <si>
    <t>BY</t>
  </si>
  <si>
    <t>BYRNA TECHNOLOGIES INC.</t>
  </si>
  <si>
    <t>BYRN</t>
  </si>
  <si>
    <t>C. H. ROBINSON WORLDWIDE, INC.</t>
  </si>
  <si>
    <t>CHRW</t>
  </si>
  <si>
    <t>C3.AI, INC.</t>
  </si>
  <si>
    <t>AI</t>
  </si>
  <si>
    <t>CABLE ONE, INC.</t>
  </si>
  <si>
    <t>CABO</t>
  </si>
  <si>
    <t>CABOT CORP</t>
  </si>
  <si>
    <t>CBT</t>
  </si>
  <si>
    <t>CACI INTERNATIONAL INC /DE/</t>
  </si>
  <si>
    <t>CACI</t>
  </si>
  <si>
    <t>CACTUS, INC.</t>
  </si>
  <si>
    <t>WHD</t>
  </si>
  <si>
    <t>CADENCE DESIGN SYSTEMS INC</t>
  </si>
  <si>
    <t>CDNS</t>
  </si>
  <si>
    <t>CADIZ INC</t>
  </si>
  <si>
    <t>CDZI</t>
  </si>
  <si>
    <t>CADRE HOLDINGS, INC.</t>
  </si>
  <si>
    <t>CDRE</t>
  </si>
  <si>
    <t>CAESARS ENTERTAINMENT, INC.</t>
  </si>
  <si>
    <t>CZR</t>
  </si>
  <si>
    <t>CAESARSTONE LTD.</t>
  </si>
  <si>
    <t>CSTE</t>
  </si>
  <si>
    <t>CAL-MAINE FOODS INC</t>
  </si>
  <si>
    <t>CALM</t>
  </si>
  <si>
    <t>CALAMP CORP.</t>
  </si>
  <si>
    <t>CAMP</t>
  </si>
  <si>
    <t>CALAVO GROWERS INC</t>
  </si>
  <si>
    <t>CVGW</t>
  </si>
  <si>
    <t>CALERES INC</t>
  </si>
  <si>
    <t>CAL</t>
  </si>
  <si>
    <t>CALIFORNIA BANCORP</t>
  </si>
  <si>
    <t>CALB</t>
  </si>
  <si>
    <t>CALIFORNIA WATER SERVICE GROUP</t>
  </si>
  <si>
    <t>CWT</t>
  </si>
  <si>
    <t>CALIX, INC</t>
  </si>
  <si>
    <t>CALX</t>
  </si>
  <si>
    <t>CALLAWAY GOLF CO</t>
  </si>
  <si>
    <t>ELY</t>
  </si>
  <si>
    <t>CALLON PETROLEUM CO</t>
  </si>
  <si>
    <t>CPE</t>
  </si>
  <si>
    <t>CALUMET SPECIALTY PRODUCTS PARTNERS, L.P.</t>
  </si>
  <si>
    <t>CLMT</t>
  </si>
  <si>
    <t>CAMBIUM NETWORKS CORP</t>
  </si>
  <si>
    <t>CMBM</t>
  </si>
  <si>
    <t>CAMBRIDGE BANCORP</t>
  </si>
  <si>
    <t>CATC</t>
  </si>
  <si>
    <t>CAMDEN NATIONAL CORP</t>
  </si>
  <si>
    <t>CAC</t>
  </si>
  <si>
    <t>CAMDEN PROPERTY TRUST</t>
  </si>
  <si>
    <t>CPT</t>
  </si>
  <si>
    <t>CAMPBELL SOUP CO</t>
  </si>
  <si>
    <t>CPB</t>
  </si>
  <si>
    <t>CAMPING WORLD HOLDINGS, INC.</t>
  </si>
  <si>
    <t>CWH</t>
  </si>
  <si>
    <t>CAMTEK LTD</t>
  </si>
  <si>
    <t>CAMT</t>
  </si>
  <si>
    <t>CANAAN INC.</t>
  </si>
  <si>
    <t>CAN</t>
  </si>
  <si>
    <t>CANADIAN SOLAR INC.</t>
  </si>
  <si>
    <t>CSIQ</t>
  </si>
  <si>
    <t>CANDEL THERAPEUTICS, INC.</t>
  </si>
  <si>
    <t>CADL</t>
  </si>
  <si>
    <t>CANGO INC.</t>
  </si>
  <si>
    <t>CANG</t>
  </si>
  <si>
    <t>CANNAE HOLDINGS, INC.</t>
  </si>
  <si>
    <t>CNNE</t>
  </si>
  <si>
    <t>CANO HEALTH, INC.</t>
  </si>
  <si>
    <t>CANO</t>
  </si>
  <si>
    <t>CANOO INC.</t>
  </si>
  <si>
    <t>GOEV</t>
  </si>
  <si>
    <t>CANTALOUPE, INC.</t>
  </si>
  <si>
    <t>CTLP</t>
  </si>
  <si>
    <t>CANTERBURY PARK HOLDING CORP</t>
  </si>
  <si>
    <t>CPHC</t>
  </si>
  <si>
    <t>CAPITAL BANCORP INC</t>
  </si>
  <si>
    <t>CBNK</t>
  </si>
  <si>
    <t>CAPITAL CITY BANK GROUP INC</t>
  </si>
  <si>
    <t>CCBG</t>
  </si>
  <si>
    <t>CAPITAL ONE FINANCIAL CORP</t>
  </si>
  <si>
    <t>COF</t>
  </si>
  <si>
    <t>CAPITOL FEDERAL FINANCIAL, INC.</t>
  </si>
  <si>
    <t>CFFN</t>
  </si>
  <si>
    <t>CAPRI HOLDINGS LTD</t>
  </si>
  <si>
    <t>CPRI</t>
  </si>
  <si>
    <t>CAPRICOR THERAPEUTICS, INC.</t>
  </si>
  <si>
    <t>CAPR</t>
  </si>
  <si>
    <t>CAPSTAR FINANCIAL HOLDINGS, INC.</t>
  </si>
  <si>
    <t>CSTR</t>
  </si>
  <si>
    <t>CAPSTONE GREEN ENERGY CORP</t>
  </si>
  <si>
    <t>CGRN</t>
  </si>
  <si>
    <t>CARA THERAPEUTICS, INC.</t>
  </si>
  <si>
    <t>CARA</t>
  </si>
  <si>
    <t>CARDIFF ONCOLOGY, INC.</t>
  </si>
  <si>
    <t>CRDF</t>
  </si>
  <si>
    <t>CARDINAL HEALTH INC</t>
  </si>
  <si>
    <t>CAH</t>
  </si>
  <si>
    <t>CARDIOVASCULAR SYSTEMS INC</t>
  </si>
  <si>
    <t>CSII</t>
  </si>
  <si>
    <t>CARDLYTICS, INC.</t>
  </si>
  <si>
    <t>CDLX</t>
  </si>
  <si>
    <t>CARECLOUD, INC.</t>
  </si>
  <si>
    <t>MTBC</t>
  </si>
  <si>
    <t>CAREDX, INC.</t>
  </si>
  <si>
    <t>CDNA</t>
  </si>
  <si>
    <t>CAREMAX, INC.</t>
  </si>
  <si>
    <t>CMAX</t>
  </si>
  <si>
    <t>CARETRUST REIT, INC.</t>
  </si>
  <si>
    <t>CTRE</t>
  </si>
  <si>
    <t>CARGURUS, INC.</t>
  </si>
  <si>
    <t>CARG</t>
  </si>
  <si>
    <t>CARIBOU BIOSCIENCES, INC.</t>
  </si>
  <si>
    <t>CRBU</t>
  </si>
  <si>
    <t>CARLISLE COMPANIES INC</t>
  </si>
  <si>
    <t>CSL</t>
  </si>
  <si>
    <t>CARLOTZ, INC.</t>
  </si>
  <si>
    <t>LOTZ</t>
  </si>
  <si>
    <t>CARLYLE GROUP INC.</t>
  </si>
  <si>
    <t>CG</t>
  </si>
  <si>
    <t>CARMAX INC</t>
  </si>
  <si>
    <t>KMX</t>
  </si>
  <si>
    <t>CARPARTS.COM, INC.</t>
  </si>
  <si>
    <t>PRTS</t>
  </si>
  <si>
    <t>CARPENTER TECHNOLOGY CORP</t>
  </si>
  <si>
    <t>CRS</t>
  </si>
  <si>
    <t>CARRIAGE SERVICES INC</t>
  </si>
  <si>
    <t>CSV</t>
  </si>
  <si>
    <t>CARRIER GLOBAL CORP</t>
  </si>
  <si>
    <t>CARR</t>
  </si>
  <si>
    <t>CARROLS RESTAURANT GROUP, INC.</t>
  </si>
  <si>
    <t>TAST</t>
  </si>
  <si>
    <t>CARS.COM INC.</t>
  </si>
  <si>
    <t>CARS</t>
  </si>
  <si>
    <t>CARTER BANKSHARES, INC.</t>
  </si>
  <si>
    <t>CARE</t>
  </si>
  <si>
    <t>CARTERS INC</t>
  </si>
  <si>
    <t>CRI</t>
  </si>
  <si>
    <t>CARVANA CO.</t>
  </si>
  <si>
    <t>CVNA</t>
  </si>
  <si>
    <t>CARVER BANCORP INC</t>
  </si>
  <si>
    <t>CARV</t>
  </si>
  <si>
    <t>CASA SYSTEMS INC</t>
  </si>
  <si>
    <t>CASA</t>
  </si>
  <si>
    <t>CASELLA WASTE SYSTEMS INC</t>
  </si>
  <si>
    <t>CWST</t>
  </si>
  <si>
    <t>CASEYS GENERAL STORES INC</t>
  </si>
  <si>
    <t>CASY</t>
  </si>
  <si>
    <t>CASI PHARMACEUTICALS, INC.</t>
  </si>
  <si>
    <t>CASI</t>
  </si>
  <si>
    <t>CASS INFORMATION SYSTEMS INC</t>
  </si>
  <si>
    <t>CASS</t>
  </si>
  <si>
    <t>CASTLE BIOSCIENCES INC</t>
  </si>
  <si>
    <t>CSTL</t>
  </si>
  <si>
    <t>CASTOR MARITIME INC.</t>
  </si>
  <si>
    <t>CTRM</t>
  </si>
  <si>
    <t>CATALENT, INC.</t>
  </si>
  <si>
    <t>CTLT</t>
  </si>
  <si>
    <t>CATALYST BANCORP, INC.</t>
  </si>
  <si>
    <t>CLST</t>
  </si>
  <si>
    <t>CATALYST BIOSCIENCES, INC.</t>
  </si>
  <si>
    <t>CBIO</t>
  </si>
  <si>
    <t>CATALYST PHARMACEUTICALS, INC.</t>
  </si>
  <si>
    <t>CPRX</t>
  </si>
  <si>
    <t>CATCHMARK TIMBER TRUST, INC.</t>
  </si>
  <si>
    <t>CTT</t>
  </si>
  <si>
    <t>CATERPILLAR INC</t>
  </si>
  <si>
    <t>CAT</t>
  </si>
  <si>
    <t>CATHAY GENERAL BANCORP</t>
  </si>
  <si>
    <t>CATY</t>
  </si>
  <si>
    <t>CATO CORP</t>
  </si>
  <si>
    <t>CATO</t>
  </si>
  <si>
    <t>CAVCO INDUSTRIES INC.</t>
  </si>
  <si>
    <t>CVCO</t>
  </si>
  <si>
    <t>CB FINANCIAL SERVICES, INC.</t>
  </si>
  <si>
    <t>CBFV</t>
  </si>
  <si>
    <t>CBAK ENERGY TECHNOLOGY, INC.</t>
  </si>
  <si>
    <t>CBAT</t>
  </si>
  <si>
    <t>CBDMD, INC.</t>
  </si>
  <si>
    <t>YCBD</t>
  </si>
  <si>
    <t>CBIZ, INC.</t>
  </si>
  <si>
    <t>CBZ</t>
  </si>
  <si>
    <t>CBL &amp; ASSOCIATES PROPERTIES INC</t>
  </si>
  <si>
    <t>CBL</t>
  </si>
  <si>
    <t>CBOE GLOBAL MARKETS, INC.</t>
  </si>
  <si>
    <t>CBOE</t>
  </si>
  <si>
    <t>CBRE GROUP, INC.</t>
  </si>
  <si>
    <t>CBRE</t>
  </si>
  <si>
    <t>CBTX, INC.</t>
  </si>
  <si>
    <t>CBTX</t>
  </si>
  <si>
    <t>CCC INTELLIGENT SOLUTIONS HOLDINGS INC.</t>
  </si>
  <si>
    <t>CCCS</t>
  </si>
  <si>
    <t>CDK GLOBAL, INC.</t>
  </si>
  <si>
    <t>CDK</t>
  </si>
  <si>
    <t>CDW CORP</t>
  </si>
  <si>
    <t>CDW</t>
  </si>
  <si>
    <t>CECO ENVIRONMENTAL CORP</t>
  </si>
  <si>
    <t>CECE</t>
  </si>
  <si>
    <t>CEDAR FAIR L P</t>
  </si>
  <si>
    <t>FUN</t>
  </si>
  <si>
    <t>CEDAR REALTY TRUST, INC.</t>
  </si>
  <si>
    <t>CDR</t>
  </si>
  <si>
    <t>CELANESE CORP</t>
  </si>
  <si>
    <t>CE</t>
  </si>
  <si>
    <t>CELLDEX THERAPEUTICS, INC.</t>
  </si>
  <si>
    <t>CLDX</t>
  </si>
  <si>
    <t>CELLEBRITE DI LTD.</t>
  </si>
  <si>
    <t>CLBT</t>
  </si>
  <si>
    <t>CELSION CORP</t>
  </si>
  <si>
    <t>CLSN</t>
  </si>
  <si>
    <t>CELSIUS HOLDINGS, INC.</t>
  </si>
  <si>
    <t>CELH</t>
  </si>
  <si>
    <t>CELULARITY INC</t>
  </si>
  <si>
    <t>CELU</t>
  </si>
  <si>
    <t>CENTENE CORP</t>
  </si>
  <si>
    <t>CNC</t>
  </si>
  <si>
    <t>CENTENNIAL RESOURCE DEVELOPMENT, INC.</t>
  </si>
  <si>
    <t>CDEV</t>
  </si>
  <si>
    <t>CENTERPOINT ENERGY INC</t>
  </si>
  <si>
    <t>CNP</t>
  </si>
  <si>
    <t>CENTERSPACE</t>
  </si>
  <si>
    <t>CSR</t>
  </si>
  <si>
    <t>CENTRAL GARDEN &amp; PET CO</t>
  </si>
  <si>
    <t>CENT</t>
  </si>
  <si>
    <t>CENTRAL PACIFIC FINANCIAL CORP</t>
  </si>
  <si>
    <t>CPF</t>
  </si>
  <si>
    <t>CENTRAL VALLEY COMMUNITY BANCORP</t>
  </si>
  <si>
    <t>CVCY</t>
  </si>
  <si>
    <t>CENTRUS ENERGY CORP</t>
  </si>
  <si>
    <t>LEU</t>
  </si>
  <si>
    <t>CENTURY ALUMINUM CO</t>
  </si>
  <si>
    <t>CENX</t>
  </si>
  <si>
    <t>CENTURY CASINOS INC /CO/</t>
  </si>
  <si>
    <t>CNTY</t>
  </si>
  <si>
    <t>CENTURY COMMUNITIES, INC.</t>
  </si>
  <si>
    <t>CCS</t>
  </si>
  <si>
    <t>CERAGON NETWORKS LTD</t>
  </si>
  <si>
    <t>CRNT</t>
  </si>
  <si>
    <t>CERBERUS CYBER SENTINEL CORP</t>
  </si>
  <si>
    <t>CISO</t>
  </si>
  <si>
    <t>CERENCE INC.</t>
  </si>
  <si>
    <t>CRNC</t>
  </si>
  <si>
    <t>CERIDIAN HCM HOLDING INC.</t>
  </si>
  <si>
    <t>CDAY</t>
  </si>
  <si>
    <t>CERTARA, INC.</t>
  </si>
  <si>
    <t>CERT</t>
  </si>
  <si>
    <t>CERUS CORP</t>
  </si>
  <si>
    <t>CERS</t>
  </si>
  <si>
    <t>CEVA INC</t>
  </si>
  <si>
    <t>CEVA</t>
  </si>
  <si>
    <t>CF BANKSHARES INC.</t>
  </si>
  <si>
    <t>CFBK</t>
  </si>
  <si>
    <t>CF INDUSTRIES HOLDINGS, INC.</t>
  </si>
  <si>
    <t>CF</t>
  </si>
  <si>
    <t>CHAMPIONS ONCOLOGY, INC.</t>
  </si>
  <si>
    <t>CSBR</t>
  </si>
  <si>
    <t>CHAMPIONX CORP</t>
  </si>
  <si>
    <t>CHX</t>
  </si>
  <si>
    <t>CHANGE HEALTHCARE INC.</t>
  </si>
  <si>
    <t>CHNG</t>
  </si>
  <si>
    <t>CHANNELADVISOR CORP</t>
  </si>
  <si>
    <t>ECOM</t>
  </si>
  <si>
    <t>CHARAH SOLUTIONS, INC.</t>
  </si>
  <si>
    <t>CHRA</t>
  </si>
  <si>
    <t>CHARGE ENTERPRISES, INC.</t>
  </si>
  <si>
    <t>CRGE</t>
  </si>
  <si>
    <t>CHARGEPOINT HOLDINGS, INC.</t>
  </si>
  <si>
    <t>CHPT</t>
  </si>
  <si>
    <t>CHARLES &amp; COLVARD LTD</t>
  </si>
  <si>
    <t>CTHR</t>
  </si>
  <si>
    <t>CHARLES RIVER LABORATORIES INTERNATIONAL, INC.</t>
  </si>
  <si>
    <t>CRL</t>
  </si>
  <si>
    <t>CHARLOTTE'S WEB HOLDINGS, INC.</t>
  </si>
  <si>
    <t>CWBHF</t>
  </si>
  <si>
    <t>CHART INDUSTRIES INC</t>
  </si>
  <si>
    <t>GTLS</t>
  </si>
  <si>
    <t>CHARTER COMMUNICATIONS, INC. /MO/</t>
  </si>
  <si>
    <t>CHTR</t>
  </si>
  <si>
    <t>CHASE CORP</t>
  </si>
  <si>
    <t>CCF</t>
  </si>
  <si>
    <t>CHATHAM LODGING TRUST</t>
  </si>
  <si>
    <t>CLDT</t>
  </si>
  <si>
    <t>CHECK POINT SOFTWARE TECHNOLOGIES LTD</t>
  </si>
  <si>
    <t>CHKP</t>
  </si>
  <si>
    <t>CHEESECAKE FACTORY INC</t>
  </si>
  <si>
    <t>CAKE</t>
  </si>
  <si>
    <t>CHEETAH MOBILE INC.</t>
  </si>
  <si>
    <t>CMCM</t>
  </si>
  <si>
    <t>CHEFS' WAREHOUSE, INC.</t>
  </si>
  <si>
    <t>CHEF</t>
  </si>
  <si>
    <t>CHEGG, INC</t>
  </si>
  <si>
    <t>CHGG</t>
  </si>
  <si>
    <t>CHEMBIO DIAGNOSTICS, INC.</t>
  </si>
  <si>
    <t>CEMI</t>
  </si>
  <si>
    <t>CHEMED CORP</t>
  </si>
  <si>
    <t>CHE</t>
  </si>
  <si>
    <t>CHEMOCENTRYX, INC.</t>
  </si>
  <si>
    <t>CCXI</t>
  </si>
  <si>
    <t>CHEMOURS CO</t>
  </si>
  <si>
    <t>CC</t>
  </si>
  <si>
    <t>CHEMUNG FINANCIAL CORP</t>
  </si>
  <si>
    <t>CHMG</t>
  </si>
  <si>
    <t>CHENIERE ENERGY INC</t>
  </si>
  <si>
    <t>LNG</t>
  </si>
  <si>
    <t>CHENIERE ENERGY PARTNERS, L.P.</t>
  </si>
  <si>
    <t>CQP</t>
  </si>
  <si>
    <t>CHERRY HILL MORTGAGE INVESTMENT CORP</t>
  </si>
  <si>
    <t>CHMI</t>
  </si>
  <si>
    <t>CHESAPEAKE ENERGY CORP</t>
  </si>
  <si>
    <t>CHK</t>
  </si>
  <si>
    <t>CHESAPEAKE UTILITIES CORP</t>
  </si>
  <si>
    <t>CPK</t>
  </si>
  <si>
    <t>CHEVRON CORP</t>
  </si>
  <si>
    <t>CVX</t>
  </si>
  <si>
    <t>CHEWY, INC.</t>
  </si>
  <si>
    <t>CHWY</t>
  </si>
  <si>
    <t>CHICAGO RIVET &amp; MACHINE CO</t>
  </si>
  <si>
    <t>CVR</t>
  </si>
  <si>
    <t>CHICKEN SOUP FOR THE SOUL ENTERTAINMENT, INC.</t>
  </si>
  <si>
    <t>CSSE</t>
  </si>
  <si>
    <t>CHICO'S FAS, INC.</t>
  </si>
  <si>
    <t>CHS</t>
  </si>
  <si>
    <t>CHILDRENS PLACE, INC.</t>
  </si>
  <si>
    <t>PLCE</t>
  </si>
  <si>
    <t>CHIMERA INVESTMENT CORP</t>
  </si>
  <si>
    <t>CIM</t>
  </si>
  <si>
    <t>CHIMERIX INC</t>
  </si>
  <si>
    <t>CMRX</t>
  </si>
  <si>
    <t>CHINA AUTOMOTIVE SYSTEMS INC</t>
  </si>
  <si>
    <t>CAAS</t>
  </si>
  <si>
    <t>CHINA GREEN AGRICULTURE, INC.</t>
  </si>
  <si>
    <t>CGA</t>
  </si>
  <si>
    <t>CHINA ONLINE EDUCATION GROUP</t>
  </si>
  <si>
    <t>COE</t>
  </si>
  <si>
    <t>CHINA PHARMA HOLDINGS, INC.</t>
  </si>
  <si>
    <t>CPHI</t>
  </si>
  <si>
    <t>CHINA SXT PHARMACEUTICALS, INC.</t>
  </si>
  <si>
    <t>SXTC</t>
  </si>
  <si>
    <t>CHINA UNITED INSURANCE SERVICE, INC.</t>
  </si>
  <si>
    <t>CUII</t>
  </si>
  <si>
    <t>CHINDATA GROUP HOLDINGS LTD</t>
  </si>
  <si>
    <t>CD</t>
  </si>
  <si>
    <t>CHINOOK THERAPEUTICS, INC.</t>
  </si>
  <si>
    <t>KDNY</t>
  </si>
  <si>
    <t>CHIPOTLE MEXICAN GRILL INC</t>
  </si>
  <si>
    <t>CMG</t>
  </si>
  <si>
    <t>CHOICE HOTELS INTERNATIONAL INC /DE</t>
  </si>
  <si>
    <t>CHH</t>
  </si>
  <si>
    <t>CHOICEONE FINANCIAL SERVICES INC</t>
  </si>
  <si>
    <t>COFS</t>
  </si>
  <si>
    <t>CHROMADEX CORP.</t>
  </si>
  <si>
    <t>CDXC</t>
  </si>
  <si>
    <t>CHUBB LTD</t>
  </si>
  <si>
    <t>CB</t>
  </si>
  <si>
    <t>CHURCH &amp; DWIGHT CO INC /DE/</t>
  </si>
  <si>
    <t>CHD</t>
  </si>
  <si>
    <t>CHURCHILL DOWNS INC</t>
  </si>
  <si>
    <t>CHDN</t>
  </si>
  <si>
    <t>CHUY'S HOLDINGS, INC.</t>
  </si>
  <si>
    <t>CHUY</t>
  </si>
  <si>
    <t>CIENA CORP</t>
  </si>
  <si>
    <t>CIEN</t>
  </si>
  <si>
    <t>CIGNA CORP</t>
  </si>
  <si>
    <t>CI</t>
  </si>
  <si>
    <t>CIMPRESS PLC</t>
  </si>
  <si>
    <t>CMPR</t>
  </si>
  <si>
    <t>CINCINNATI BANCORP, INC.</t>
  </si>
  <si>
    <t>CNNB</t>
  </si>
  <si>
    <t>CINCINNATI FINANCIAL CORP</t>
  </si>
  <si>
    <t>CINF</t>
  </si>
  <si>
    <t>CINEDIGM CORP.</t>
  </si>
  <si>
    <t>CIDM</t>
  </si>
  <si>
    <t>CINEMARK HOLDINGS, INC.</t>
  </si>
  <si>
    <t>CNK</t>
  </si>
  <si>
    <t>CINTAS CORP</t>
  </si>
  <si>
    <t>CTAS</t>
  </si>
  <si>
    <t>CIRCOR INTERNATIONAL INC</t>
  </si>
  <si>
    <t>CIR</t>
  </si>
  <si>
    <t>CIRRUS LOGIC, INC.</t>
  </si>
  <si>
    <t>CRUS</t>
  </si>
  <si>
    <t>CISCO SYSTEMS, INC.</t>
  </si>
  <si>
    <t>CSCO</t>
  </si>
  <si>
    <t>CITI TRENDS INC</t>
  </si>
  <si>
    <t>CTRN</t>
  </si>
  <si>
    <t>CITIGROUP INC</t>
  </si>
  <si>
    <t>C</t>
  </si>
  <si>
    <t>CITIUS PHARMACEUTICALS, INC.</t>
  </si>
  <si>
    <t>CTXR</t>
  </si>
  <si>
    <t>CITIZENS &amp; NORTHERN CORP</t>
  </si>
  <si>
    <t>CZNC</t>
  </si>
  <si>
    <t>CITIZENS COMMUNITY BANCORP INC.</t>
  </si>
  <si>
    <t>CZWI</t>
  </si>
  <si>
    <t>CITIZENS FINANCIAL GROUP INC/RI</t>
  </si>
  <si>
    <t>CFG</t>
  </si>
  <si>
    <t>CITIZENS FINANCIAL SERVICES INC</t>
  </si>
  <si>
    <t>CZFS</t>
  </si>
  <si>
    <t>CITIZENS HOLDING CO /MS/</t>
  </si>
  <si>
    <t>CIZN</t>
  </si>
  <si>
    <t>CITIZENS, INC.</t>
  </si>
  <si>
    <t>CIA</t>
  </si>
  <si>
    <t>CITRIX SYSTEMS INC</t>
  </si>
  <si>
    <t>CTXS</t>
  </si>
  <si>
    <t>CITY HOLDING CO</t>
  </si>
  <si>
    <t>CHCO</t>
  </si>
  <si>
    <t>CITY OFFICE REIT, INC.</t>
  </si>
  <si>
    <t>CIO</t>
  </si>
  <si>
    <t>CIVEO CORP</t>
  </si>
  <si>
    <t>CVEO</t>
  </si>
  <si>
    <t>CIVISTA BANCSHARES, INC.</t>
  </si>
  <si>
    <t>CIVB</t>
  </si>
  <si>
    <t>CIVITAS RESOURCES, INC.</t>
  </si>
  <si>
    <t>CIVI</t>
  </si>
  <si>
    <t>CKX LANDS, INC.</t>
  </si>
  <si>
    <t>CKX</t>
  </si>
  <si>
    <t>CLARIVATE PLC</t>
  </si>
  <si>
    <t>CLVT</t>
  </si>
  <si>
    <t>CLAROS MORTGAGE TRUST, INC.</t>
  </si>
  <si>
    <t>CMTG</t>
  </si>
  <si>
    <t>CLARUS CORP</t>
  </si>
  <si>
    <t>CLAR</t>
  </si>
  <si>
    <t>CLEAN ENERGY FUELS CORP.</t>
  </si>
  <si>
    <t>CLNE</t>
  </si>
  <si>
    <t>CLEAN HARBORS INC</t>
  </si>
  <si>
    <t>CLH</t>
  </si>
  <si>
    <t>CLEANSPARK, INC.</t>
  </si>
  <si>
    <t>CLSK</t>
  </si>
  <si>
    <t>CLEAR CHANNEL OUTDOOR HOLDINGS, INC.</t>
  </si>
  <si>
    <t>CCO</t>
  </si>
  <si>
    <t>CLEAR SECURE, INC.</t>
  </si>
  <si>
    <t>YOU</t>
  </si>
  <si>
    <t>CLEARDAY, INC.</t>
  </si>
  <si>
    <t>CLRD</t>
  </si>
  <si>
    <t>CLEARFIELD, INC.</t>
  </si>
  <si>
    <t>CLFD</t>
  </si>
  <si>
    <t>CLEARONE INC</t>
  </si>
  <si>
    <t>CLRO</t>
  </si>
  <si>
    <t>CLEARPOINT NEURO, INC.</t>
  </si>
  <si>
    <t>CLPT</t>
  </si>
  <si>
    <t>CLEARSIDE BIOMEDICAL, INC.</t>
  </si>
  <si>
    <t>CLSD</t>
  </si>
  <si>
    <t>CLEARWATER ANALYTICS HOLDINGS, INC.</t>
  </si>
  <si>
    <t>CWAN</t>
  </si>
  <si>
    <t>CLEARWATER PAPER CORP</t>
  </si>
  <si>
    <t>CLW</t>
  </si>
  <si>
    <t>CLEARWAY ENERGY, INC.</t>
  </si>
  <si>
    <t>CWEN</t>
  </si>
  <si>
    <t>CLENE INC.</t>
  </si>
  <si>
    <t>CLNN</t>
  </si>
  <si>
    <t>CLEVELAND-CLIFFS INC.</t>
  </si>
  <si>
    <t>CLF</t>
  </si>
  <si>
    <t>CLEVER LEAVES HOLDINGS INC.</t>
  </si>
  <si>
    <t>CLVR</t>
  </si>
  <si>
    <t>CLIPPER REALTY INC.</t>
  </si>
  <si>
    <t>CLPR</t>
  </si>
  <si>
    <t>CLOROX CO /DE/</t>
  </si>
  <si>
    <t>CLX</t>
  </si>
  <si>
    <t>CLOUDFLARE, INC.</t>
  </si>
  <si>
    <t>NET</t>
  </si>
  <si>
    <t>CLOVER HEALTH INVESTMENTS, CORP. /DE</t>
  </si>
  <si>
    <t>CLOV</t>
  </si>
  <si>
    <t>CLOVIS ONCOLOGY, INC.</t>
  </si>
  <si>
    <t>CLVS</t>
  </si>
  <si>
    <t>CLPS INC</t>
  </si>
  <si>
    <t>CLPS</t>
  </si>
  <si>
    <t>CLS HOLDINGS USA, INC.</t>
  </si>
  <si>
    <t>CLSH</t>
  </si>
  <si>
    <t>CMC MATERIALS, INC.</t>
  </si>
  <si>
    <t>CCMP</t>
  </si>
  <si>
    <t>CME GROUP INC.</t>
  </si>
  <si>
    <t>CME</t>
  </si>
  <si>
    <t>CMS ENERGY CORP</t>
  </si>
  <si>
    <t>CMS</t>
  </si>
  <si>
    <t>CN ENERGY GROUP. INC.</t>
  </si>
  <si>
    <t>CNEY</t>
  </si>
  <si>
    <t>CNA FINANCIAL CORP</t>
  </si>
  <si>
    <t>CNA</t>
  </si>
  <si>
    <t>CNB FINANCIAL CORP/PA</t>
  </si>
  <si>
    <t>CCNE</t>
  </si>
  <si>
    <t>CNH INDUSTRIAL N.V.</t>
  </si>
  <si>
    <t>CNHI</t>
  </si>
  <si>
    <t>CNO FINANCIAL GROUP, INC.</t>
  </si>
  <si>
    <t>CNO</t>
  </si>
  <si>
    <t>CNX RESOURCES CORP</t>
  </si>
  <si>
    <t>CNX</t>
  </si>
  <si>
    <t>CO-DIAGNOSTICS, INC.</t>
  </si>
  <si>
    <t>CODX</t>
  </si>
  <si>
    <t>COASTAL FINANCIAL CORP</t>
  </si>
  <si>
    <t>CCB</t>
  </si>
  <si>
    <t>COCA COLA CO</t>
  </si>
  <si>
    <t>KO</t>
  </si>
  <si>
    <t>COCA-COLA CONSOLIDATED, INC.</t>
  </si>
  <si>
    <t>COKE</t>
  </si>
  <si>
    <t>COCRYSTAL PHARMA, INC.</t>
  </si>
  <si>
    <t>COCP</t>
  </si>
  <si>
    <t>CODA OCTOPUS GROUP, INC.</t>
  </si>
  <si>
    <t>CODA</t>
  </si>
  <si>
    <t>CODE CHAIN NEW CONTINENT LTD</t>
  </si>
  <si>
    <t>CCNC</t>
  </si>
  <si>
    <t>CODEX DNA, INC.</t>
  </si>
  <si>
    <t>DNAY</t>
  </si>
  <si>
    <t>CODEXIS, INC.</t>
  </si>
  <si>
    <t>CDXS</t>
  </si>
  <si>
    <t>CODIAK BIOSCIENCES, INC.</t>
  </si>
  <si>
    <t>CDAK</t>
  </si>
  <si>
    <t>CODORUS VALLEY BANCORP INC</t>
  </si>
  <si>
    <t>CVLY</t>
  </si>
  <si>
    <t>COEUR MINING, INC.</t>
  </si>
  <si>
    <t>CDE</t>
  </si>
  <si>
    <t>COFFEE HOLDING CO INC</t>
  </si>
  <si>
    <t>JVA</t>
  </si>
  <si>
    <t>COGENT BIOSCIENCES, INC.</t>
  </si>
  <si>
    <t>COGT</t>
  </si>
  <si>
    <t>COGENT COMMUNICATIONS HOLDINGS, INC.</t>
  </si>
  <si>
    <t>CCOI</t>
  </si>
  <si>
    <t>COGNEX CORP</t>
  </si>
  <si>
    <t>CGNX</t>
  </si>
  <si>
    <t>COGNIZANT TECHNOLOGY SOLUTIONS CORP</t>
  </si>
  <si>
    <t>CTSH</t>
  </si>
  <si>
    <t>COGNYTE SOFTWARE LTD.</t>
  </si>
  <si>
    <t>CGNT</t>
  </si>
  <si>
    <t>COHBAR, INC.</t>
  </si>
  <si>
    <t>CWBR</t>
  </si>
  <si>
    <t>COHEN &amp; CO INC.</t>
  </si>
  <si>
    <t>COHN</t>
  </si>
  <si>
    <t>COHEN &amp; STEERS, INC.</t>
  </si>
  <si>
    <t>CNS</t>
  </si>
  <si>
    <t>COHERUS BIOSCIENCES, INC.</t>
  </si>
  <si>
    <t>CHRS</t>
  </si>
  <si>
    <t>COHU INC</t>
  </si>
  <si>
    <t>COHU</t>
  </si>
  <si>
    <t>COINBASE GLOBAL, INC.</t>
  </si>
  <si>
    <t>COIN</t>
  </si>
  <si>
    <t>COLGATE PALMOLIVE CO</t>
  </si>
  <si>
    <t>CL</t>
  </si>
  <si>
    <t>COLLEGIUM PHARMACEUTICAL, INC</t>
  </si>
  <si>
    <t>COLL</t>
  </si>
  <si>
    <t>COLLIERS INTERNATIONAL GROUP INC.</t>
  </si>
  <si>
    <t>CIGI</t>
  </si>
  <si>
    <t>COLLPLANT BIOTECHNOLOGIES LTD</t>
  </si>
  <si>
    <t>CLGN</t>
  </si>
  <si>
    <t>COLONY BANKCORP INC</t>
  </si>
  <si>
    <t>CBAN</t>
  </si>
  <si>
    <t>COLUMBIA BANKING SYSTEM, INC.</t>
  </si>
  <si>
    <t>COLB</t>
  </si>
  <si>
    <t>COLUMBIA FINANCIAL, INC.</t>
  </si>
  <si>
    <t>CLBK</t>
  </si>
  <si>
    <t>COLUMBIA SPORTSWEAR CO</t>
  </si>
  <si>
    <t>COLM</t>
  </si>
  <si>
    <t>COLUMBUS MCKINNON CORP</t>
  </si>
  <si>
    <t>CMCO</t>
  </si>
  <si>
    <t>COMCAST CORP</t>
  </si>
  <si>
    <t>CMCSA</t>
  </si>
  <si>
    <t>COMERICA INC /NEW/</t>
  </si>
  <si>
    <t>CMA</t>
  </si>
  <si>
    <t>COMFORT SYSTEMS USA INC</t>
  </si>
  <si>
    <t>FIX</t>
  </si>
  <si>
    <t>COMMERCE BANCSHARES INC /MO/</t>
  </si>
  <si>
    <t>CBSH</t>
  </si>
  <si>
    <t>COMMERCIAL METALS CO</t>
  </si>
  <si>
    <t>CMC</t>
  </si>
  <si>
    <t>COMMERCIAL VEHICLE GROUP, INC.</t>
  </si>
  <si>
    <t>CVGI</t>
  </si>
  <si>
    <t>COMMSCOPE HOLDING COMPANY, INC.</t>
  </si>
  <si>
    <t>COMM</t>
  </si>
  <si>
    <t>COMMUNITY BANCORP /VT</t>
  </si>
  <si>
    <t>CMTV</t>
  </si>
  <si>
    <t>COMMUNITY BANK SYSTEM, INC.</t>
  </si>
  <si>
    <t>CBU</t>
  </si>
  <si>
    <t>COMMUNITY FINANCIAL CORP /MD/</t>
  </si>
  <si>
    <t>TCFC</t>
  </si>
  <si>
    <t>COMMUNITY HEALTH SYSTEMS INC</t>
  </si>
  <si>
    <t>CYH</t>
  </si>
  <si>
    <t>COMMUNITY HEALTHCARE TRUST INC</t>
  </si>
  <si>
    <t>CHCT</t>
  </si>
  <si>
    <t>COMMUNITY TRUST BANCORP INC /KY/</t>
  </si>
  <si>
    <t>CTBI</t>
  </si>
  <si>
    <t>COMMUNITY WEST BANCSHARES /</t>
  </si>
  <si>
    <t>CWBC</t>
  </si>
  <si>
    <t>COMMVAULT SYSTEMS INC</t>
  </si>
  <si>
    <t>CVLT</t>
  </si>
  <si>
    <t>COMPASS DIVERSIFIED HOLDINGS</t>
  </si>
  <si>
    <t>CODI</t>
  </si>
  <si>
    <t>COMPASS MINERALS INTERNATIONAL INC</t>
  </si>
  <si>
    <t>CMP</t>
  </si>
  <si>
    <t>COMPASS, INC.</t>
  </si>
  <si>
    <t>COMP</t>
  </si>
  <si>
    <t>COMPOSECURE, INC.</t>
  </si>
  <si>
    <t>CMPO</t>
  </si>
  <si>
    <t>COMPUGEN LTD</t>
  </si>
  <si>
    <t>CGEN</t>
  </si>
  <si>
    <t>COMPUTER PROGRAMS &amp; SYSTEMS INC</t>
  </si>
  <si>
    <t>CPSI</t>
  </si>
  <si>
    <t>COMPUTER TASK GROUP INC</t>
  </si>
  <si>
    <t>CTG</t>
  </si>
  <si>
    <t>COMPX INTERNATIONAL INC</t>
  </si>
  <si>
    <t>CIX</t>
  </si>
  <si>
    <t>COMSCORE, INC.</t>
  </si>
  <si>
    <t>SCOR</t>
  </si>
  <si>
    <t>COMSOVEREIGN HOLDING CORP.</t>
  </si>
  <si>
    <t>COMS</t>
  </si>
  <si>
    <t>COMSTOCK HOLDING COMPANIES, INC.</t>
  </si>
  <si>
    <t>CHCI</t>
  </si>
  <si>
    <t>COMSTOCK MINING INC.</t>
  </si>
  <si>
    <t>LODE</t>
  </si>
  <si>
    <t>COMSTOCK RESOURCES INC</t>
  </si>
  <si>
    <t>CRK</t>
  </si>
  <si>
    <t>COMTECH TELECOMMUNICATIONS CORP /DE/</t>
  </si>
  <si>
    <t>CMTL</t>
  </si>
  <si>
    <t>CONAGRA BRANDS INC.</t>
  </si>
  <si>
    <t>CAG</t>
  </si>
  <si>
    <t>CONCENTRIX CORP</t>
  </si>
  <si>
    <t>CNXC</t>
  </si>
  <si>
    <t>CONCERT PHARMACEUTICALS, INC.</t>
  </si>
  <si>
    <t>CNCE</t>
  </si>
  <si>
    <t>CONCORD MEDICAL SERVICES HOLDINGS LTD</t>
  </si>
  <si>
    <t>CCM</t>
  </si>
  <si>
    <t>CONCRETE PUMPING HOLDINGS, INC.</t>
  </si>
  <si>
    <t>BBCP</t>
  </si>
  <si>
    <t>CONDUENT INC</t>
  </si>
  <si>
    <t>CNDT</t>
  </si>
  <si>
    <t>CONFLUENT, INC.</t>
  </si>
  <si>
    <t>CFLT</t>
  </si>
  <si>
    <t>CONFORMIS INC</t>
  </si>
  <si>
    <t>CFMS</t>
  </si>
  <si>
    <t>CONIFER HOLDINGS, INC.</t>
  </si>
  <si>
    <t>CNFR</t>
  </si>
  <si>
    <t>CONMED CORP</t>
  </si>
  <si>
    <t>CNMD</t>
  </si>
  <si>
    <t>CONNECTONE BANCORP, INC.</t>
  </si>
  <si>
    <t>CNOB</t>
  </si>
  <si>
    <t>CONNS INC</t>
  </si>
  <si>
    <t>CONN</t>
  </si>
  <si>
    <t>CONOCOPHILLIPS</t>
  </si>
  <si>
    <t>COP</t>
  </si>
  <si>
    <t>CONSENSUS CLOUD SOLUTIONS, INC.</t>
  </si>
  <si>
    <t>CCSI</t>
  </si>
  <si>
    <t>CONSOL ENERGY INC.</t>
  </si>
  <si>
    <t>CEIX</t>
  </si>
  <si>
    <t>CONSOLIDATED COMMUNICATIONS HOLDINGS, INC.</t>
  </si>
  <si>
    <t>CNSL</t>
  </si>
  <si>
    <t>CONSOLIDATED EDISON INC</t>
  </si>
  <si>
    <t>ED</t>
  </si>
  <si>
    <t>CONSOLIDATED WATER CO. LTD.</t>
  </si>
  <si>
    <t>CWCO</t>
  </si>
  <si>
    <t>CONSTELLATION BRANDS, INC.</t>
  </si>
  <si>
    <t>STZ</t>
  </si>
  <si>
    <t>CONSTRUCTION PARTNERS, INC.</t>
  </si>
  <si>
    <t>ROAD</t>
  </si>
  <si>
    <t>CONSUMER PORTFOLIO SERVICES, INC.</t>
  </si>
  <si>
    <t>CPSS</t>
  </si>
  <si>
    <t>CONSUMERS BANCORP INC /OH/</t>
  </si>
  <si>
    <t>CBKM</t>
  </si>
  <si>
    <t>CONTAINER STORE GROUP, INC.</t>
  </si>
  <si>
    <t>TCS</t>
  </si>
  <si>
    <t>CONTEXTLOGIC INC.</t>
  </si>
  <si>
    <t>WISH</t>
  </si>
  <si>
    <t>CONTINENTAL RESOURCES, INC</t>
  </si>
  <si>
    <t>CLR</t>
  </si>
  <si>
    <t>CONVEY HEALTH SOLUTIONS HOLDINGS, INC.</t>
  </si>
  <si>
    <t>CNVY</t>
  </si>
  <si>
    <t>COOPER COMPANIES, INC.</t>
  </si>
  <si>
    <t>COO</t>
  </si>
  <si>
    <t>COOPER-STANDARD HOLDINGS INC.</t>
  </si>
  <si>
    <t>CPS</t>
  </si>
  <si>
    <t>COPART INC</t>
  </si>
  <si>
    <t>CPRT</t>
  </si>
  <si>
    <t>CORBUS PHARMACEUTICALS HOLDINGS, INC.</t>
  </si>
  <si>
    <t>CRBP</t>
  </si>
  <si>
    <t>CORCEPT THERAPEUTICS INC</t>
  </si>
  <si>
    <t>CORT</t>
  </si>
  <si>
    <t>CORE &amp; MAIN, INC.</t>
  </si>
  <si>
    <t>CNM</t>
  </si>
  <si>
    <t>CORE LABORATORIES N V</t>
  </si>
  <si>
    <t>CLB</t>
  </si>
  <si>
    <t>CORE MOLDING TECHNOLOGIES INC</t>
  </si>
  <si>
    <t>CMT</t>
  </si>
  <si>
    <t>CORECARD CORP</t>
  </si>
  <si>
    <t>CCRD</t>
  </si>
  <si>
    <t>CORECIVIC, INC.</t>
  </si>
  <si>
    <t>CXW</t>
  </si>
  <si>
    <t>CORENERGY INFRASTRUCTURE TRUST, INC.</t>
  </si>
  <si>
    <t>CORR</t>
  </si>
  <si>
    <t>CORMEDIX INC.</t>
  </si>
  <si>
    <t>CRMD</t>
  </si>
  <si>
    <t>CORNERSTONE BUILDING BRANDS, INC.</t>
  </si>
  <si>
    <t>CNR</t>
  </si>
  <si>
    <t>CORNING INC /NY</t>
  </si>
  <si>
    <t>GLW</t>
  </si>
  <si>
    <t>CORNING NATURAL GAS HOLDING CORP</t>
  </si>
  <si>
    <t>CNIG</t>
  </si>
  <si>
    <t>CORPORATE OFFICE PROPERTIES TRUST</t>
  </si>
  <si>
    <t>OFC</t>
  </si>
  <si>
    <t>CORSAIR GAMING, INC.</t>
  </si>
  <si>
    <t>CRSR</t>
  </si>
  <si>
    <t>CORTEVA, INC.</t>
  </si>
  <si>
    <t>CTVA</t>
  </si>
  <si>
    <t>CORVEL CORP</t>
  </si>
  <si>
    <t>CRVL</t>
  </si>
  <si>
    <t>COSMOS GROUP HOLDINGS INC.</t>
  </si>
  <si>
    <t>COSG</t>
  </si>
  <si>
    <t>COSTAMARE INC.</t>
  </si>
  <si>
    <t>CMRE</t>
  </si>
  <si>
    <t>COSTAR GROUP, INC.</t>
  </si>
  <si>
    <t>CSGP</t>
  </si>
  <si>
    <t>COSTCO WHOLESALE CORP /NEW</t>
  </si>
  <si>
    <t>COST</t>
  </si>
  <si>
    <t>COTERRA ENERGY INC.</t>
  </si>
  <si>
    <t>CTRA</t>
  </si>
  <si>
    <t>COTY INC.</t>
  </si>
  <si>
    <t>COTY</t>
  </si>
  <si>
    <t>COUCHBASE, INC.</t>
  </si>
  <si>
    <t>BASE</t>
  </si>
  <si>
    <t>COUPA SOFTWARE INC</t>
  </si>
  <si>
    <t>COUP</t>
  </si>
  <si>
    <t>COUPANG, INC.</t>
  </si>
  <si>
    <t>CPNG</t>
  </si>
  <si>
    <t>COURSERA, INC.</t>
  </si>
  <si>
    <t>COUR</t>
  </si>
  <si>
    <t>COUSINS PROPERTIES INC</t>
  </si>
  <si>
    <t>CUZ</t>
  </si>
  <si>
    <t>COVENANT LOGISTICS GROUP, INC.</t>
  </si>
  <si>
    <t>CVLG</t>
  </si>
  <si>
    <t>COVETRUS, INC.</t>
  </si>
  <si>
    <t>CVET</t>
  </si>
  <si>
    <t>COWEN INC.</t>
  </si>
  <si>
    <t>COWN</t>
  </si>
  <si>
    <t>CPI CARD GROUP INC.</t>
  </si>
  <si>
    <t>PMTS</t>
  </si>
  <si>
    <t>CRA INTERNATIONAL, INC.</t>
  </si>
  <si>
    <t>CRAI</t>
  </si>
  <si>
    <t>CRACKER BARREL OLD COUNTRY STORE, INC</t>
  </si>
  <si>
    <t>CBRL</t>
  </si>
  <si>
    <t>CRANE CO /DE/</t>
  </si>
  <si>
    <t>CR</t>
  </si>
  <si>
    <t>CRAWFORD &amp; CO</t>
  </si>
  <si>
    <t>CRD-A</t>
  </si>
  <si>
    <t>CRAWFORD UNITED CORP</t>
  </si>
  <si>
    <t>CRAWA</t>
  </si>
  <si>
    <t>CREATIVE MEDIA &amp; COMMUNITY TRUST CORP</t>
  </si>
  <si>
    <t>CMCT</t>
  </si>
  <si>
    <t>CREDIT ACCEPTANCE CORP</t>
  </si>
  <si>
    <t>CACC</t>
  </si>
  <si>
    <t>CREDITRISKMONITOR COM INC</t>
  </si>
  <si>
    <t>CRMZ</t>
  </si>
  <si>
    <t>CREE, INC.</t>
  </si>
  <si>
    <t>WOLF</t>
  </si>
  <si>
    <t>CRESCENT ENERGY CO</t>
  </si>
  <si>
    <t>CRGY</t>
  </si>
  <si>
    <t>CRESTWOOD EQUITY PARTNERS LP</t>
  </si>
  <si>
    <t>CEQP</t>
  </si>
  <si>
    <t>CREXENDO, INC.</t>
  </si>
  <si>
    <t>CXDO</t>
  </si>
  <si>
    <t>CRICUT, INC.</t>
  </si>
  <si>
    <t>CRCT</t>
  </si>
  <si>
    <t>CRIMSON WINE GROUP, LTD</t>
  </si>
  <si>
    <t>CWGL</t>
  </si>
  <si>
    <t>CRINETICS PHARMACEUTICALS, INC.</t>
  </si>
  <si>
    <t>CRNX</t>
  </si>
  <si>
    <t>CRISPR THERAPEUTICS AG</t>
  </si>
  <si>
    <t>CRSP</t>
  </si>
  <si>
    <t>CRITEO S.A.</t>
  </si>
  <si>
    <t>CRTO</t>
  </si>
  <si>
    <t>CROCS, INC.</t>
  </si>
  <si>
    <t>CROX</t>
  </si>
  <si>
    <t>CRONOS GROUP INC.</t>
  </si>
  <si>
    <t>CRON</t>
  </si>
  <si>
    <t>CROSS COUNTRY HEALTHCARE INC</t>
  </si>
  <si>
    <t>CCRN</t>
  </si>
  <si>
    <t>CROSSAMERICA PARTNERS LP</t>
  </si>
  <si>
    <t>CAPL</t>
  </si>
  <si>
    <t>CROSSFIRST BANKSHARES, INC.</t>
  </si>
  <si>
    <t>CFB</t>
  </si>
  <si>
    <t>CROWDSTRIKE HOLDINGS, INC.</t>
  </si>
  <si>
    <t>CRWD</t>
  </si>
  <si>
    <t>CROWN CASTLE INTERNATIONAL CORP</t>
  </si>
  <si>
    <t>CCI</t>
  </si>
  <si>
    <t>CROWN CRAFTS INC</t>
  </si>
  <si>
    <t>CRWS</t>
  </si>
  <si>
    <t>CROWN HOLDINGS INC</t>
  </si>
  <si>
    <t>CCK</t>
  </si>
  <si>
    <t>CRYO CELL INTERNATIONAL INC</t>
  </si>
  <si>
    <t>CCEL</t>
  </si>
  <si>
    <t>CRYOPORT, INC.</t>
  </si>
  <si>
    <t>CYRX</t>
  </si>
  <si>
    <t>CS DISCO, INC.</t>
  </si>
  <si>
    <t>LAW</t>
  </si>
  <si>
    <t>CSB BANCORP INC /OH</t>
  </si>
  <si>
    <t>CSBB</t>
  </si>
  <si>
    <t>CSG SYSTEMS INTERNATIONAL INC</t>
  </si>
  <si>
    <t>CSGS</t>
  </si>
  <si>
    <t>CSI COMPRESSCO LP</t>
  </si>
  <si>
    <t>CCLP</t>
  </si>
  <si>
    <t>CSP INC /MA/</t>
  </si>
  <si>
    <t>CSPI</t>
  </si>
  <si>
    <t>CSW INDUSTRIALS, INC.</t>
  </si>
  <si>
    <t>CSWI</t>
  </si>
  <si>
    <t>CSX CORP</t>
  </si>
  <si>
    <t>CSX</t>
  </si>
  <si>
    <t>CTO REALTY GROWTH, INC.</t>
  </si>
  <si>
    <t>CTO</t>
  </si>
  <si>
    <t>CTS CORP</t>
  </si>
  <si>
    <t>CTS</t>
  </si>
  <si>
    <t>CUBESMART</t>
  </si>
  <si>
    <t>CUBE</t>
  </si>
  <si>
    <t>CUE BIOPHARMA, INC.</t>
  </si>
  <si>
    <t>CUE</t>
  </si>
  <si>
    <t>CUE HEALTH INC.</t>
  </si>
  <si>
    <t>HLTH</t>
  </si>
  <si>
    <t>CULLEN/FROST BANKERS, INC.</t>
  </si>
  <si>
    <t>CFR</t>
  </si>
  <si>
    <t>CULLMAN BANCORP, INC. /MD/</t>
  </si>
  <si>
    <t>CULL</t>
  </si>
  <si>
    <t>CULP INC</t>
  </si>
  <si>
    <t>CULP</t>
  </si>
  <si>
    <t>CUMBERLAND PHARMACEUTICALS INC</t>
  </si>
  <si>
    <t>CPIX</t>
  </si>
  <si>
    <t>CUMMINS INC</t>
  </si>
  <si>
    <t>CMI</t>
  </si>
  <si>
    <t>CUMULUS MEDIA INC</t>
  </si>
  <si>
    <t>CMLS</t>
  </si>
  <si>
    <t>CURE PHARMACEUTICAL HOLDING CORP.</t>
  </si>
  <si>
    <t>CURR</t>
  </si>
  <si>
    <t>CURIOSITYSTREAM INC.</t>
  </si>
  <si>
    <t>CURI</t>
  </si>
  <si>
    <t>CURIS INC</t>
  </si>
  <si>
    <t>CRIS</t>
  </si>
  <si>
    <t>CURO GROUP HOLDINGS CORP.</t>
  </si>
  <si>
    <t>CURO</t>
  </si>
  <si>
    <t>CURTISS WRIGHT CORP</t>
  </si>
  <si>
    <t>CW</t>
  </si>
  <si>
    <t>CUSHMAN &amp; WAKEFIELD PLC</t>
  </si>
  <si>
    <t>CWK</t>
  </si>
  <si>
    <t>CUSTOM TRUCK ONE SOURCE, INC.</t>
  </si>
  <si>
    <t>CTOS</t>
  </si>
  <si>
    <t>CUSTOMERS BANCORP, INC.</t>
  </si>
  <si>
    <t>CUBI</t>
  </si>
  <si>
    <t>CUTERA INC</t>
  </si>
  <si>
    <t>CUTR</t>
  </si>
  <si>
    <t>CVB FINANCIAL CORP</t>
  </si>
  <si>
    <t>CVBF</t>
  </si>
  <si>
    <t>CVD EQUIPMENT CORP</t>
  </si>
  <si>
    <t>CVV</t>
  </si>
  <si>
    <t>CVENT HOLDING CORP.</t>
  </si>
  <si>
    <t>CVT</t>
  </si>
  <si>
    <t>CVR ENERGY INC</t>
  </si>
  <si>
    <t>CVI</t>
  </si>
  <si>
    <t>CVR PARTNERS, LP</t>
  </si>
  <si>
    <t>UAN</t>
  </si>
  <si>
    <t>CVRX, INC.</t>
  </si>
  <si>
    <t>CVRX</t>
  </si>
  <si>
    <t>CVS HEALTH CORP</t>
  </si>
  <si>
    <t>CVS</t>
  </si>
  <si>
    <t>CYANOTECH CORP</t>
  </si>
  <si>
    <t>CYAN</t>
  </si>
  <si>
    <t>CYBERARK SOFTWARE LTD.</t>
  </si>
  <si>
    <t>CYBR</t>
  </si>
  <si>
    <t>CYBEROPTICS CORP</t>
  </si>
  <si>
    <t>CYBE</t>
  </si>
  <si>
    <t>CYCLERION THERAPEUTICS, INC.</t>
  </si>
  <si>
    <t>CYCN</t>
  </si>
  <si>
    <t>CYCLO THERAPEUTICS, INC.</t>
  </si>
  <si>
    <t>CYTH</t>
  </si>
  <si>
    <t>CYNERGISTEK, INC</t>
  </si>
  <si>
    <t>CTEK</t>
  </si>
  <si>
    <t>CYREN LTD.</t>
  </si>
  <si>
    <t>CYRN</t>
  </si>
  <si>
    <t>CYTEK BIOSCIENCES, INC.</t>
  </si>
  <si>
    <t>CTKB</t>
  </si>
  <si>
    <t>CYTOKINETICS INC</t>
  </si>
  <si>
    <t>CYTK</t>
  </si>
  <si>
    <t>CYTOMX THERAPEUTICS, INC.</t>
  </si>
  <si>
    <t>CTMX</t>
  </si>
  <si>
    <t>CYTOSORBENTS CORP</t>
  </si>
  <si>
    <t>CTSO</t>
  </si>
  <si>
    <t>CYXTERA TECHNOLOGIES, INC.</t>
  </si>
  <si>
    <t>CYXT</t>
  </si>
  <si>
    <t>DADA NEXUS LTD</t>
  </si>
  <si>
    <t>DADA</t>
  </si>
  <si>
    <t>DAILY JOURNAL CORP</t>
  </si>
  <si>
    <t>DJCO</t>
  </si>
  <si>
    <t>DAKTRONICS INC /SD/</t>
  </si>
  <si>
    <t>DAKT</t>
  </si>
  <si>
    <t>DALLASNEWS CORP</t>
  </si>
  <si>
    <t>DALN</t>
  </si>
  <si>
    <t>DANA INC</t>
  </si>
  <si>
    <t>DAN</t>
  </si>
  <si>
    <t>DANAHER CORP /DE/</t>
  </si>
  <si>
    <t>DHR</t>
  </si>
  <si>
    <t>DANAOS CORP</t>
  </si>
  <si>
    <t>DAC</t>
  </si>
  <si>
    <t>DANIMER SCIENTIFIC, INC.</t>
  </si>
  <si>
    <t>DNMR</t>
  </si>
  <si>
    <t>DAQO NEW ENERGY CORP.</t>
  </si>
  <si>
    <t>DQ</t>
  </si>
  <si>
    <t>DARDEN RESTAURANTS INC</t>
  </si>
  <si>
    <t>DRI</t>
  </si>
  <si>
    <t>DARIOHEALTH CORP.</t>
  </si>
  <si>
    <t>DRIO</t>
  </si>
  <si>
    <t>DARLING INGREDIENTS INC.</t>
  </si>
  <si>
    <t>DAR</t>
  </si>
  <si>
    <t>DASEKE, INC.</t>
  </si>
  <si>
    <t>DSKE</t>
  </si>
  <si>
    <t>DATA I/O CORP</t>
  </si>
  <si>
    <t>DAIO</t>
  </si>
  <si>
    <t>DATADOG, INC.</t>
  </si>
  <si>
    <t>DDOG</t>
  </si>
  <si>
    <t>DAVE &amp; BUSTER'S ENTERTAINMENT, INC.</t>
  </si>
  <si>
    <t>PLAY</t>
  </si>
  <si>
    <t>DAVITA INC.</t>
  </si>
  <si>
    <t>DVA</t>
  </si>
  <si>
    <t>DAWSON GEOPHYSICAL CO</t>
  </si>
  <si>
    <t>DWSN</t>
  </si>
  <si>
    <t>DBV TECHNOLOGIES S.A.</t>
  </si>
  <si>
    <t>DBVT</t>
  </si>
  <si>
    <t>DCP MIDSTREAM, LP</t>
  </si>
  <si>
    <t>DCP</t>
  </si>
  <si>
    <t>DECIPHERA PHARMACEUTICALS, INC.</t>
  </si>
  <si>
    <t>DCPH</t>
  </si>
  <si>
    <t>DECISIONPOINT SYSTEMS, INC.</t>
  </si>
  <si>
    <t>DPSI</t>
  </si>
  <si>
    <t>DECKERS OUTDOOR CORP</t>
  </si>
  <si>
    <t>DECK</t>
  </si>
  <si>
    <t>DEERE &amp; CO</t>
  </si>
  <si>
    <t>DE</t>
  </si>
  <si>
    <t>DEFINITIVE HEALTHCARE CORP.</t>
  </si>
  <si>
    <t>DH</t>
  </si>
  <si>
    <t>DELEK LOGISTICS PARTNERS, LP</t>
  </si>
  <si>
    <t>DKL</t>
  </si>
  <si>
    <t>DELEK US HOLDINGS, INC.</t>
  </si>
  <si>
    <t>DK</t>
  </si>
  <si>
    <t>DELL TECHNOLOGIES INC.</t>
  </si>
  <si>
    <t>DELL</t>
  </si>
  <si>
    <t>DELTA AIR LINES, INC.</t>
  </si>
  <si>
    <t>DAL</t>
  </si>
  <si>
    <t>DELTA APPAREL, INC</t>
  </si>
  <si>
    <t>DLA</t>
  </si>
  <si>
    <t>DELUXE CORP</t>
  </si>
  <si>
    <t>DLX</t>
  </si>
  <si>
    <t>DENALI THERAPEUTICS INC.</t>
  </si>
  <si>
    <t>DNLI</t>
  </si>
  <si>
    <t>DENNY'S CORP</t>
  </si>
  <si>
    <t>DENN</t>
  </si>
  <si>
    <t>DENTSPLY SIRONA INC.</t>
  </si>
  <si>
    <t>XRAY</t>
  </si>
  <si>
    <t>DERMTECH, INC.</t>
  </si>
  <si>
    <t>DMTK</t>
  </si>
  <si>
    <t>DESCARTES SYSTEMS GROUP INC</t>
  </si>
  <si>
    <t>DSGX</t>
  </si>
  <si>
    <t>DESIGNER BRANDS INC.</t>
  </si>
  <si>
    <t>DBI</t>
  </si>
  <si>
    <t>DESKTOP METAL, INC.</t>
  </si>
  <si>
    <t>DM</t>
  </si>
  <si>
    <t>DESPEGAR.COM, CORP.</t>
  </si>
  <si>
    <t>DESP</t>
  </si>
  <si>
    <t>DESTINATION XL GROUP, INC.</t>
  </si>
  <si>
    <t>DXLG</t>
  </si>
  <si>
    <t>DESWELL INDUSTRIES INC</t>
  </si>
  <si>
    <t>DSWL</t>
  </si>
  <si>
    <t>DEVON ENERGY CORP/DE</t>
  </si>
  <si>
    <t>DVN</t>
  </si>
  <si>
    <t>DEXCOM INC</t>
  </si>
  <si>
    <t>DXCM</t>
  </si>
  <si>
    <t>DHI GROUP, INC.</t>
  </si>
  <si>
    <t>DHX</t>
  </si>
  <si>
    <t>DIAMOND HILL INVESTMENT GROUP INC</t>
  </si>
  <si>
    <t>DHIL</t>
  </si>
  <si>
    <t>DIAMONDBACK ENERGY, INC.</t>
  </si>
  <si>
    <t>FANG</t>
  </si>
  <si>
    <t>DIAMONDROCK HOSPITALITY CO</t>
  </si>
  <si>
    <t>DRH</t>
  </si>
  <si>
    <t>DIANA SHIPPING INC.</t>
  </si>
  <si>
    <t>DSX</t>
  </si>
  <si>
    <t>DICE THERAPEUTICS, INC.</t>
  </si>
  <si>
    <t>DICE</t>
  </si>
  <si>
    <t>DICK'S SPORTING GOODS, INC.</t>
  </si>
  <si>
    <t>DKS</t>
  </si>
  <si>
    <t>DIEBOLD NIXDORF, INC</t>
  </si>
  <si>
    <t>DBD</t>
  </si>
  <si>
    <t>DIGI INTERNATIONAL INC</t>
  </si>
  <si>
    <t>DGII</t>
  </si>
  <si>
    <t>DIGIMARC CORP</t>
  </si>
  <si>
    <t>DMRC</t>
  </si>
  <si>
    <t>DIGITAL ALLY INC</t>
  </si>
  <si>
    <t>DGLY</t>
  </si>
  <si>
    <t>DIGITAL MEDIA SOLUTIONS, INC.</t>
  </si>
  <si>
    <t>DMS</t>
  </si>
  <si>
    <t>DIGITAL REALTY TRUST, INC.</t>
  </si>
  <si>
    <t>DLR</t>
  </si>
  <si>
    <t>DIGITAL TURBINE, INC.</t>
  </si>
  <si>
    <t>APPS</t>
  </si>
  <si>
    <t>DIGITALBRIDGE GROUP, INC.</t>
  </si>
  <si>
    <t>DBRG</t>
  </si>
  <si>
    <t>DIGITALOCEAN HOLDINGS, INC.</t>
  </si>
  <si>
    <t>DOCN</t>
  </si>
  <si>
    <t>DILLARD'S, INC.</t>
  </si>
  <si>
    <t>DDS</t>
  </si>
  <si>
    <t>DIME COMMUNITY BANCSHARES, INC. /NY/</t>
  </si>
  <si>
    <t>DCOM</t>
  </si>
  <si>
    <t>DINE BRANDS GLOBAL, INC.</t>
  </si>
  <si>
    <t>DIN</t>
  </si>
  <si>
    <t>DIODES INC /DEL/</t>
  </si>
  <si>
    <t>DIOD</t>
  </si>
  <si>
    <t>DIRTT ENVIRONMENTAL SOLUTIONS LTD</t>
  </si>
  <si>
    <t>DRTT</t>
  </si>
  <si>
    <t>DISCOVER FINANCIAL SERVICES</t>
  </si>
  <si>
    <t>DFS</t>
  </si>
  <si>
    <t>DISH NETWORK CORP</t>
  </si>
  <si>
    <t>DISH</t>
  </si>
  <si>
    <t>DIVERSEY HOLDINGS, LTD.</t>
  </si>
  <si>
    <t>DSEY</t>
  </si>
  <si>
    <t>DIVERSIFIED HEALTHCARE TRUST</t>
  </si>
  <si>
    <t>DHC</t>
  </si>
  <si>
    <t>DIXIE GROUP INC</t>
  </si>
  <si>
    <t>DXYN</t>
  </si>
  <si>
    <t>DLH HOLDINGS CORP.</t>
  </si>
  <si>
    <t>DLHC</t>
  </si>
  <si>
    <t>DMC GLOBAL INC.</t>
  </si>
  <si>
    <t>BOOM</t>
  </si>
  <si>
    <t>DOCGO INC.</t>
  </si>
  <si>
    <t>DCGO</t>
  </si>
  <si>
    <t>DOCUSIGN, INC.</t>
  </si>
  <si>
    <t>DOCU</t>
  </si>
  <si>
    <t>DOGNESS (INTERNATIONAL) CORP</t>
  </si>
  <si>
    <t>DOGZ</t>
  </si>
  <si>
    <t>DOLBY LABORATORIES, INC.</t>
  </si>
  <si>
    <t>DLB</t>
  </si>
  <si>
    <t>DOLE PLC</t>
  </si>
  <si>
    <t>DOLE</t>
  </si>
  <si>
    <t>DOLLAR GENERAL CORP</t>
  </si>
  <si>
    <t>DG</t>
  </si>
  <si>
    <t>DOLLAR TREE, INC.</t>
  </si>
  <si>
    <t>DOLPHIN ENTERTAINMENT, INC.</t>
  </si>
  <si>
    <t>DLPN</t>
  </si>
  <si>
    <t>DOMA HOLDINGS, INC.</t>
  </si>
  <si>
    <t>DOMA</t>
  </si>
  <si>
    <t>DOMINION ENERGY, INC</t>
  </si>
  <si>
    <t>D</t>
  </si>
  <si>
    <t>DOMINOS PIZZA INC</t>
  </si>
  <si>
    <t>DPZ</t>
  </si>
  <si>
    <t>DOMO, INC.</t>
  </si>
  <si>
    <t>DOMO</t>
  </si>
  <si>
    <t>DONALDSON CO INC</t>
  </si>
  <si>
    <t>DCI</t>
  </si>
  <si>
    <t>DONEGAL GROUP INC</t>
  </si>
  <si>
    <t>DGICA</t>
  </si>
  <si>
    <t>DONNELLEY FINANCIAL SOLUTIONS, INC.</t>
  </si>
  <si>
    <t>DFIN</t>
  </si>
  <si>
    <t>DOORDASH, INC.</t>
  </si>
  <si>
    <t>DASH</t>
  </si>
  <si>
    <t>DORCHESTER MINERALS, L.P.</t>
  </si>
  <si>
    <t>DMLP</t>
  </si>
  <si>
    <t>DORIAN LPG LTD.</t>
  </si>
  <si>
    <t>LPG</t>
  </si>
  <si>
    <t>DORMAN PRODUCTS, INC.</t>
  </si>
  <si>
    <t>DORM</t>
  </si>
  <si>
    <t>DOUBLEDOWN INTERACTIVE CO., LTD.</t>
  </si>
  <si>
    <t>DDI</t>
  </si>
  <si>
    <t>DOUBLEVERIFY HOLDINGS, INC.</t>
  </si>
  <si>
    <t>DV</t>
  </si>
  <si>
    <t>DOUGLAS DYNAMICS, INC</t>
  </si>
  <si>
    <t>PLOW</t>
  </si>
  <si>
    <t>DOUGLAS ELLIMAN INC.</t>
  </si>
  <si>
    <t>DOUG</t>
  </si>
  <si>
    <t>DOUGLAS EMMETT INC</t>
  </si>
  <si>
    <t>DEI</t>
  </si>
  <si>
    <t>DOUYU INTERNATIONAL HOLDINGS LTD</t>
  </si>
  <si>
    <t>DOYU</t>
  </si>
  <si>
    <t>DOVER CORP</t>
  </si>
  <si>
    <t>DOV</t>
  </si>
  <si>
    <t>DOW INC.</t>
  </si>
  <si>
    <t>DOW</t>
  </si>
  <si>
    <t>DOXIMITY, INC.</t>
  </si>
  <si>
    <t>DOCS</t>
  </si>
  <si>
    <t>DREAM FINDERS HOMES, INC.</t>
  </si>
  <si>
    <t>DFH</t>
  </si>
  <si>
    <t>DRIL-QUIP INC</t>
  </si>
  <si>
    <t>DRQ</t>
  </si>
  <si>
    <t>DRIVE SHACK INC.</t>
  </si>
  <si>
    <t>DS</t>
  </si>
  <si>
    <t>DRIVEN BRANDS HOLDINGS INC.</t>
  </si>
  <si>
    <t>DRVN</t>
  </si>
  <si>
    <t>DROPBOX, INC.</t>
  </si>
  <si>
    <t>DBX</t>
  </si>
  <si>
    <t>DSS, INC.</t>
  </si>
  <si>
    <t>DSS</t>
  </si>
  <si>
    <t>DT MIDSTREAM, INC.</t>
  </si>
  <si>
    <t>DTM</t>
  </si>
  <si>
    <t>DTE ENERGY CO</t>
  </si>
  <si>
    <t>DTE</t>
  </si>
  <si>
    <t>DUCK CREEK TECHNOLOGIES, INC.</t>
  </si>
  <si>
    <t>DCT</t>
  </si>
  <si>
    <t>DUCKHORN PORTFOLIO, INC.</t>
  </si>
  <si>
    <t>NAPA</t>
  </si>
  <si>
    <t>DUCOMMUN INC /DE/</t>
  </si>
  <si>
    <t>DCO</t>
  </si>
  <si>
    <t>DUKE ENERGY CORP</t>
  </si>
  <si>
    <t>DUK</t>
  </si>
  <si>
    <t>DUKE REALTY CORP</t>
  </si>
  <si>
    <t>DRE</t>
  </si>
  <si>
    <t>DULUTH HOLDINGS INC.</t>
  </si>
  <si>
    <t>DLTH</t>
  </si>
  <si>
    <t>DUN &amp; BRADSTREET HOLDINGS, INC.</t>
  </si>
  <si>
    <t>DNB</t>
  </si>
  <si>
    <t>DUOLINGO, INC.</t>
  </si>
  <si>
    <t>DUOL</t>
  </si>
  <si>
    <t>DUPONT DE NEMOURS, INC.</t>
  </si>
  <si>
    <t>DD</t>
  </si>
  <si>
    <t>DURECT CORP</t>
  </si>
  <si>
    <t>DRRX</t>
  </si>
  <si>
    <t>DUTCH BROS INC.</t>
  </si>
  <si>
    <t>BROS</t>
  </si>
  <si>
    <t>DXC TECHNOLOGY CO</t>
  </si>
  <si>
    <t>DXC</t>
  </si>
  <si>
    <t>DXP ENTERPRISES INC</t>
  </si>
  <si>
    <t>DXPE</t>
  </si>
  <si>
    <t>DYADIC INTERNATIONAL INC</t>
  </si>
  <si>
    <t>DYAI</t>
  </si>
  <si>
    <t>DYCOM INDUSTRIES INC</t>
  </si>
  <si>
    <t>DY</t>
  </si>
  <si>
    <t>DYNAGAS LNG PARTNERS LP</t>
  </si>
  <si>
    <t>DLNG</t>
  </si>
  <si>
    <t>DYNARESOURCE INC</t>
  </si>
  <si>
    <t>DYNR</t>
  </si>
  <si>
    <t>DYNATRACE, INC.</t>
  </si>
  <si>
    <t>DT</t>
  </si>
  <si>
    <t>DYNATRONICS CORP</t>
  </si>
  <si>
    <t>DYNT</t>
  </si>
  <si>
    <t>DYNAVAX TECHNOLOGIES CORP</t>
  </si>
  <si>
    <t>DVAX</t>
  </si>
  <si>
    <t>DYNEX CAPITAL INC</t>
  </si>
  <si>
    <t>DX</t>
  </si>
  <si>
    <t>DZS INC.</t>
  </si>
  <si>
    <t>DZSI</t>
  </si>
  <si>
    <t>E.L.F. BEAUTY, INC.</t>
  </si>
  <si>
    <t>ELF</t>
  </si>
  <si>
    <t>E.W. SCRIPPS CO</t>
  </si>
  <si>
    <t>SSP</t>
  </si>
  <si>
    <t>EACO CORP</t>
  </si>
  <si>
    <t>EACO</t>
  </si>
  <si>
    <t>EAGLE BANCORP INC</t>
  </si>
  <si>
    <t>EGBN</t>
  </si>
  <si>
    <t>EAGLE BANCORP MONTANA, INC.</t>
  </si>
  <si>
    <t>EBMT</t>
  </si>
  <si>
    <t>EAGLE BULK SHIPPING INC.</t>
  </si>
  <si>
    <t>EGLE</t>
  </si>
  <si>
    <t>EAGLE FINANCIAL SERVICES INC</t>
  </si>
  <si>
    <t>EFSI</t>
  </si>
  <si>
    <t>EAGLE MATERIALS INC</t>
  </si>
  <si>
    <t>EXP</t>
  </si>
  <si>
    <t>EAGLE PHARMACEUTICALS, INC.</t>
  </si>
  <si>
    <t>EGRX</t>
  </si>
  <si>
    <t>EARGO, INC.</t>
  </si>
  <si>
    <t>EAR</t>
  </si>
  <si>
    <t>EARTHSTONE ENERGY INC</t>
  </si>
  <si>
    <t>ESTE</t>
  </si>
  <si>
    <t>EAST WEST BANCORP INC</t>
  </si>
  <si>
    <t>EWBC</t>
  </si>
  <si>
    <t>EASTERLY GOVERNMENT PROPERTIES, INC.</t>
  </si>
  <si>
    <t>DEA</t>
  </si>
  <si>
    <t>EASTERN BANKSHARES, INC.</t>
  </si>
  <si>
    <t>EBC</t>
  </si>
  <si>
    <t>EASTERN CO</t>
  </si>
  <si>
    <t>EML</t>
  </si>
  <si>
    <t>EASTGROUP PROPERTIES INC</t>
  </si>
  <si>
    <t>EGP</t>
  </si>
  <si>
    <t>EASTMAN CHEMICAL CO</t>
  </si>
  <si>
    <t>EMN</t>
  </si>
  <si>
    <t>EASTMAN KODAK CO</t>
  </si>
  <si>
    <t>KODK</t>
  </si>
  <si>
    <t>EASTSIDE DISTILLING, INC.</t>
  </si>
  <si>
    <t>EAST</t>
  </si>
  <si>
    <t>EATON CORP PLC</t>
  </si>
  <si>
    <t>ETN</t>
  </si>
  <si>
    <t>EBANG INTERNATIONAL HOLDINGS INC.</t>
  </si>
  <si>
    <t>EBON</t>
  </si>
  <si>
    <t>EBAY INC</t>
  </si>
  <si>
    <t>EBAY</t>
  </si>
  <si>
    <t>EBIX INC</t>
  </si>
  <si>
    <t>EBIX</t>
  </si>
  <si>
    <t>ECHOSTAR CORP</t>
  </si>
  <si>
    <t>SATS</t>
  </si>
  <si>
    <t>ECOARK HOLDINGS, INC.</t>
  </si>
  <si>
    <t>ZEST</t>
  </si>
  <si>
    <t>ECOLAB INC.</t>
  </si>
  <si>
    <t>ECL</t>
  </si>
  <si>
    <t>ECOVYST INC.</t>
  </si>
  <si>
    <t>ECVT</t>
  </si>
  <si>
    <t>EDGEWELL PERSONAL CARE CO</t>
  </si>
  <si>
    <t>EPC</t>
  </si>
  <si>
    <t>EDISON INTERNATIONAL</t>
  </si>
  <si>
    <t>EIX</t>
  </si>
  <si>
    <t>EDITAS MEDICINE, INC.</t>
  </si>
  <si>
    <t>EDIT</t>
  </si>
  <si>
    <t>EDUCATIONAL DEVELOPMENT CORP</t>
  </si>
  <si>
    <t>EDUC</t>
  </si>
  <si>
    <t>EDWARDS LIFESCIENCES CORP</t>
  </si>
  <si>
    <t>EW</t>
  </si>
  <si>
    <t>EFFECTOR THERAPEUTICS, INC.</t>
  </si>
  <si>
    <t>EFTR</t>
  </si>
  <si>
    <t>EGAIN CORP</t>
  </si>
  <si>
    <t>EGAN</t>
  </si>
  <si>
    <t>EHANG HOLDINGS LTD</t>
  </si>
  <si>
    <t>EH</t>
  </si>
  <si>
    <t>EHEALTH, INC.</t>
  </si>
  <si>
    <t>EHTH</t>
  </si>
  <si>
    <t>EKSO BIONICS HOLDINGS, INC.</t>
  </si>
  <si>
    <t>EKSO</t>
  </si>
  <si>
    <t>EL POLLO LOCO HOLDINGS, INC.</t>
  </si>
  <si>
    <t>LOCO</t>
  </si>
  <si>
    <t>ELANCO ANIMAL HEALTH INC</t>
  </si>
  <si>
    <t>ELAN</t>
  </si>
  <si>
    <t>ELASTIC N.V.</t>
  </si>
  <si>
    <t>ESTC</t>
  </si>
  <si>
    <t>ELBIT SYSTEMS LTD</t>
  </si>
  <si>
    <t>ESLT</t>
  </si>
  <si>
    <t>ELECTRO SENSORS INC</t>
  </si>
  <si>
    <t>ELSE</t>
  </si>
  <si>
    <t>ELECTROCORE, INC.</t>
  </si>
  <si>
    <t>ECOR</t>
  </si>
  <si>
    <t>ELECTROMED, INC.</t>
  </si>
  <si>
    <t>ELMD</t>
  </si>
  <si>
    <t>ELECTRONIC ARTS INC.</t>
  </si>
  <si>
    <t>EA</t>
  </si>
  <si>
    <t>ELEMENT SOLUTIONS INC</t>
  </si>
  <si>
    <t>ESI</t>
  </si>
  <si>
    <t>ELEVATE CREDIT, INC.</t>
  </si>
  <si>
    <t>ELVT</t>
  </si>
  <si>
    <t>ELI LILLY &amp; CO</t>
  </si>
  <si>
    <t>LLY</t>
  </si>
  <si>
    <t>ELITE EDUCATION GROUP INTERNATIONAL LTD</t>
  </si>
  <si>
    <t>EEIQ</t>
  </si>
  <si>
    <t>ELITE PHARMACEUTICALS INC /NV/</t>
  </si>
  <si>
    <t>ELTP</t>
  </si>
  <si>
    <t>ELLINGTON FINANCIAL INC.</t>
  </si>
  <si>
    <t>EFC</t>
  </si>
  <si>
    <t>ELLINGTON RESIDENTIAL MORTGAGE REIT</t>
  </si>
  <si>
    <t>EARN</t>
  </si>
  <si>
    <t>ELTEK LTD</t>
  </si>
  <si>
    <t>ELTK</t>
  </si>
  <si>
    <t>ELYS GAME TECHNOLOGY, CORP.</t>
  </si>
  <si>
    <t>ELYS</t>
  </si>
  <si>
    <t>EMAGIN CORP</t>
  </si>
  <si>
    <t>EMAN</t>
  </si>
  <si>
    <t>EMBASSY BANCORP, INC.</t>
  </si>
  <si>
    <t>EMYB</t>
  </si>
  <si>
    <t>EMCLAIRE FINANCIAL CORP</t>
  </si>
  <si>
    <t>EMCF</t>
  </si>
  <si>
    <t>EMCOR GROUP, INC.</t>
  </si>
  <si>
    <t>EME</t>
  </si>
  <si>
    <t>EMCORE CORP</t>
  </si>
  <si>
    <t>EMKR</t>
  </si>
  <si>
    <t>EMERALD HOLDING, INC.</t>
  </si>
  <si>
    <t>EEX</t>
  </si>
  <si>
    <t>EMERGENT BIOSOLUTIONS INC.</t>
  </si>
  <si>
    <t>EBS</t>
  </si>
  <si>
    <t>EMERSON ELECTRIC CO</t>
  </si>
  <si>
    <t>EMR</t>
  </si>
  <si>
    <t>EMERSON RADIO CORP</t>
  </si>
  <si>
    <t>MSN</t>
  </si>
  <si>
    <t>EMMAUS LIFE SCIENCES, INC.</t>
  </si>
  <si>
    <t>EMMA</t>
  </si>
  <si>
    <t>EMPIRE STATE REALTY OP, L.P.</t>
  </si>
  <si>
    <t>ESBA</t>
  </si>
  <si>
    <t>EMPIRE STATE REALTY TRUST, INC.</t>
  </si>
  <si>
    <t>ESRT</t>
  </si>
  <si>
    <t>EMPLOYERS HOLDINGS, INC.</t>
  </si>
  <si>
    <t>EIG</t>
  </si>
  <si>
    <t>ENACT HOLDINGS, INC.</t>
  </si>
  <si>
    <t>ACT</t>
  </si>
  <si>
    <t>ENANTA PHARMACEUTICALS INC</t>
  </si>
  <si>
    <t>ENTA</t>
  </si>
  <si>
    <t>ENB FINANCIAL CORP</t>
  </si>
  <si>
    <t>ENBP</t>
  </si>
  <si>
    <t>ENCOMPASS HEALTH CORP</t>
  </si>
  <si>
    <t>EHC</t>
  </si>
  <si>
    <t>ENCORE CAPITAL GROUP INC</t>
  </si>
  <si>
    <t>ECPG</t>
  </si>
  <si>
    <t>ENCORE WIRE CORP</t>
  </si>
  <si>
    <t>WIRE</t>
  </si>
  <si>
    <t>ENDEAVOR GROUP HOLDINGS, INC.</t>
  </si>
  <si>
    <t>EDR</t>
  </si>
  <si>
    <t>ENDO INTERNATIONAL PLC</t>
  </si>
  <si>
    <t>ENDP</t>
  </si>
  <si>
    <t>ENERGIZER HOLDINGS, INC.</t>
  </si>
  <si>
    <t>ENR</t>
  </si>
  <si>
    <t>ENERGOUS CORP</t>
  </si>
  <si>
    <t>WATT</t>
  </si>
  <si>
    <t>ENERGY FUELS INC</t>
  </si>
  <si>
    <t>UUUU</t>
  </si>
  <si>
    <t>ENERGY RECOVERY, INC.</t>
  </si>
  <si>
    <t>ERII</t>
  </si>
  <si>
    <t>ENERGY SERVICES OF AMERICA CORP</t>
  </si>
  <si>
    <t>ESOA</t>
  </si>
  <si>
    <t>ENERGY TRANSFER LP</t>
  </si>
  <si>
    <t>ET</t>
  </si>
  <si>
    <t>ENERPAC TOOL GROUP CORP</t>
  </si>
  <si>
    <t>EPAC</t>
  </si>
  <si>
    <t>ENERPLUS CORP</t>
  </si>
  <si>
    <t>ERF</t>
  </si>
  <si>
    <t>ENERSYS</t>
  </si>
  <si>
    <t>ENS</t>
  </si>
  <si>
    <t>ENETI INC.</t>
  </si>
  <si>
    <t>NETI</t>
  </si>
  <si>
    <t>ENFUSION, INC.</t>
  </si>
  <si>
    <t>ENFN</t>
  </si>
  <si>
    <t>ENGAGESMART, INC.</t>
  </si>
  <si>
    <t>ESMT</t>
  </si>
  <si>
    <t>ENGLOBAL CORP</t>
  </si>
  <si>
    <t>ENG</t>
  </si>
  <si>
    <t>ENJOY TECHNOLOGY, INC./DE</t>
  </si>
  <si>
    <t>ENJY</t>
  </si>
  <si>
    <t>ENLINK MIDSTREAM, LLC</t>
  </si>
  <si>
    <t>ENLC</t>
  </si>
  <si>
    <t>ENNIS, INC.</t>
  </si>
  <si>
    <t>EBF</t>
  </si>
  <si>
    <t>ENOVA INTERNATIONAL, INC.</t>
  </si>
  <si>
    <t>ENVA</t>
  </si>
  <si>
    <t>ENPHASE ENERGY, INC.</t>
  </si>
  <si>
    <t>ENPH</t>
  </si>
  <si>
    <t>ENPRO INDUSTRIES, INC</t>
  </si>
  <si>
    <t>NPO</t>
  </si>
  <si>
    <t>ENSERVCO CORP</t>
  </si>
  <si>
    <t>ENSV</t>
  </si>
  <si>
    <t>ENSIGN GROUP, INC</t>
  </si>
  <si>
    <t>ENSG</t>
  </si>
  <si>
    <t>ENSTAR GROUP LTD</t>
  </si>
  <si>
    <t>ESGR</t>
  </si>
  <si>
    <t>ENTEGRIS INC</t>
  </si>
  <si>
    <t>ENTG</t>
  </si>
  <si>
    <t>ENTERGY CORP /DE/</t>
  </si>
  <si>
    <t>ETR</t>
  </si>
  <si>
    <t>ENTERPRISE BANCORP INC /MA/</t>
  </si>
  <si>
    <t>EBTC</t>
  </si>
  <si>
    <t>ENTERPRISE FINANCIAL SERVICES CORP</t>
  </si>
  <si>
    <t>EFSC</t>
  </si>
  <si>
    <t>ENTERPRISE PRODUCTS PARTNERS L.P.</t>
  </si>
  <si>
    <t>EPD</t>
  </si>
  <si>
    <t>ENTRAVISION COMMUNICATIONS CORP</t>
  </si>
  <si>
    <t>EVC</t>
  </si>
  <si>
    <t>ENVELA CORP</t>
  </si>
  <si>
    <t>ELA</t>
  </si>
  <si>
    <t>ENVESTNET, INC.</t>
  </si>
  <si>
    <t>ENV</t>
  </si>
  <si>
    <t>ENVISTA HOLDINGS CORP</t>
  </si>
  <si>
    <t>NVST</t>
  </si>
  <si>
    <t>ENVIVA INC.</t>
  </si>
  <si>
    <t>EVA</t>
  </si>
  <si>
    <t>ENVVENO MEDICAL CORP</t>
  </si>
  <si>
    <t>NVNO</t>
  </si>
  <si>
    <t>ENZO BIOCHEM INC</t>
  </si>
  <si>
    <t>ENZ</t>
  </si>
  <si>
    <t>ENZON PHARMACEUTICALS, INC.</t>
  </si>
  <si>
    <t>ENZN</t>
  </si>
  <si>
    <t>EOG RESOURCES INC</t>
  </si>
  <si>
    <t>EOG</t>
  </si>
  <si>
    <t>EOS ENERGY ENTERPRISES, INC.</t>
  </si>
  <si>
    <t>EOSE</t>
  </si>
  <si>
    <t>EPAM SYSTEMS, INC.</t>
  </si>
  <si>
    <t>EPAM</t>
  </si>
  <si>
    <t>EPIZYME, INC.</t>
  </si>
  <si>
    <t>EPZM</t>
  </si>
  <si>
    <t>EPLUS INC</t>
  </si>
  <si>
    <t>PLUS</t>
  </si>
  <si>
    <t>EPR PROPERTIES</t>
  </si>
  <si>
    <t>EPR</t>
  </si>
  <si>
    <t>EPSILON ENERGY LTD.</t>
  </si>
  <si>
    <t>EPSN</t>
  </si>
  <si>
    <t>EQT CORP</t>
  </si>
  <si>
    <t>EQT</t>
  </si>
  <si>
    <t>EQUIFAX INC</t>
  </si>
  <si>
    <t>EFX</t>
  </si>
  <si>
    <t>EQUINIX INC</t>
  </si>
  <si>
    <t>EQIX</t>
  </si>
  <si>
    <t>EQUITABLE HOLDINGS, INC.</t>
  </si>
  <si>
    <t>EQH</t>
  </si>
  <si>
    <t>EQUITRANS MIDSTREAM CORP</t>
  </si>
  <si>
    <t>ETRN</t>
  </si>
  <si>
    <t>EQUITY BANCSHARES INC</t>
  </si>
  <si>
    <t>EQBK</t>
  </si>
  <si>
    <t>EQUITY COMMONWEALTH</t>
  </si>
  <si>
    <t>EQC</t>
  </si>
  <si>
    <t>EQUITY LIFESTYLE PROPERTIES INC</t>
  </si>
  <si>
    <t>ELS</t>
  </si>
  <si>
    <t>ERIE INDEMNITY CO</t>
  </si>
  <si>
    <t>ERIE</t>
  </si>
  <si>
    <t>ESCALADE INC</t>
  </si>
  <si>
    <t>ESCA</t>
  </si>
  <si>
    <t>ESCO TECHNOLOGIES INC</t>
  </si>
  <si>
    <t>ESE</t>
  </si>
  <si>
    <t>ESPERION THERAPEUTICS, INC.</t>
  </si>
  <si>
    <t>ESPR</t>
  </si>
  <si>
    <t>ESPEY MFG &amp; ELECTRONICS CORP</t>
  </si>
  <si>
    <t>ESP</t>
  </si>
  <si>
    <t>ESQUIRE FINANCIAL HOLDINGS, INC.</t>
  </si>
  <si>
    <t>ESQ</t>
  </si>
  <si>
    <t>ESSA BANCORP, INC.</t>
  </si>
  <si>
    <t>ESSA</t>
  </si>
  <si>
    <t>ESSENT GROUP LTD.</t>
  </si>
  <si>
    <t>ESNT</t>
  </si>
  <si>
    <t>ESSENTIAL PROPERTIES REALTY TRUST, INC.</t>
  </si>
  <si>
    <t>EPRT</t>
  </si>
  <si>
    <t>ESSENTIAL UTILITIES, INC.</t>
  </si>
  <si>
    <t>WTRG</t>
  </si>
  <si>
    <t>ESSEX PROPERTY TRUST, INC.</t>
  </si>
  <si>
    <t>ESS</t>
  </si>
  <si>
    <t>ESTABLISHMENT LABS HOLDINGS INC.</t>
  </si>
  <si>
    <t>ESTA</t>
  </si>
  <si>
    <t>ESTEE LAUDER COMPANIES INC</t>
  </si>
  <si>
    <t>EL</t>
  </si>
  <si>
    <t>ETHAN ALLEN INTERIORS INC</t>
  </si>
  <si>
    <t>ETD</t>
  </si>
  <si>
    <t>ETON PHARMACEUTICALS, INC.</t>
  </si>
  <si>
    <t>ETON</t>
  </si>
  <si>
    <t>ETSY INC</t>
  </si>
  <si>
    <t>ETSY</t>
  </si>
  <si>
    <t>EUREKA HOMESTEAD BANCORP, INC.</t>
  </si>
  <si>
    <t>ERKH</t>
  </si>
  <si>
    <t>EURODRY LTD.</t>
  </si>
  <si>
    <t>EDRY</t>
  </si>
  <si>
    <t>EURONET WORLDWIDE, INC.</t>
  </si>
  <si>
    <t>EEFT</t>
  </si>
  <si>
    <t>EUROSEAS LTD.</t>
  </si>
  <si>
    <t>ESEA</t>
  </si>
  <si>
    <t>EVANS BANCORP INC</t>
  </si>
  <si>
    <t>EVBN</t>
  </si>
  <si>
    <t>EVENTBRITE, INC.</t>
  </si>
  <si>
    <t>EB</t>
  </si>
  <si>
    <t>EVER-GLORY INTERNATIONAL GROUP, INC.</t>
  </si>
  <si>
    <t>EVK</t>
  </si>
  <si>
    <t>EVERBRIDGE, INC.</t>
  </si>
  <si>
    <t>EVBG</t>
  </si>
  <si>
    <t>EVERCOMMERCE INC.</t>
  </si>
  <si>
    <t>EVCM</t>
  </si>
  <si>
    <t>EVERCORE INC.</t>
  </si>
  <si>
    <t>EVR</t>
  </si>
  <si>
    <t>EVEREST RE GROUP LTD</t>
  </si>
  <si>
    <t>RE</t>
  </si>
  <si>
    <t>EVERGY, INC.</t>
  </si>
  <si>
    <t>EVRG</t>
  </si>
  <si>
    <t>EVERI HOLDINGS INC.</t>
  </si>
  <si>
    <t>EVRI</t>
  </si>
  <si>
    <t>EVERQUOTE, INC.</t>
  </si>
  <si>
    <t>EVER</t>
  </si>
  <si>
    <t>EVERSOURCE ENERGY</t>
  </si>
  <si>
    <t>ES</t>
  </si>
  <si>
    <t>EVERSPIN TECHNOLOGIES INC</t>
  </si>
  <si>
    <t>MRAM</t>
  </si>
  <si>
    <t>EVERTEC, INC.</t>
  </si>
  <si>
    <t>EVTC</t>
  </si>
  <si>
    <t>EVGO INC.</t>
  </si>
  <si>
    <t>EVGO</t>
  </si>
  <si>
    <t>EVI INDUSTRIES, INC.</t>
  </si>
  <si>
    <t>EVI</t>
  </si>
  <si>
    <t>EVO PAYMENTS, INC.</t>
  </si>
  <si>
    <t>EVOP</t>
  </si>
  <si>
    <t>EVO TRANSPORTATION &amp; ENERGY SERVICES, INC.</t>
  </si>
  <si>
    <t>EVOA</t>
  </si>
  <si>
    <t>EVOFEM BIOSCIENCES, INC.</t>
  </si>
  <si>
    <t>EVFM</t>
  </si>
  <si>
    <t>EVOLENT HEALTH, INC.</t>
  </si>
  <si>
    <t>EVH</t>
  </si>
  <si>
    <t>EVOLUS, INC.</t>
  </si>
  <si>
    <t>EOLS</t>
  </si>
  <si>
    <t>EVOLUTION PETROLEUM CORP</t>
  </si>
  <si>
    <t>EPM</t>
  </si>
  <si>
    <t>EVOLV TECHNOLOGIES HOLDINGS, INC.</t>
  </si>
  <si>
    <t>EVLV</t>
  </si>
  <si>
    <t>EVOLVE TRANSITION INFRASTRUCTURE LP</t>
  </si>
  <si>
    <t>SNMP</t>
  </si>
  <si>
    <t>EVOLVING SYSTEMS INC</t>
  </si>
  <si>
    <t>EVOL</t>
  </si>
  <si>
    <t>EVOQUA WATER TECHNOLOGIES CORP.</t>
  </si>
  <si>
    <t>AQUA</t>
  </si>
  <si>
    <t>EXACT SCIENCES CORP</t>
  </si>
  <si>
    <t>EXAS</t>
  </si>
  <si>
    <t>EXAGEN INC.</t>
  </si>
  <si>
    <t>XGN</t>
  </si>
  <si>
    <t>EXCEED WORLD, INC.</t>
  </si>
  <si>
    <t>EXDW</t>
  </si>
  <si>
    <t>EXELA TECHNOLOGIES, INC.</t>
  </si>
  <si>
    <t>XELA</t>
  </si>
  <si>
    <t>EXELIXIS, INC.</t>
  </si>
  <si>
    <t>EXEL</t>
  </si>
  <si>
    <t>EXELON CORP</t>
  </si>
  <si>
    <t>EXC</t>
  </si>
  <si>
    <t>EXICURE, INC.</t>
  </si>
  <si>
    <t>XCUR</t>
  </si>
  <si>
    <t>EXLSERVICE HOLDINGS, INC.</t>
  </si>
  <si>
    <t>EXLS</t>
  </si>
  <si>
    <t>EXP WORLD HOLDINGS, INC.</t>
  </si>
  <si>
    <t>EXPI</t>
  </si>
  <si>
    <t>EXPEDIA GROUP, INC.</t>
  </si>
  <si>
    <t>EXPE</t>
  </si>
  <si>
    <t>EXPEDITORS INTERNATIONAL OF WASHINGTON INC</t>
  </si>
  <si>
    <t>EXPD</t>
  </si>
  <si>
    <t>EXPENSIFY, INC.</t>
  </si>
  <si>
    <t>EXFY</t>
  </si>
  <si>
    <t>EXPONENT INC</t>
  </si>
  <si>
    <t>EXPO</t>
  </si>
  <si>
    <t>EXPRESS, INC.</t>
  </si>
  <si>
    <t>EXPR</t>
  </si>
  <si>
    <t>EXPRO GROUP HOLDINGS N.V.</t>
  </si>
  <si>
    <t>XPRO</t>
  </si>
  <si>
    <t>EXTERRAN CORP</t>
  </si>
  <si>
    <t>EXTN</t>
  </si>
  <si>
    <t>EXTRA SPACE STORAGE INC.</t>
  </si>
  <si>
    <t>EXR</t>
  </si>
  <si>
    <t>EXTREME NETWORKS INC</t>
  </si>
  <si>
    <t>EXTR</t>
  </si>
  <si>
    <t>EXXON MOBIL CORP</t>
  </si>
  <si>
    <t>XOM</t>
  </si>
  <si>
    <t>EYENOVIA, INC.</t>
  </si>
  <si>
    <t>EYEN</t>
  </si>
  <si>
    <t>EYEPOINT PHARMACEUTICALS, INC.</t>
  </si>
  <si>
    <t>EYPT</t>
  </si>
  <si>
    <t>EZCORP INC</t>
  </si>
  <si>
    <t>EZPW</t>
  </si>
  <si>
    <t>F&amp;M BANK CORP</t>
  </si>
  <si>
    <t>FMBM</t>
  </si>
  <si>
    <t>F-STAR THERAPEUTICS, INC.</t>
  </si>
  <si>
    <t>FSTX</t>
  </si>
  <si>
    <t>F45 TRAINING HOLDINGS INC.</t>
  </si>
  <si>
    <t>FXLV</t>
  </si>
  <si>
    <t>F5, INC.</t>
  </si>
  <si>
    <t>FFIV</t>
  </si>
  <si>
    <t>FABRINET</t>
  </si>
  <si>
    <t>FN</t>
  </si>
  <si>
    <t>FACTSET RESEARCH SYSTEMS INC</t>
  </si>
  <si>
    <t>FDS</t>
  </si>
  <si>
    <t>FAIR ISAAC CORP</t>
  </si>
  <si>
    <t>FICO</t>
  </si>
  <si>
    <t>FANGDD NETWORK GROUP LTD.</t>
  </si>
  <si>
    <t>DUO</t>
  </si>
  <si>
    <t>FANHUA INC.</t>
  </si>
  <si>
    <t>FANH</t>
  </si>
  <si>
    <t>FARMER BROTHERS CO</t>
  </si>
  <si>
    <t>FARM</t>
  </si>
  <si>
    <t>FARMERS &amp; MERCHANTS BANCORP</t>
  </si>
  <si>
    <t>FMCB</t>
  </si>
  <si>
    <t>FARMERS &amp; MERCHANTS BANCORP INC</t>
  </si>
  <si>
    <t>FMAO</t>
  </si>
  <si>
    <t>FARMERS &amp; MERCHANTS BANCSHARES, INC.</t>
  </si>
  <si>
    <t>FMFG</t>
  </si>
  <si>
    <t>FARMERS NATIONAL BANC CORP /OH/</t>
  </si>
  <si>
    <t>FMNB</t>
  </si>
  <si>
    <t>FARMLAND PARTNERS INC.</t>
  </si>
  <si>
    <t>FPI</t>
  </si>
  <si>
    <t>FARMMI, INC.</t>
  </si>
  <si>
    <t>FAMI</t>
  </si>
  <si>
    <t>FARO TECHNOLOGIES INC</t>
  </si>
  <si>
    <t>FARO</t>
  </si>
  <si>
    <t>FASTENAL CO</t>
  </si>
  <si>
    <t>FAST</t>
  </si>
  <si>
    <t>FASTLY, INC.</t>
  </si>
  <si>
    <t>FSLY</t>
  </si>
  <si>
    <t>FAT BRANDS, INC</t>
  </si>
  <si>
    <t>FAT</t>
  </si>
  <si>
    <t>FATE THERAPEUTICS INC</t>
  </si>
  <si>
    <t>FATE</t>
  </si>
  <si>
    <t>FATHOM DIGITAL MANUFACTURING CORP</t>
  </si>
  <si>
    <t>FATH</t>
  </si>
  <si>
    <t>FATHOM HOLDINGS INC.</t>
  </si>
  <si>
    <t>FTHM</t>
  </si>
  <si>
    <t>FB FINANCIAL CORP</t>
  </si>
  <si>
    <t>FBK</t>
  </si>
  <si>
    <t>FEDERAL AGRICULTURAL MORTGAGE CORP</t>
  </si>
  <si>
    <t>AGM</t>
  </si>
  <si>
    <t>FEDERAL HOME LOAN MORTGAGE CORP</t>
  </si>
  <si>
    <t>FMCC</t>
  </si>
  <si>
    <t>FEDERAL NATIONAL MORTGAGE ASSOCIATION FANNIE MAE</t>
  </si>
  <si>
    <t>FNMA</t>
  </si>
  <si>
    <t>FEDERAL REALTY INVESTMENT TRUST</t>
  </si>
  <si>
    <t>FRT</t>
  </si>
  <si>
    <t>FEDERAL SIGNAL CORP /DE/</t>
  </si>
  <si>
    <t>FSS</t>
  </si>
  <si>
    <t>FEDERATED HERMES, INC.</t>
  </si>
  <si>
    <t>FHI</t>
  </si>
  <si>
    <t>FEDEX CORP</t>
  </si>
  <si>
    <t>FDX</t>
  </si>
  <si>
    <t>FERRELLGAS PARTNERS L P</t>
  </si>
  <si>
    <t>FGPR</t>
  </si>
  <si>
    <t>FFBW, INC. /MD/</t>
  </si>
  <si>
    <t>FFBW</t>
  </si>
  <si>
    <t>FIBROGEN INC</t>
  </si>
  <si>
    <t>FGEN</t>
  </si>
  <si>
    <t>FIDELITY D &amp; D BANCORP INC</t>
  </si>
  <si>
    <t>FDBC</t>
  </si>
  <si>
    <t>FIDELITY NATIONAL FINANCIAL, INC.</t>
  </si>
  <si>
    <t>FNF</t>
  </si>
  <si>
    <t>FIDELITY NATIONAL INFORMATION SERVICES, INC.</t>
  </si>
  <si>
    <t>FIS</t>
  </si>
  <si>
    <t>FIESTA RESTAURANT GROUP, INC.</t>
  </si>
  <si>
    <t>FRGI</t>
  </si>
  <si>
    <t>FIFTH THIRD BANCORP</t>
  </si>
  <si>
    <t>FITB</t>
  </si>
  <si>
    <t>FIGS, INC.</t>
  </si>
  <si>
    <t>FIGS</t>
  </si>
  <si>
    <t>FINANCIAL INSTITUTIONS INC</t>
  </si>
  <si>
    <t>FISI</t>
  </si>
  <si>
    <t>FINCH THERAPEUTICS GROUP, INC.</t>
  </si>
  <si>
    <t>FNCH</t>
  </si>
  <si>
    <t>FINWARD BANCORP</t>
  </si>
  <si>
    <t>FNWD</t>
  </si>
  <si>
    <t>FIRST ADVANTAGE CORP</t>
  </si>
  <si>
    <t>FA</t>
  </si>
  <si>
    <t>FIRST AMERICAN FINANCIAL CORP</t>
  </si>
  <si>
    <t>FAF</t>
  </si>
  <si>
    <t>FIRST BANCORP /NC/</t>
  </si>
  <si>
    <t>FBNC</t>
  </si>
  <si>
    <t>FIRST BANCORP /PR/</t>
  </si>
  <si>
    <t>FBP</t>
  </si>
  <si>
    <t>FIRST BANCORP, INC /ME/</t>
  </si>
  <si>
    <t>FNLC</t>
  </si>
  <si>
    <t>FIRST BANCSHARES INC /MS/</t>
  </si>
  <si>
    <t>FBMS</t>
  </si>
  <si>
    <t>FIRST BUSEY CORP /NV/</t>
  </si>
  <si>
    <t>BUSE</t>
  </si>
  <si>
    <t>FIRST BUSINESS FINANCIAL SERVICES, INC.</t>
  </si>
  <si>
    <t>FBIZ</t>
  </si>
  <si>
    <t>FIRST CAPITAL INC</t>
  </si>
  <si>
    <t>FCAP</t>
  </si>
  <si>
    <t>FIRST CITIZENS BANCSHARES INC /DE/</t>
  </si>
  <si>
    <t>FCNCA</t>
  </si>
  <si>
    <t>FIRST COMMONWEALTH FINANCIAL CORP /PA/</t>
  </si>
  <si>
    <t>FCF</t>
  </si>
  <si>
    <t>FIRST COMMUNITY BANKSHARES INC /VA/</t>
  </si>
  <si>
    <t>FCBC</t>
  </si>
  <si>
    <t>FIRST COMMUNITY CORP /SC/</t>
  </si>
  <si>
    <t>FCCO</t>
  </si>
  <si>
    <t>FIRST FINANCIAL BANCORP /OH/</t>
  </si>
  <si>
    <t>FFBC</t>
  </si>
  <si>
    <t>FIRST FINANCIAL BANKSHARES INC</t>
  </si>
  <si>
    <t>FFIN</t>
  </si>
  <si>
    <t>FIRST FINANCIAL CORP /IN/</t>
  </si>
  <si>
    <t>THFF</t>
  </si>
  <si>
    <t>FIRST FINANCIAL NORTHWEST, INC.</t>
  </si>
  <si>
    <t>FFNW</t>
  </si>
  <si>
    <t>FIRST FOUNDATION INC.</t>
  </si>
  <si>
    <t>FFWM</t>
  </si>
  <si>
    <t>FIRST GUARANTY BANCSHARES, INC.</t>
  </si>
  <si>
    <t>FGBI</t>
  </si>
  <si>
    <t>FIRST HAWAIIAN, INC.</t>
  </si>
  <si>
    <t>FHB</t>
  </si>
  <si>
    <t>FIRST HORIZON CORP</t>
  </si>
  <si>
    <t>FHN</t>
  </si>
  <si>
    <t>FIRST INDUSTRIAL REALTY TRUST INC</t>
  </si>
  <si>
    <t>FR</t>
  </si>
  <si>
    <t>FIRST INTERNET BANCORP</t>
  </si>
  <si>
    <t>INBK</t>
  </si>
  <si>
    <t>FIRST INTERSTATE BANCSYSTEM INC</t>
  </si>
  <si>
    <t>FIBK</t>
  </si>
  <si>
    <t>FIRST KEYSTONE CORP</t>
  </si>
  <si>
    <t>FKYS</t>
  </si>
  <si>
    <t>FIRST MERCHANTS CORP</t>
  </si>
  <si>
    <t>FRME</t>
  </si>
  <si>
    <t>FIRST MID BANCSHARES, INC.</t>
  </si>
  <si>
    <t>FMBH</t>
  </si>
  <si>
    <t>FIRST NATIONAL CORP /VA/</t>
  </si>
  <si>
    <t>FXNC</t>
  </si>
  <si>
    <t>FIRST NORTHERN COMMUNITY BANCORP</t>
  </si>
  <si>
    <t>FNRN</t>
  </si>
  <si>
    <t>FIRST NORTHWEST BANCORP</t>
  </si>
  <si>
    <t>FNWB</t>
  </si>
  <si>
    <t>FIRST OF LONG ISLAND CORP</t>
  </si>
  <si>
    <t>FLIC</t>
  </si>
  <si>
    <t>FIRST REAL ESTATE INVESTMENT TRUST OF NEW JERSEY</t>
  </si>
  <si>
    <t>FREVS</t>
  </si>
  <si>
    <t>FIRST SAVINGS FINANCIAL GROUP, INC.</t>
  </si>
  <si>
    <t>FSFG</t>
  </si>
  <si>
    <t>FIRST SEACOAST BANCORP</t>
  </si>
  <si>
    <t>FSEA</t>
  </si>
  <si>
    <t>FIRST SOLAR, INC.</t>
  </si>
  <si>
    <t>FSLR</t>
  </si>
  <si>
    <t>FIRST UNITED CORP/MD/</t>
  </si>
  <si>
    <t>FUNC</t>
  </si>
  <si>
    <t>FIRST US BANCSHARES, INC.</t>
  </si>
  <si>
    <t>FUSB</t>
  </si>
  <si>
    <t>FIRST WATCH RESTAURANT GROUP, INC.</t>
  </si>
  <si>
    <t>FWRG</t>
  </si>
  <si>
    <t>FIRST WESTERN FINANCIAL INC</t>
  </si>
  <si>
    <t>MYFW</t>
  </si>
  <si>
    <t>FIRSTCASH HOLDINGS, INC.</t>
  </si>
  <si>
    <t>FCFS</t>
  </si>
  <si>
    <t>FIRSTENERGY CORP</t>
  </si>
  <si>
    <t>FE</t>
  </si>
  <si>
    <t>FIRSTSERVICE CORP</t>
  </si>
  <si>
    <t>FSV</t>
  </si>
  <si>
    <t>FISERV INC</t>
  </si>
  <si>
    <t>FISV</t>
  </si>
  <si>
    <t>FIVE BELOW, INC</t>
  </si>
  <si>
    <t>FIVE</t>
  </si>
  <si>
    <t>FIVE POINT HOLDINGS, LLC</t>
  </si>
  <si>
    <t>FPH</t>
  </si>
  <si>
    <t>FIVE STAR BANCORP</t>
  </si>
  <si>
    <t>FSBC</t>
  </si>
  <si>
    <t>FIVE9, INC.</t>
  </si>
  <si>
    <t>FIVN</t>
  </si>
  <si>
    <t>FIVERR INTERNATIONAL LTD.</t>
  </si>
  <si>
    <t>FVRR</t>
  </si>
  <si>
    <t>FLAGSTAR BANCORP INC</t>
  </si>
  <si>
    <t>FBC</t>
  </si>
  <si>
    <t>FLANIGANS ENTERPRISES INC</t>
  </si>
  <si>
    <t>BDL</t>
  </si>
  <si>
    <t>FLEETCOR TECHNOLOGIES INC</t>
  </si>
  <si>
    <t>FLT</t>
  </si>
  <si>
    <t>FLEX LNG LTD.</t>
  </si>
  <si>
    <t>FLNG</t>
  </si>
  <si>
    <t>FLEX LTD.</t>
  </si>
  <si>
    <t>FLEX</t>
  </si>
  <si>
    <t>FLEXIBLE SOLUTIONS INTERNATIONAL INC</t>
  </si>
  <si>
    <t>FSI</t>
  </si>
  <si>
    <t>FLEXSHOPPER, INC.</t>
  </si>
  <si>
    <t>FPAY</t>
  </si>
  <si>
    <t>FLEXSTEEL INDUSTRIES INC</t>
  </si>
  <si>
    <t>FLXS</t>
  </si>
  <si>
    <t>FLOOR &amp; DECOR HOLDINGS, INC.</t>
  </si>
  <si>
    <t>FND</t>
  </si>
  <si>
    <t>FLOTEK INDUSTRIES INC/CN/</t>
  </si>
  <si>
    <t>FTK</t>
  </si>
  <si>
    <t>FLOWERS FOODS INC</t>
  </si>
  <si>
    <t>FLO</t>
  </si>
  <si>
    <t>FLOWSERVE CORP</t>
  </si>
  <si>
    <t>FLS</t>
  </si>
  <si>
    <t>FLUENT, INC.</t>
  </si>
  <si>
    <t>FLNT</t>
  </si>
  <si>
    <t>FLUOR CORP</t>
  </si>
  <si>
    <t>FLR</t>
  </si>
  <si>
    <t>FLUSHING FINANCIAL CORP</t>
  </si>
  <si>
    <t>FFIC</t>
  </si>
  <si>
    <t>FLUX POWER HOLDINGS, INC.</t>
  </si>
  <si>
    <t>FLUX</t>
  </si>
  <si>
    <t>FLYWIRE CORP</t>
  </si>
  <si>
    <t>FLYW</t>
  </si>
  <si>
    <t>FMC CORP</t>
  </si>
  <si>
    <t>FMC</t>
  </si>
  <si>
    <t>FNB CORP/PA/</t>
  </si>
  <si>
    <t>FNB</t>
  </si>
  <si>
    <t>FNCB BANCORP, INC.</t>
  </si>
  <si>
    <t>FNCB</t>
  </si>
  <si>
    <t>FOCUS FINANCIAL PARTNERS INC.</t>
  </si>
  <si>
    <t>FOCS</t>
  </si>
  <si>
    <t>FOGHORN THERAPEUTICS INC.</t>
  </si>
  <si>
    <t>FHTX</t>
  </si>
  <si>
    <t>FONAR CORP</t>
  </si>
  <si>
    <t>FONR</t>
  </si>
  <si>
    <t>FOOT LOCKER, INC.</t>
  </si>
  <si>
    <t>FL</t>
  </si>
  <si>
    <t>FORD MOTOR CO</t>
  </si>
  <si>
    <t>F</t>
  </si>
  <si>
    <t>FORESTAR GROUP INC.</t>
  </si>
  <si>
    <t>FOR</t>
  </si>
  <si>
    <t>FORGEROCK, INC.</t>
  </si>
  <si>
    <t>FORG</t>
  </si>
  <si>
    <t>FORIAN INC.</t>
  </si>
  <si>
    <t>FORA</t>
  </si>
  <si>
    <t>FORMFACTOR INC</t>
  </si>
  <si>
    <t>FORM</t>
  </si>
  <si>
    <t>FORRESTER RESEARCH, INC.</t>
  </si>
  <si>
    <t>FORR</t>
  </si>
  <si>
    <t>FORTINET, INC.</t>
  </si>
  <si>
    <t>FTNT</t>
  </si>
  <si>
    <t>FORTITUDE GOLD CORP</t>
  </si>
  <si>
    <t>FTCO</t>
  </si>
  <si>
    <t>FORTIVE CORP</t>
  </si>
  <si>
    <t>FTV</t>
  </si>
  <si>
    <t>FORTRESS BIOTECH, INC.</t>
  </si>
  <si>
    <t>FBIO</t>
  </si>
  <si>
    <t>FORTRESS TRANSPORTATION &amp; INFRASTRUCTURE INVESTORS LLC</t>
  </si>
  <si>
    <t>FTAI</t>
  </si>
  <si>
    <t>FORTUNE BRANDS HOME &amp; SECURITY, INC.</t>
  </si>
  <si>
    <t>FBHS</t>
  </si>
  <si>
    <t>FORUM ENERGY TECHNOLOGIES, INC.</t>
  </si>
  <si>
    <t>FET</t>
  </si>
  <si>
    <t>FORWARD AIR CORP</t>
  </si>
  <si>
    <t>FWRD</t>
  </si>
  <si>
    <t>FORWARD INDUSTRIES, INC.</t>
  </si>
  <si>
    <t>FORD</t>
  </si>
  <si>
    <t>FOSSIL GROUP, INC.</t>
  </si>
  <si>
    <t>FOSL</t>
  </si>
  <si>
    <t>FOSTER L B CO</t>
  </si>
  <si>
    <t>FSTR</t>
  </si>
  <si>
    <t>FOUR CORNERS PROPERTY TRUST, INC.</t>
  </si>
  <si>
    <t>FCPT</t>
  </si>
  <si>
    <t>FOUR SEASONS EDUCATION (CAYMAN) INC.</t>
  </si>
  <si>
    <t>FEDU</t>
  </si>
  <si>
    <t>FOX CORP</t>
  </si>
  <si>
    <t>FOXA</t>
  </si>
  <si>
    <t>FOX FACTORY HOLDING CORP</t>
  </si>
  <si>
    <t>FOXF</t>
  </si>
  <si>
    <t>FRANCHISE GROUP, INC.</t>
  </si>
  <si>
    <t>FRG</t>
  </si>
  <si>
    <t>FRANKLIN BSP REALTY TRUST, INC.</t>
  </si>
  <si>
    <t>FBRT</t>
  </si>
  <si>
    <t>FRANKLIN COVEY CO</t>
  </si>
  <si>
    <t>FC</t>
  </si>
  <si>
    <t>FRANKLIN ELECTRIC CO INC</t>
  </si>
  <si>
    <t>FELE</t>
  </si>
  <si>
    <t>FRANKLIN FINANCIAL SERVICES CORP /PA/</t>
  </si>
  <si>
    <t>FRAF</t>
  </si>
  <si>
    <t>FRANKLIN RESOURCES INC</t>
  </si>
  <si>
    <t>BEN</t>
  </si>
  <si>
    <t>FRANKLIN STREET PROPERTIES CORP /MA/</t>
  </si>
  <si>
    <t>FSP</t>
  </si>
  <si>
    <t>FRANKLIN WIRELESS CORP</t>
  </si>
  <si>
    <t>FKWL</t>
  </si>
  <si>
    <t>FREEDOM HOLDING CORP.</t>
  </si>
  <si>
    <t>FRHC</t>
  </si>
  <si>
    <t>FREEPORT-MCMORAN INC</t>
  </si>
  <si>
    <t>FCX</t>
  </si>
  <si>
    <t>FREIGHTCAR AMERICA, INC.</t>
  </si>
  <si>
    <t>RAIL</t>
  </si>
  <si>
    <t>FREQUENCY ELECTRONICS INC</t>
  </si>
  <si>
    <t>FEIM</t>
  </si>
  <si>
    <t>FREQUENCY THERAPEUTICS, INC.</t>
  </si>
  <si>
    <t>FREQ</t>
  </si>
  <si>
    <t>FRESH DEL MONTE PRODUCE INC</t>
  </si>
  <si>
    <t>FDP</t>
  </si>
  <si>
    <t>FRESHPET, INC.</t>
  </si>
  <si>
    <t>FRPT</t>
  </si>
  <si>
    <t>FRESHWORKS INC.</t>
  </si>
  <si>
    <t>FRSH</t>
  </si>
  <si>
    <t>FRIEDMAN INDUSTRIES INC</t>
  </si>
  <si>
    <t>FRD</t>
  </si>
  <si>
    <t>FRONTDOOR, INC.</t>
  </si>
  <si>
    <t>FTDR</t>
  </si>
  <si>
    <t>FRONTIER COMMUNICATIONS CORP</t>
  </si>
  <si>
    <t>FYBR</t>
  </si>
  <si>
    <t>FRONTIER GROUP HOLDINGS, INC.</t>
  </si>
  <si>
    <t>ULCC</t>
  </si>
  <si>
    <t>FRONTLINE LTD /</t>
  </si>
  <si>
    <t>FRO</t>
  </si>
  <si>
    <t>FRP HOLDINGS, INC.</t>
  </si>
  <si>
    <t>FRPH</t>
  </si>
  <si>
    <t>FS BANCORP, INC.</t>
  </si>
  <si>
    <t>FSBW</t>
  </si>
  <si>
    <t>FTC SOLAR, INC.</t>
  </si>
  <si>
    <t>FTCI</t>
  </si>
  <si>
    <t>FTI CONSULTING, INC</t>
  </si>
  <si>
    <t>FCN</t>
  </si>
  <si>
    <t>FUBOTV INC. /FL</t>
  </si>
  <si>
    <t>FUBO</t>
  </si>
  <si>
    <t>FUEL TECH, INC.</t>
  </si>
  <si>
    <t>FTEK</t>
  </si>
  <si>
    <t>FUELCELL ENERGY INC</t>
  </si>
  <si>
    <t>FCEL</t>
  </si>
  <si>
    <t>FULCRUM THERAPEUTICS, INC.</t>
  </si>
  <si>
    <t>FULC</t>
  </si>
  <si>
    <t>FULGENT GENETICS, INC.</t>
  </si>
  <si>
    <t>FLGT</t>
  </si>
  <si>
    <t>FULL HOUSE RESORTS INC</t>
  </si>
  <si>
    <t>FLL</t>
  </si>
  <si>
    <t>FULLER H B CO</t>
  </si>
  <si>
    <t>FUL</t>
  </si>
  <si>
    <t>FULTON FINANCIAL CORP</t>
  </si>
  <si>
    <t>FULT</t>
  </si>
  <si>
    <t>FUNKO, INC.</t>
  </si>
  <si>
    <t>FNKO</t>
  </si>
  <si>
    <t>FUSE MEDICAL, INC.</t>
  </si>
  <si>
    <t>FZMD</t>
  </si>
  <si>
    <t>FUSION PHARMACEUTICALS INC.</t>
  </si>
  <si>
    <t>FUSN</t>
  </si>
  <si>
    <t>FUTU HOLDINGS LTD</t>
  </si>
  <si>
    <t>FUTU</t>
  </si>
  <si>
    <t>FUTURE FINTECH GROUP INC.</t>
  </si>
  <si>
    <t>FTFT</t>
  </si>
  <si>
    <t>FUTUREFUEL CORP.</t>
  </si>
  <si>
    <t>FF</t>
  </si>
  <si>
    <t>FUWEI FILMS (HOLDINGS), CO. LTD.</t>
  </si>
  <si>
    <t>FFHL</t>
  </si>
  <si>
    <t>FVCBANKCORP, INC.</t>
  </si>
  <si>
    <t>FVCB</t>
  </si>
  <si>
    <t>G III APPAREL GROUP LTD /DE/</t>
  </si>
  <si>
    <t>GIII</t>
  </si>
  <si>
    <t>G1 THERAPEUTICS, INC.</t>
  </si>
  <si>
    <t>GTHX</t>
  </si>
  <si>
    <t>GAIA, INC</t>
  </si>
  <si>
    <t>GAIA</t>
  </si>
  <si>
    <t>GALAXY GAMING, INC.</t>
  </si>
  <si>
    <t>GLXZ</t>
  </si>
  <si>
    <t>GAMCO INVESTORS, INC. ET AL</t>
  </si>
  <si>
    <t>GBL</t>
  </si>
  <si>
    <t>GAMESTOP CORP.</t>
  </si>
  <si>
    <t>GME</t>
  </si>
  <si>
    <t>GAMING &amp; LEISURE PROPERTIES, INC.</t>
  </si>
  <si>
    <t>GLPI</t>
  </si>
  <si>
    <t>GAN LTD</t>
  </si>
  <si>
    <t>GAN</t>
  </si>
  <si>
    <t>GANNETT CO., INC.</t>
  </si>
  <si>
    <t>GCI</t>
  </si>
  <si>
    <t>GAOTU TECHEDU INC.</t>
  </si>
  <si>
    <t>GOTU</t>
  </si>
  <si>
    <t>GAP INC</t>
  </si>
  <si>
    <t>GPS</t>
  </si>
  <si>
    <t>GARMIN LTD</t>
  </si>
  <si>
    <t>GRMN</t>
  </si>
  <si>
    <t>GARRETT MOTION INC.</t>
  </si>
  <si>
    <t>GTX</t>
  </si>
  <si>
    <t>GARTNER INC</t>
  </si>
  <si>
    <t>IT</t>
  </si>
  <si>
    <t>GATES INDUSTRIAL CORP PLC</t>
  </si>
  <si>
    <t>GTES</t>
  </si>
  <si>
    <t>GATX CORP</t>
  </si>
  <si>
    <t>GATX</t>
  </si>
  <si>
    <t>GCM GROSVENOR INC.</t>
  </si>
  <si>
    <t>GCMG</t>
  </si>
  <si>
    <t>GCP APPLIED TECHNOLOGIES INC.</t>
  </si>
  <si>
    <t>GCP</t>
  </si>
  <si>
    <t>GEE GROUP INC.</t>
  </si>
  <si>
    <t>JOB</t>
  </si>
  <si>
    <t>GENASYS INC.</t>
  </si>
  <si>
    <t>GNSS</t>
  </si>
  <si>
    <t>GENCO SHIPPING &amp; TRADING LTD</t>
  </si>
  <si>
    <t>GNK</t>
  </si>
  <si>
    <t>GENCOR INDUSTRIES INC</t>
  </si>
  <si>
    <t>GENC</t>
  </si>
  <si>
    <t>GENERAC HOLDINGS INC.</t>
  </si>
  <si>
    <t>GNRC</t>
  </si>
  <si>
    <t>GENERAL DYNAMICS CORP</t>
  </si>
  <si>
    <t>GD</t>
  </si>
  <si>
    <t>GENERAL ELECTRIC CO</t>
  </si>
  <si>
    <t>GE</t>
  </si>
  <si>
    <t>GENERAL MILLS INC</t>
  </si>
  <si>
    <t>GIS</t>
  </si>
  <si>
    <t>GENERAL MOTORS CO</t>
  </si>
  <si>
    <t>GM</t>
  </si>
  <si>
    <t>GENERATION INCOME PROPERTIES, INC.</t>
  </si>
  <si>
    <t>GIPR</t>
  </si>
  <si>
    <t>GENERATIONS BANCORP NY, INC.</t>
  </si>
  <si>
    <t>GBNY</t>
  </si>
  <si>
    <t>GENESCO INC</t>
  </si>
  <si>
    <t>GCO</t>
  </si>
  <si>
    <t>GENESIS ENERGY LP</t>
  </si>
  <si>
    <t>GEL</t>
  </si>
  <si>
    <t>GENIE ENERGY LTD.</t>
  </si>
  <si>
    <t>GNE</t>
  </si>
  <si>
    <t>GENIUS BRANDS INTERNATIONAL, INC.</t>
  </si>
  <si>
    <t>GNUS</t>
  </si>
  <si>
    <t>GENIUS SPORTS LTD</t>
  </si>
  <si>
    <t>GENI</t>
  </si>
  <si>
    <t>GENPACT LTD</t>
  </si>
  <si>
    <t>G</t>
  </si>
  <si>
    <t>GENTEX CORP</t>
  </si>
  <si>
    <t>GNTX</t>
  </si>
  <si>
    <t>GENTHERM INC</t>
  </si>
  <si>
    <t>THRM</t>
  </si>
  <si>
    <t>GENUINE PARTS CO</t>
  </si>
  <si>
    <t>GPC</t>
  </si>
  <si>
    <t>GENWORTH FINANCIAL INC</t>
  </si>
  <si>
    <t>GNW</t>
  </si>
  <si>
    <t>GEO GROUP INC</t>
  </si>
  <si>
    <t>GEO</t>
  </si>
  <si>
    <t>GEORGE RISK INDUSTRIES, INC.</t>
  </si>
  <si>
    <t>RSKIA</t>
  </si>
  <si>
    <t>GEOSPACE TECHNOLOGIES CORP</t>
  </si>
  <si>
    <t>GEOS</t>
  </si>
  <si>
    <t>GERON CORP</t>
  </si>
  <si>
    <t>GERN</t>
  </si>
  <si>
    <t>GETTY REALTY CORP /MD/</t>
  </si>
  <si>
    <t>GTY</t>
  </si>
  <si>
    <t>GEVO, INC.</t>
  </si>
  <si>
    <t>GEVO</t>
  </si>
  <si>
    <t>GIBRALTAR INDUSTRIES, INC.</t>
  </si>
  <si>
    <t>ROCK</t>
  </si>
  <si>
    <t>GIGAMEDIA LTD</t>
  </si>
  <si>
    <t>GIGM</t>
  </si>
  <si>
    <t>GILAT SATELLITE NETWORKS LTD</t>
  </si>
  <si>
    <t>GILT</t>
  </si>
  <si>
    <t>GILEAD SCIENCES, INC.</t>
  </si>
  <si>
    <t>GILD</t>
  </si>
  <si>
    <t>GINKGO BIOWORKS HOLDINGS, INC.</t>
  </si>
  <si>
    <t>DNA</t>
  </si>
  <si>
    <t>GITLAB INC.</t>
  </si>
  <si>
    <t>GTLB</t>
  </si>
  <si>
    <t>GLACIER BANCORP, INC.</t>
  </si>
  <si>
    <t>GBCI</t>
  </si>
  <si>
    <t>GLADSTONE COMMERCIAL CORP</t>
  </si>
  <si>
    <t>GOOD</t>
  </si>
  <si>
    <t>GLADSTONE LAND CORP</t>
  </si>
  <si>
    <t>LAND</t>
  </si>
  <si>
    <t>GLATFELTER CORP</t>
  </si>
  <si>
    <t>GLT</t>
  </si>
  <si>
    <t>GLAUKOS CORP</t>
  </si>
  <si>
    <t>GKOS</t>
  </si>
  <si>
    <t>GLEN BURNIE BANCORP</t>
  </si>
  <si>
    <t>GLBZ</t>
  </si>
  <si>
    <t>GLOBAL BLOOD THERAPEUTICS, INC.</t>
  </si>
  <si>
    <t>GBT</t>
  </si>
  <si>
    <t>GLOBAL CORD BLOOD CORP</t>
  </si>
  <si>
    <t>CO</t>
  </si>
  <si>
    <t>GLOBAL HEALTHCARE REIT, INC.</t>
  </si>
  <si>
    <t>GBCS</t>
  </si>
  <si>
    <t>GLOBAL INDEMNITY GROUP, LLC</t>
  </si>
  <si>
    <t>GBLI</t>
  </si>
  <si>
    <t>GLOBAL INDUSTRIAL CO</t>
  </si>
  <si>
    <t>GIC</t>
  </si>
  <si>
    <t>GLOBAL INTERNET OF PEOPLE, INC.</t>
  </si>
  <si>
    <t>SDH</t>
  </si>
  <si>
    <t>GLOBAL MEDICAL REIT INC.</t>
  </si>
  <si>
    <t>GMRE</t>
  </si>
  <si>
    <t>GLOBAL NET LEASE, INC.</t>
  </si>
  <si>
    <t>GNL</t>
  </si>
  <si>
    <t>GLOBAL PARTNERS LP</t>
  </si>
  <si>
    <t>GLP</t>
  </si>
  <si>
    <t>GLOBAL PAYMENTS INC</t>
  </si>
  <si>
    <t>GPN</t>
  </si>
  <si>
    <t>GLOBAL SELF STORAGE, INC.</t>
  </si>
  <si>
    <t>SELF</t>
  </si>
  <si>
    <t>GLOBAL SHIP LEASE, INC.</t>
  </si>
  <si>
    <t>GSL</t>
  </si>
  <si>
    <t>GLOBAL WATER RESOURCES, INC.</t>
  </si>
  <si>
    <t>GWRS</t>
  </si>
  <si>
    <t>GLOBAL-E ONLINE LTD.</t>
  </si>
  <si>
    <t>GLBE</t>
  </si>
  <si>
    <t>GLOBALSTAR, INC.</t>
  </si>
  <si>
    <t>GSAT</t>
  </si>
  <si>
    <t>GLOBE LIFE INC.</t>
  </si>
  <si>
    <t>GL</t>
  </si>
  <si>
    <t>GLOBUS MEDICAL INC</t>
  </si>
  <si>
    <t>GMED</t>
  </si>
  <si>
    <t>GLORY STAR NEW MEDIA GROUP HOLDINGS LTD</t>
  </si>
  <si>
    <t>GSMG</t>
  </si>
  <si>
    <t>GLYCOMIMETICS INC</t>
  </si>
  <si>
    <t>GLYC</t>
  </si>
  <si>
    <t>GMS INC.</t>
  </si>
  <si>
    <t>GMS</t>
  </si>
  <si>
    <t>GODADDY INC.</t>
  </si>
  <si>
    <t>GDDY</t>
  </si>
  <si>
    <t>GOGO INC.</t>
  </si>
  <si>
    <t>GOGO</t>
  </si>
  <si>
    <t>GOHEALTH, INC.</t>
  </si>
  <si>
    <t>GOCO</t>
  </si>
  <si>
    <t>GOLAR LNG LTD</t>
  </si>
  <si>
    <t>GLNG</t>
  </si>
  <si>
    <t>GOLD RESOURCE CORP</t>
  </si>
  <si>
    <t>GORO</t>
  </si>
  <si>
    <t>GOLDEN ENTERTAINMENT, INC.</t>
  </si>
  <si>
    <t>GDEN</t>
  </si>
  <si>
    <t>GOLDEN GROWERS COOPERATIVE</t>
  </si>
  <si>
    <t>GGROU</t>
  </si>
  <si>
    <t>GOLDEN MINERALS CO</t>
  </si>
  <si>
    <t>AUMN</t>
  </si>
  <si>
    <t>GOLDEN OCEAN GROUP LTD</t>
  </si>
  <si>
    <t>GOGL</t>
  </si>
  <si>
    <t>GOLDMAN SACHS GROUP INC</t>
  </si>
  <si>
    <t>GS</t>
  </si>
  <si>
    <t>GOOD TIMES RESTAURANTS INC.</t>
  </si>
  <si>
    <t>GTIM</t>
  </si>
  <si>
    <t>GOODNESS GROWTH HOLDINGS, INC.</t>
  </si>
  <si>
    <t>GDNSF</t>
  </si>
  <si>
    <t>GOODRX HOLDINGS, INC.</t>
  </si>
  <si>
    <t>GDRX</t>
  </si>
  <si>
    <t>GOODYEAR TIRE &amp; RUBBER CO /OH/</t>
  </si>
  <si>
    <t>GT</t>
  </si>
  <si>
    <t>GOOSEHEAD INSURANCE, INC.</t>
  </si>
  <si>
    <t>GSHD</t>
  </si>
  <si>
    <t>GOPRO, INC.</t>
  </si>
  <si>
    <t>GPRO</t>
  </si>
  <si>
    <t>GORMAN RUPP CO</t>
  </si>
  <si>
    <t>GRC</t>
  </si>
  <si>
    <t>GRACO INC</t>
  </si>
  <si>
    <t>GGG</t>
  </si>
  <si>
    <t>GRAFTECH INTERNATIONAL LTD</t>
  </si>
  <si>
    <t>EAF</t>
  </si>
  <si>
    <t>GRAHAM CORP</t>
  </si>
  <si>
    <t>GHM</t>
  </si>
  <si>
    <t>GRAHAM HOLDINGS CO</t>
  </si>
  <si>
    <t>GHC</t>
  </si>
  <si>
    <t>GRAN TIERRA ENERGY INC.</t>
  </si>
  <si>
    <t>GTE</t>
  </si>
  <si>
    <t>GRAND CANYON EDUCATION, INC.</t>
  </si>
  <si>
    <t>LOPE</t>
  </si>
  <si>
    <t>GRANDSOUTH BANCORPORATION</t>
  </si>
  <si>
    <t>GRRB</t>
  </si>
  <si>
    <t>GRANITE CONSTRUCTION INC</t>
  </si>
  <si>
    <t>GVA</t>
  </si>
  <si>
    <t>GRANITE FALLS ENERGY, LLC</t>
  </si>
  <si>
    <t>GFGY</t>
  </si>
  <si>
    <t>GRANITE POINT MORTGAGE TRUST INC.</t>
  </si>
  <si>
    <t>GPMT</t>
  </si>
  <si>
    <t>GRAPHIC PACKAGING HOLDING CO</t>
  </si>
  <si>
    <t>GPK</t>
  </si>
  <si>
    <t>GRAY TELEVISION INC</t>
  </si>
  <si>
    <t>GTN</t>
  </si>
  <si>
    <t>GREAT AJAX CORP.</t>
  </si>
  <si>
    <t>AJX</t>
  </si>
  <si>
    <t>GREAT ELM GROUP, INC.</t>
  </si>
  <si>
    <t>GEG</t>
  </si>
  <si>
    <t>GREAT LAKES DREDGE &amp; DOCK CORP</t>
  </si>
  <si>
    <t>GLDD</t>
  </si>
  <si>
    <t>GREAT SOUTHERN BANCORP, INC.</t>
  </si>
  <si>
    <t>GSBC</t>
  </si>
  <si>
    <t>GREEN BRICK PARTNERS, INC.</t>
  </si>
  <si>
    <t>GRBK</t>
  </si>
  <si>
    <t>GREEN DOT CORP</t>
  </si>
  <si>
    <t>GDOT</t>
  </si>
  <si>
    <t>GREEN PLAINS INC.</t>
  </si>
  <si>
    <t>GPRE</t>
  </si>
  <si>
    <t>GREEN PLAINS PARTNERS LP</t>
  </si>
  <si>
    <t>GPP</t>
  </si>
  <si>
    <t>GREEN THUMB INDUSTRIES INC.</t>
  </si>
  <si>
    <t>GTBIF</t>
  </si>
  <si>
    <t>GREENBOX POS</t>
  </si>
  <si>
    <t>GBOX</t>
  </si>
  <si>
    <t>GREENBRIER COMPANIES INC</t>
  </si>
  <si>
    <t>GBX</t>
  </si>
  <si>
    <t>GREENE COUNTY BANCORP INC</t>
  </si>
  <si>
    <t>GCBC</t>
  </si>
  <si>
    <t>GREENHILL &amp; CO INC</t>
  </si>
  <si>
    <t>GHL</t>
  </si>
  <si>
    <t>GREENIDGE GENERATION HOLDINGS INC.</t>
  </si>
  <si>
    <t>GREE</t>
  </si>
  <si>
    <t>GREENLAND TECHNOLOGIES HOLDING CORP.</t>
  </si>
  <si>
    <t>GTEC</t>
  </si>
  <si>
    <t>GREENLANE HOLDINGS, INC.</t>
  </si>
  <si>
    <t>GNLN</t>
  </si>
  <si>
    <t>GREENLIGHT CAPITAL RE, LTD.</t>
  </si>
  <si>
    <t>GLRE</t>
  </si>
  <si>
    <t>GREENPRO CAPITAL CORP.</t>
  </si>
  <si>
    <t>GRNQ</t>
  </si>
  <si>
    <t>GREENTREE HOSPITALITY GROUP LTD.</t>
  </si>
  <si>
    <t>GHG</t>
  </si>
  <si>
    <t>GREIF, INC</t>
  </si>
  <si>
    <t>GEF</t>
  </si>
  <si>
    <t>GREYSTONE LOGISTICS, INC.</t>
  </si>
  <si>
    <t>GLGI</t>
  </si>
  <si>
    <t>GRID DYNAMICS HOLDINGS, INC.</t>
  </si>
  <si>
    <t>GDYN</t>
  </si>
  <si>
    <t>GRIFFON CORP</t>
  </si>
  <si>
    <t>GFF</t>
  </si>
  <si>
    <t>GRITSTONE BIO, INC.</t>
  </si>
  <si>
    <t>GRTS</t>
  </si>
  <si>
    <t>GROCERY OUTLET HOLDING CORP.</t>
  </si>
  <si>
    <t>GO</t>
  </si>
  <si>
    <t>GROUP 1 AUTOMOTIVE INC</t>
  </si>
  <si>
    <t>GPI</t>
  </si>
  <si>
    <t>GROUPON, INC.</t>
  </si>
  <si>
    <t>GRPN</t>
  </si>
  <si>
    <t>GROWGENERATION CORP.</t>
  </si>
  <si>
    <t>GRWG</t>
  </si>
  <si>
    <t>GSE SYSTEMS INC</t>
  </si>
  <si>
    <t>GVP</t>
  </si>
  <si>
    <t>GSI TECHNOLOGY INC</t>
  </si>
  <si>
    <t>GSIT</t>
  </si>
  <si>
    <t>GTY TECHNOLOGY HOLDINGS INC.</t>
  </si>
  <si>
    <t>GTYH</t>
  </si>
  <si>
    <t>GUARANTY BANCSHARES INC /TX/</t>
  </si>
  <si>
    <t>GNTY</t>
  </si>
  <si>
    <t>GUARDANT HEALTH, INC.</t>
  </si>
  <si>
    <t>GH</t>
  </si>
  <si>
    <t>GUESS INC</t>
  </si>
  <si>
    <t>GES</t>
  </si>
  <si>
    <t>GUIDEWIRE SOFTWARE, INC.</t>
  </si>
  <si>
    <t>GWRE</t>
  </si>
  <si>
    <t>GULF ISLAND FABRICATION INC</t>
  </si>
  <si>
    <t>GIFI</t>
  </si>
  <si>
    <t>GULF RESOURCES, INC.</t>
  </si>
  <si>
    <t>GURE</t>
  </si>
  <si>
    <t>GULFPORT ENERGY CORP</t>
  </si>
  <si>
    <t>GPOR</t>
  </si>
  <si>
    <t>GXO LOGISTICS, INC.</t>
  </si>
  <si>
    <t>GXO</t>
  </si>
  <si>
    <t>H&amp;E EQUIPMENT SERVICES, INC.</t>
  </si>
  <si>
    <t>HEES</t>
  </si>
  <si>
    <t>H&amp;R BLOCK INC</t>
  </si>
  <si>
    <t>HRB</t>
  </si>
  <si>
    <t>HACKETT GROUP, INC.</t>
  </si>
  <si>
    <t>HCKT</t>
  </si>
  <si>
    <t>HAEMONETICS CORP</t>
  </si>
  <si>
    <t>HAE</t>
  </si>
  <si>
    <t>HAGERTY, INC.</t>
  </si>
  <si>
    <t>HGTY</t>
  </si>
  <si>
    <t>HAIN CELESTIAL GROUP INC</t>
  </si>
  <si>
    <t>HAIN</t>
  </si>
  <si>
    <t>HALL OF FAME RESORT &amp; ENTERTAINMENT CO</t>
  </si>
  <si>
    <t>HOFV</t>
  </si>
  <si>
    <t>HALLADOR ENERGY CO</t>
  </si>
  <si>
    <t>HNRG</t>
  </si>
  <si>
    <t>HALLIBURTON CO</t>
  </si>
  <si>
    <t>HAL</t>
  </si>
  <si>
    <t>HALLMARK FINANCIAL SERVICES INC</t>
  </si>
  <si>
    <t>HALL</t>
  </si>
  <si>
    <t>HALOZYME THERAPEUTICS, INC.</t>
  </si>
  <si>
    <t>HALO</t>
  </si>
  <si>
    <t>HAMILTON BEACH BRANDS HOLDING CO</t>
  </si>
  <si>
    <t>HBB</t>
  </si>
  <si>
    <t>HAMILTON LANE INC</t>
  </si>
  <si>
    <t>HLNE</t>
  </si>
  <si>
    <t>HANCOCK WHITNEY CORP</t>
  </si>
  <si>
    <t>HWC</t>
  </si>
  <si>
    <t>HANESBRANDS INC.</t>
  </si>
  <si>
    <t>HBI</t>
  </si>
  <si>
    <t>HANGER, INC.</t>
  </si>
  <si>
    <t>HNGR</t>
  </si>
  <si>
    <t>HANJIAO GROUP, INC.</t>
  </si>
  <si>
    <t>HJGP</t>
  </si>
  <si>
    <t>HANMI FINANCIAL CORP</t>
  </si>
  <si>
    <t>HAFC</t>
  </si>
  <si>
    <t>HANNON ARMSTRONG SUSTAINABLE INFRASTRUCTURE CAPITAL, INC.</t>
  </si>
  <si>
    <t>HASI</t>
  </si>
  <si>
    <t>HANOVER INSURANCE GROUP, INC.</t>
  </si>
  <si>
    <t>THG</t>
  </si>
  <si>
    <t>HARBOR CUSTOM DEVELOPMENT, INC.</t>
  </si>
  <si>
    <t>HCDI</t>
  </si>
  <si>
    <t>HARBOR DIVERSIFIED, INC.</t>
  </si>
  <si>
    <t>HRBR</t>
  </si>
  <si>
    <t>HARBORONE BANCORP, INC.</t>
  </si>
  <si>
    <t>HONE</t>
  </si>
  <si>
    <t>HARLEY-DAVIDSON, INC.</t>
  </si>
  <si>
    <t>HOG</t>
  </si>
  <si>
    <t>HARMONIC INC</t>
  </si>
  <si>
    <t>HLIT</t>
  </si>
  <si>
    <t>HARMONY BIOSCIENCES HOLDINGS, INC.</t>
  </si>
  <si>
    <t>HRMY</t>
  </si>
  <si>
    <t>HARPOON THERAPEUTICS, INC.</t>
  </si>
  <si>
    <t>HARP</t>
  </si>
  <si>
    <t>HARROW HEALTH, INC.</t>
  </si>
  <si>
    <t>HROW</t>
  </si>
  <si>
    <t>HARSCO CORP</t>
  </si>
  <si>
    <t>HSC</t>
  </si>
  <si>
    <t>HARTE HANKS INC</t>
  </si>
  <si>
    <t>HHS</t>
  </si>
  <si>
    <t>HARTFORD FINANCIAL SERVICES GROUP, INC.</t>
  </si>
  <si>
    <t>HIG</t>
  </si>
  <si>
    <t>HARVARD BIOSCIENCE INC</t>
  </si>
  <si>
    <t>HBIO</t>
  </si>
  <si>
    <t>HASBRO, INC.</t>
  </si>
  <si>
    <t>HAS</t>
  </si>
  <si>
    <t>HASHICORP, INC.</t>
  </si>
  <si>
    <t>HCP</t>
  </si>
  <si>
    <t>HAVERTY FURNITURE COMPANIES INC</t>
  </si>
  <si>
    <t>HVT</t>
  </si>
  <si>
    <t>HAWAIIAN ELECTRIC INDUSTRIES INC</t>
  </si>
  <si>
    <t>HE</t>
  </si>
  <si>
    <t>HAWAIIAN HOLDINGS INC</t>
  </si>
  <si>
    <t>HA</t>
  </si>
  <si>
    <t>HAWKINS INC</t>
  </si>
  <si>
    <t>HWKN</t>
  </si>
  <si>
    <t>HAWTHORN BANCSHARES, INC.</t>
  </si>
  <si>
    <t>HWBK</t>
  </si>
  <si>
    <t>HAYNES INTERNATIONAL INC</t>
  </si>
  <si>
    <t>HAYN</t>
  </si>
  <si>
    <t>HAYWARD HOLDINGS, INC.</t>
  </si>
  <si>
    <t>HAYW</t>
  </si>
  <si>
    <t>HBT FINANCIAL, INC.</t>
  </si>
  <si>
    <t>HBT</t>
  </si>
  <si>
    <t>HCA HEALTHCARE, INC.</t>
  </si>
  <si>
    <t>HCA</t>
  </si>
  <si>
    <t>HCI GROUP, INC.</t>
  </si>
  <si>
    <t>HCI</t>
  </si>
  <si>
    <t>HDFC BANK LTD</t>
  </si>
  <si>
    <t>HDB</t>
  </si>
  <si>
    <t>HEALTH CATALYST, INC.</t>
  </si>
  <si>
    <t>HCAT</t>
  </si>
  <si>
    <t>HEALTHCARE REALTY TRUST INC</t>
  </si>
  <si>
    <t>HR</t>
  </si>
  <si>
    <t>HEALTHCARE SERVICES GROUP INC</t>
  </si>
  <si>
    <t>HCSG</t>
  </si>
  <si>
    <t>HEALTHCARE TRIANGLE, INC.</t>
  </si>
  <si>
    <t>HCTI</t>
  </si>
  <si>
    <t>HEALTHCARE TRUST OF AMERICA, INC.</t>
  </si>
  <si>
    <t>HTA</t>
  </si>
  <si>
    <t>HEALTHEQUITY, INC.</t>
  </si>
  <si>
    <t>HQY</t>
  </si>
  <si>
    <t>HEALTHIER CHOICES MANAGEMENT CORP.</t>
  </si>
  <si>
    <t>HCMC</t>
  </si>
  <si>
    <t>HEALTHPEAK PROPERTIES, INC.</t>
  </si>
  <si>
    <t>PEAK</t>
  </si>
  <si>
    <t>HEALTHSTREAM INC</t>
  </si>
  <si>
    <t>HSTM</t>
  </si>
  <si>
    <t>HEARTLAND EXPRESS INC</t>
  </si>
  <si>
    <t>HTLD</t>
  </si>
  <si>
    <t>HEARTLAND FINANCIAL USA INC</t>
  </si>
  <si>
    <t>HTLF</t>
  </si>
  <si>
    <t>HECLA MINING CO/DE/</t>
  </si>
  <si>
    <t>HL</t>
  </si>
  <si>
    <t>HEICO CORP</t>
  </si>
  <si>
    <t>HEI</t>
  </si>
  <si>
    <t>HEIDRICK &amp; STRUGGLES INTERNATIONAL INC</t>
  </si>
  <si>
    <t>HSII</t>
  </si>
  <si>
    <t>HELEN OF TROY LTD</t>
  </si>
  <si>
    <t>HELE</t>
  </si>
  <si>
    <t>HELIOGEN, INC.</t>
  </si>
  <si>
    <t>HLGN</t>
  </si>
  <si>
    <t>HELIOS TECHNOLOGIES, INC.</t>
  </si>
  <si>
    <t>HLIO</t>
  </si>
  <si>
    <t>HELIX ENERGY SOLUTIONS GROUP INC</t>
  </si>
  <si>
    <t>HLX</t>
  </si>
  <si>
    <t>HELLO GROUP INC.</t>
  </si>
  <si>
    <t>MOMO</t>
  </si>
  <si>
    <t>HELMERICH &amp; PAYNE, INC.</t>
  </si>
  <si>
    <t>HP</t>
  </si>
  <si>
    <t>HEMISPHERE MEDIA GROUP, INC.</t>
  </si>
  <si>
    <t>HMTV</t>
  </si>
  <si>
    <t>HENNESSY ADVISORS INC</t>
  </si>
  <si>
    <t>HNNA</t>
  </si>
  <si>
    <t>HENRY JACK &amp; ASSOCIATES INC</t>
  </si>
  <si>
    <t>JKHY</t>
  </si>
  <si>
    <t>HENRY SCHEIN INC</t>
  </si>
  <si>
    <t>HSIC</t>
  </si>
  <si>
    <t>HERBALIFE NUTRITION LTD.</t>
  </si>
  <si>
    <t>HLF</t>
  </si>
  <si>
    <t>HERC HOLDINGS INC</t>
  </si>
  <si>
    <t>HRI</t>
  </si>
  <si>
    <t>HERITAGE COMMERCE CORP</t>
  </si>
  <si>
    <t>HTBK</t>
  </si>
  <si>
    <t>HERITAGE FINANCIAL CORP /WA/</t>
  </si>
  <si>
    <t>HFWA</t>
  </si>
  <si>
    <t>HERITAGE GLOBAL INC.</t>
  </si>
  <si>
    <t>HGBL</t>
  </si>
  <si>
    <t>HERITAGE INSURANCE HOLDINGS, INC.</t>
  </si>
  <si>
    <t>HRTG</t>
  </si>
  <si>
    <t>HERITAGE-CRYSTAL CLEAN, INC.</t>
  </si>
  <si>
    <t>HCCI</t>
  </si>
  <si>
    <t>HERMAN MILLER INC</t>
  </si>
  <si>
    <t>MLKN</t>
  </si>
  <si>
    <t>HERON THERAPEUTICS, INC. /DE/</t>
  </si>
  <si>
    <t>HRTX</t>
  </si>
  <si>
    <t>HERSHA HOSPITALITY TRUST</t>
  </si>
  <si>
    <t>HT</t>
  </si>
  <si>
    <t>HERSHEY CO</t>
  </si>
  <si>
    <t>HSY</t>
  </si>
  <si>
    <t>HERTZ GLOBAL HOLDINGS, INC</t>
  </si>
  <si>
    <t>HTZ</t>
  </si>
  <si>
    <t>HESKA CORP</t>
  </si>
  <si>
    <t>HSKA</t>
  </si>
  <si>
    <t>HESS CORP</t>
  </si>
  <si>
    <t>HES</t>
  </si>
  <si>
    <t>HESS MIDSTREAM LP</t>
  </si>
  <si>
    <t>HESM</t>
  </si>
  <si>
    <t>HEWLETT PACKARD ENTERPRISE CO</t>
  </si>
  <si>
    <t>HPE</t>
  </si>
  <si>
    <t>HEXCEL CORP /DE/</t>
  </si>
  <si>
    <t>HXL</t>
  </si>
  <si>
    <t>HF FOODS GROUP INC.</t>
  </si>
  <si>
    <t>HFFG</t>
  </si>
  <si>
    <t>HIBBETT INC</t>
  </si>
  <si>
    <t>HIBB</t>
  </si>
  <si>
    <t>HIGHWATER ETHANOL LLC</t>
  </si>
  <si>
    <t>HEOL</t>
  </si>
  <si>
    <t>HIGHWOODS PROPERTIES, INC.</t>
  </si>
  <si>
    <t>HIW</t>
  </si>
  <si>
    <t>HILL INTERNATIONAL, INC.</t>
  </si>
  <si>
    <t>HIL</t>
  </si>
  <si>
    <t>HILLENBRAND, INC.</t>
  </si>
  <si>
    <t>HI</t>
  </si>
  <si>
    <t>HILLMAN SOLUTIONS CORP.</t>
  </si>
  <si>
    <t>HLMN</t>
  </si>
  <si>
    <t>HILLS BANCORPORATION</t>
  </si>
  <si>
    <t>HBIA</t>
  </si>
  <si>
    <t>HILLTOP HOLDINGS INC.</t>
  </si>
  <si>
    <t>HTH</t>
  </si>
  <si>
    <t>HILTON GRAND VACATIONS INC.</t>
  </si>
  <si>
    <t>HGV</t>
  </si>
  <si>
    <t>HILTON WORLDWIDE HOLDINGS INC.</t>
  </si>
  <si>
    <t>HLT</t>
  </si>
  <si>
    <t>HIMS &amp; HERS HEALTH, INC.</t>
  </si>
  <si>
    <t>HIMS</t>
  </si>
  <si>
    <t>HIPPO HOLDINGS INC.</t>
  </si>
  <si>
    <t>HIPO</t>
  </si>
  <si>
    <t>HIREQUEST, INC.</t>
  </si>
  <si>
    <t>HQI</t>
  </si>
  <si>
    <t>HIRERIGHT HOLDINGS CORP</t>
  </si>
  <si>
    <t>HRT</t>
  </si>
  <si>
    <t>HISTOGEN INC.</t>
  </si>
  <si>
    <t>HSTO</t>
  </si>
  <si>
    <t>HMN FINANCIAL INC</t>
  </si>
  <si>
    <t>HMNF</t>
  </si>
  <si>
    <t>HNI CORP</t>
  </si>
  <si>
    <t>HNI</t>
  </si>
  <si>
    <t>HOEGH LNG PARTNERS LP</t>
  </si>
  <si>
    <t>HMLP</t>
  </si>
  <si>
    <t>HOLLEY INC.</t>
  </si>
  <si>
    <t>HLLY</t>
  </si>
  <si>
    <t>HOLLY ENERGY PARTNERS LP</t>
  </si>
  <si>
    <t>HEP</t>
  </si>
  <si>
    <t>HOLLYSYS AUTOMATION TECHNOLOGIES, LTD.</t>
  </si>
  <si>
    <t>HOLI</t>
  </si>
  <si>
    <t>HOLOGIC INC</t>
  </si>
  <si>
    <t>HOLX</t>
  </si>
  <si>
    <t>HOME BANCORP, INC.</t>
  </si>
  <si>
    <t>HBCP</t>
  </si>
  <si>
    <t>HOME BANCSHARES INC</t>
  </si>
  <si>
    <t>HOMB</t>
  </si>
  <si>
    <t>HOME DEPOT, INC.</t>
  </si>
  <si>
    <t>HD</t>
  </si>
  <si>
    <t>HOME FEDERAL BANCORP, INC. OF LOUISIANA</t>
  </si>
  <si>
    <t>HFBL</t>
  </si>
  <si>
    <t>HOMESTREET, INC.</t>
  </si>
  <si>
    <t>HMST</t>
  </si>
  <si>
    <t>HOMETRUST BANCSHARES, INC.</t>
  </si>
  <si>
    <t>HTBI</t>
  </si>
  <si>
    <t>HOMOLOGY MEDICINES, INC.</t>
  </si>
  <si>
    <t>FIXX</t>
  </si>
  <si>
    <t>HONEST COMPANY, INC.</t>
  </si>
  <si>
    <t>HNST</t>
  </si>
  <si>
    <t>HONEYWELL INTERNATIONAL INC</t>
  </si>
  <si>
    <t>HON</t>
  </si>
  <si>
    <t>HOOKER FURNISHINGS CORP</t>
  </si>
  <si>
    <t>HOFT</t>
  </si>
  <si>
    <t>HOOKIPA PHARMA INC.</t>
  </si>
  <si>
    <t>HOOK</t>
  </si>
  <si>
    <t>HOPE BANCORP INC</t>
  </si>
  <si>
    <t>HOPE</t>
  </si>
  <si>
    <t>HORACE MANN EDUCATORS CORP /DE/</t>
  </si>
  <si>
    <t>HMN</t>
  </si>
  <si>
    <t>HORIZON BANCORP INC /IN/</t>
  </si>
  <si>
    <t>HBNC</t>
  </si>
  <si>
    <t>HORIZON GLOBAL CORP</t>
  </si>
  <si>
    <t>HZN</t>
  </si>
  <si>
    <t>HORIZON THERAPEUTICS PUBLIC LTD CO</t>
  </si>
  <si>
    <t>HZNP</t>
  </si>
  <si>
    <t>HORMEL FOODS CORP /DE/</t>
  </si>
  <si>
    <t>HRL</t>
  </si>
  <si>
    <t>HORTON D R INC /DE/</t>
  </si>
  <si>
    <t>DHI</t>
  </si>
  <si>
    <t>HOST HOTELS &amp; RESORTS, INC.</t>
  </si>
  <si>
    <t>HST</t>
  </si>
  <si>
    <t>HOSTESS BRANDS, INC.</t>
  </si>
  <si>
    <t>TWNK</t>
  </si>
  <si>
    <t>HOULIHAN LOKEY, INC.</t>
  </si>
  <si>
    <t>HLI</t>
  </si>
  <si>
    <t>HOVNANIAN ENTERPRISES INC</t>
  </si>
  <si>
    <t>HOV</t>
  </si>
  <si>
    <t>HOWARD HUGHES CORP</t>
  </si>
  <si>
    <t>HHC</t>
  </si>
  <si>
    <t>HOWMET AEROSPACE INC.</t>
  </si>
  <si>
    <t>HWM</t>
  </si>
  <si>
    <t>HP INC</t>
  </si>
  <si>
    <t>HPQ</t>
  </si>
  <si>
    <t>HQDA ELDERLY LIFE NETWORK CORP.</t>
  </si>
  <si>
    <t>HQDA</t>
  </si>
  <si>
    <t>HUADI INTERNATIONAL GROUP CO., LTD.</t>
  </si>
  <si>
    <t>HUDI</t>
  </si>
  <si>
    <t>HUAZHU GROUP LTD</t>
  </si>
  <si>
    <t>HTHT</t>
  </si>
  <si>
    <t>HUB GROUP, INC.</t>
  </si>
  <si>
    <t>HUBG</t>
  </si>
  <si>
    <t>HUBBELL INC</t>
  </si>
  <si>
    <t>HUBB</t>
  </si>
  <si>
    <t>HUBSPOT INC</t>
  </si>
  <si>
    <t>HUBS</t>
  </si>
  <si>
    <t>HUDSON GLOBAL, INC.</t>
  </si>
  <si>
    <t>HSON</t>
  </si>
  <si>
    <t>HUDSON PACIFIC PROPERTIES, INC.</t>
  </si>
  <si>
    <t>HPP</t>
  </si>
  <si>
    <t>HUDSON TECHNOLOGIES INC /NY</t>
  </si>
  <si>
    <t>HDSN</t>
  </si>
  <si>
    <t>HUIZE HOLDING LTD</t>
  </si>
  <si>
    <t>HUIZ</t>
  </si>
  <si>
    <t>HUMANA INC</t>
  </si>
  <si>
    <t>HUM</t>
  </si>
  <si>
    <t>HUMANIGEN, INC</t>
  </si>
  <si>
    <t>HGEN</t>
  </si>
  <si>
    <t>HUNT J B TRANSPORT SERVICES INC</t>
  </si>
  <si>
    <t>JBHT</t>
  </si>
  <si>
    <t>HUNTINGTON BANCSHARES INC /MD/</t>
  </si>
  <si>
    <t>HBAN</t>
  </si>
  <si>
    <t>HUNTINGTON INGALLS INDUSTRIES, INC.</t>
  </si>
  <si>
    <t>HII</t>
  </si>
  <si>
    <t>HUNTSMAN CORP</t>
  </si>
  <si>
    <t>HUN</t>
  </si>
  <si>
    <t>HURCO COMPANIES INC</t>
  </si>
  <si>
    <t>HURC</t>
  </si>
  <si>
    <t>HURON CONSULTING GROUP INC.</t>
  </si>
  <si>
    <t>HURN</t>
  </si>
  <si>
    <t>HUTCHMED (CHINA) LTD</t>
  </si>
  <si>
    <t>HCM</t>
  </si>
  <si>
    <t>HUYA INC.</t>
  </si>
  <si>
    <t>HUYA</t>
  </si>
  <si>
    <t>HV BANCORP, INC.</t>
  </si>
  <si>
    <t>HVBC</t>
  </si>
  <si>
    <t>HYATT HOTELS CORP</t>
  </si>
  <si>
    <t>H</t>
  </si>
  <si>
    <t>HYCROFT MINING HOLDING CORP</t>
  </si>
  <si>
    <t>HYMC</t>
  </si>
  <si>
    <t>HYDROFARM HOLDINGS GROUP, INC.</t>
  </si>
  <si>
    <t>HYFM</t>
  </si>
  <si>
    <t>HYPERFINE, INC.</t>
  </si>
  <si>
    <t>HYPR</t>
  </si>
  <si>
    <t>HYSTER-YALE MATERIALS HANDLING, INC.</t>
  </si>
  <si>
    <t>HY</t>
  </si>
  <si>
    <t>HYZON MOTORS INC.</t>
  </si>
  <si>
    <t>HYZN</t>
  </si>
  <si>
    <t>I-MAB</t>
  </si>
  <si>
    <t>IMAB</t>
  </si>
  <si>
    <t>I3 VERTICALS, INC.</t>
  </si>
  <si>
    <t>IIIV</t>
  </si>
  <si>
    <t>IAA, INC.</t>
  </si>
  <si>
    <t>IAA</t>
  </si>
  <si>
    <t>IAC/INTERACTIVECORP</t>
  </si>
  <si>
    <t>IAC</t>
  </si>
  <si>
    <t>IANTHUS CAPITAL HOLDINGS, INC.</t>
  </si>
  <si>
    <t>ITHUF</t>
  </si>
  <si>
    <t>IBIO, INC.</t>
  </si>
  <si>
    <t>IBIO</t>
  </si>
  <si>
    <t>ICAD INC</t>
  </si>
  <si>
    <t>ICAD</t>
  </si>
  <si>
    <t>ICAHN ENTERPRISES L.P.</t>
  </si>
  <si>
    <t>IEP</t>
  </si>
  <si>
    <t>ICC HOLDINGS, INC.</t>
  </si>
  <si>
    <t>ICCH</t>
  </si>
  <si>
    <t>ICECURE MEDICAL LTD.</t>
  </si>
  <si>
    <t>ICCM</t>
  </si>
  <si>
    <t>ICF INTERNATIONAL, INC.</t>
  </si>
  <si>
    <t>ICFI</t>
  </si>
  <si>
    <t>ICHOR HOLDINGS, LTD.</t>
  </si>
  <si>
    <t>ICHR</t>
  </si>
  <si>
    <t>ICLICK INTERACTIVE ASIA GROUP LTD</t>
  </si>
  <si>
    <t>ICLK</t>
  </si>
  <si>
    <t>ICON PLC</t>
  </si>
  <si>
    <t>ICLR</t>
  </si>
  <si>
    <t>ICOSAVAX, INC.</t>
  </si>
  <si>
    <t>ICVX</t>
  </si>
  <si>
    <t>ICTS INTERNATIONAL N V</t>
  </si>
  <si>
    <t>ICTSF</t>
  </si>
  <si>
    <t>ICU MEDICAL INC/DE</t>
  </si>
  <si>
    <t>ICUI</t>
  </si>
  <si>
    <t>IDACORP INC</t>
  </si>
  <si>
    <t>IDA</t>
  </si>
  <si>
    <t>IDEANOMICS, INC.</t>
  </si>
  <si>
    <t>IDEX</t>
  </si>
  <si>
    <t>IDEAYA BIOSCIENCES, INC.</t>
  </si>
  <si>
    <t>IDYA</t>
  </si>
  <si>
    <t>IDENTIV, INC.</t>
  </si>
  <si>
    <t>INVE</t>
  </si>
  <si>
    <t>IDEX CORP /DE/</t>
  </si>
  <si>
    <t>IEX</t>
  </si>
  <si>
    <t>IDEXX LABORATORIES INC /DE</t>
  </si>
  <si>
    <t>IDXX</t>
  </si>
  <si>
    <t>IDT CORP</t>
  </si>
  <si>
    <t>IDT</t>
  </si>
  <si>
    <t>IDW MEDIA HOLDINGS, INC.</t>
  </si>
  <si>
    <t>IDW</t>
  </si>
  <si>
    <t>IEH CORP</t>
  </si>
  <si>
    <t>IEHC</t>
  </si>
  <si>
    <t>IES HOLDINGS, INC.</t>
  </si>
  <si>
    <t>IESC</t>
  </si>
  <si>
    <t>IF BANCORP, INC.</t>
  </si>
  <si>
    <t>IROQ</t>
  </si>
  <si>
    <t>IHEARTMEDIA, INC.</t>
  </si>
  <si>
    <t>IHRT</t>
  </si>
  <si>
    <t>IHUMAN INC.</t>
  </si>
  <si>
    <t>IH</t>
  </si>
  <si>
    <t>II-VI INC</t>
  </si>
  <si>
    <t>COHR</t>
  </si>
  <si>
    <t>IKENA ONCOLOGY, INC.</t>
  </si>
  <si>
    <t>IKNA</t>
  </si>
  <si>
    <t>IKONICS CORP</t>
  </si>
  <si>
    <t>WULF</t>
  </si>
  <si>
    <t>ILLINOIS TOOL WORKS INC</t>
  </si>
  <si>
    <t>ITW</t>
  </si>
  <si>
    <t>ILLUMINA, INC.</t>
  </si>
  <si>
    <t>ILMN</t>
  </si>
  <si>
    <t>IMAC HOLDINGS, INC.</t>
  </si>
  <si>
    <t>IMAC</t>
  </si>
  <si>
    <t>IMAX CORP</t>
  </si>
  <si>
    <t>IMAX</t>
  </si>
  <si>
    <t>IMEDIA BRANDS, INC.</t>
  </si>
  <si>
    <t>IMBI</t>
  </si>
  <si>
    <t>IMMERSION CORP</t>
  </si>
  <si>
    <t>IMMR</t>
  </si>
  <si>
    <t>IMMUCELL CORP /DE/</t>
  </si>
  <si>
    <t>ICCC</t>
  </si>
  <si>
    <t>IMMUNEERING CORP</t>
  </si>
  <si>
    <t>IMRX</t>
  </si>
  <si>
    <t>IMMUNITYBIO, INC.</t>
  </si>
  <si>
    <t>IBRX</t>
  </si>
  <si>
    <t>IMMUNOGEN, INC.</t>
  </si>
  <si>
    <t>IMGN</t>
  </si>
  <si>
    <t>IMPAC MORTGAGE HOLDINGS INC</t>
  </si>
  <si>
    <t>IMH</t>
  </si>
  <si>
    <t>IMPINJ INC</t>
  </si>
  <si>
    <t>PI</t>
  </si>
  <si>
    <t>INARI MEDICAL, INC.</t>
  </si>
  <si>
    <t>NARI</t>
  </si>
  <si>
    <t>INCYTE CORP</t>
  </si>
  <si>
    <t>INCY</t>
  </si>
  <si>
    <t>INDEPENDENCE CONTRACT DRILLING, INC.</t>
  </si>
  <si>
    <t>ICD</t>
  </si>
  <si>
    <t>INDEPENDENCE REALTY TRUST, INC.</t>
  </si>
  <si>
    <t>IRT</t>
  </si>
  <si>
    <t>INDEPENDENT BANK CORP</t>
  </si>
  <si>
    <t>INDB</t>
  </si>
  <si>
    <t>INDEPENDENT BANK CORP /MI/</t>
  </si>
  <si>
    <t>IBCP</t>
  </si>
  <si>
    <t>INDEPENDENT BANK GROUP, INC.</t>
  </si>
  <si>
    <t>IBTX</t>
  </si>
  <si>
    <t>INDIA GLOBALIZATION CAPITAL, INC.</t>
  </si>
  <si>
    <t>IGC</t>
  </si>
  <si>
    <t>INDIE SEMICONDUCTOR, INC.</t>
  </si>
  <si>
    <t>INDI</t>
  </si>
  <si>
    <t>INDONESIA ENERGY CORP LTD</t>
  </si>
  <si>
    <t>INDO</t>
  </si>
  <si>
    <t>INFINERA CORP</t>
  </si>
  <si>
    <t>INFN</t>
  </si>
  <si>
    <t>INFINITY PHARMACEUTICALS, INC.</t>
  </si>
  <si>
    <t>INFI</t>
  </si>
  <si>
    <t>INFOBIRD CO., LTD</t>
  </si>
  <si>
    <t>IFBD</t>
  </si>
  <si>
    <t>INFORMATICA INC.</t>
  </si>
  <si>
    <t>INFA</t>
  </si>
  <si>
    <t>INFORMATION SERVICES GROUP INC.</t>
  </si>
  <si>
    <t>III</t>
  </si>
  <si>
    <t>INFRASTRUCTURE &amp; ENERGY ALTERNATIVES, INC.</t>
  </si>
  <si>
    <t>IEA</t>
  </si>
  <si>
    <t>INFUSYSTEM HOLDINGS, INC</t>
  </si>
  <si>
    <t>INFU</t>
  </si>
  <si>
    <t>INGERSOLL RAND INC.</t>
  </si>
  <si>
    <t>IR</t>
  </si>
  <si>
    <t>INGEVITY CORP</t>
  </si>
  <si>
    <t>NGVT</t>
  </si>
  <si>
    <t>INGLES MARKETS INC</t>
  </si>
  <si>
    <t>IMKTA</t>
  </si>
  <si>
    <t>INGREDION INC</t>
  </si>
  <si>
    <t>INGR</t>
  </si>
  <si>
    <t>INHIBIKASE THERAPEUTICS, INC.</t>
  </si>
  <si>
    <t>IKT</t>
  </si>
  <si>
    <t>INHIBRX, INC.</t>
  </si>
  <si>
    <t>INBX</t>
  </si>
  <si>
    <t>INLAND REAL ESTATE INCOME TRUST, INC.</t>
  </si>
  <si>
    <t>INRE</t>
  </si>
  <si>
    <t>INMODE LTD.</t>
  </si>
  <si>
    <t>INMD</t>
  </si>
  <si>
    <t>INMUNE BIO, INC.</t>
  </si>
  <si>
    <t>INMB</t>
  </si>
  <si>
    <t>INNODATA INC</t>
  </si>
  <si>
    <t>INOD</t>
  </si>
  <si>
    <t>INNOSPEC INC.</t>
  </si>
  <si>
    <t>IOSP</t>
  </si>
  <si>
    <t>INNOVAGE HOLDING CORP.</t>
  </si>
  <si>
    <t>INNV</t>
  </si>
  <si>
    <t>INNOVATE CORP.</t>
  </si>
  <si>
    <t>VATE</t>
  </si>
  <si>
    <t>INNOVATIVE FOOD HOLDINGS INC</t>
  </si>
  <si>
    <t>IVFH</t>
  </si>
  <si>
    <t>INNOVATIVE INDUSTRIAL PROPERTIES INC</t>
  </si>
  <si>
    <t>IIPR</t>
  </si>
  <si>
    <t>INNOVATIVE SOLUTIONS &amp; SUPPORT INC</t>
  </si>
  <si>
    <t>ISSC</t>
  </si>
  <si>
    <t>INNOVID CORP.</t>
  </si>
  <si>
    <t>CTV</t>
  </si>
  <si>
    <t>INNOVIVA, INC.</t>
  </si>
  <si>
    <t>INVA</t>
  </si>
  <si>
    <t>INNSUITES HOSPITALITY TRUST</t>
  </si>
  <si>
    <t>IHT</t>
  </si>
  <si>
    <t>INOGEN INC</t>
  </si>
  <si>
    <t>INGN</t>
  </si>
  <si>
    <t>INOTIV, INC.</t>
  </si>
  <si>
    <t>NOTV</t>
  </si>
  <si>
    <t>INOVIO PHARMACEUTICALS, INC.</t>
  </si>
  <si>
    <t>INO</t>
  </si>
  <si>
    <t>INPIXON</t>
  </si>
  <si>
    <t>INPX</t>
  </si>
  <si>
    <t>INSEEGO CORP.</t>
  </si>
  <si>
    <t>INSG</t>
  </si>
  <si>
    <t>INSIGHT ENTERPRISES INC</t>
  </si>
  <si>
    <t>NSIT</t>
  </si>
  <si>
    <t>INSIGNIA SYSTEMS INC/MN</t>
  </si>
  <si>
    <t>ISIG</t>
  </si>
  <si>
    <t>INSMED INC</t>
  </si>
  <si>
    <t>INSM</t>
  </si>
  <si>
    <t>INSPERITY, INC.</t>
  </si>
  <si>
    <t>NSP</t>
  </si>
  <si>
    <t>INSPIRE MEDICAL SYSTEMS, INC.</t>
  </si>
  <si>
    <t>INSP</t>
  </si>
  <si>
    <t>INSPIRED ENTERTAINMENT, INC.</t>
  </si>
  <si>
    <t>INSE</t>
  </si>
  <si>
    <t>INSPIREMD, INC.</t>
  </si>
  <si>
    <t>NSPR</t>
  </si>
  <si>
    <t>INSTALLED BUILDING PRODUCTS, INC.</t>
  </si>
  <si>
    <t>IBP</t>
  </si>
  <si>
    <t>INSTEEL INDUSTRIES INC</t>
  </si>
  <si>
    <t>IIIN</t>
  </si>
  <si>
    <t>INSULET CORP</t>
  </si>
  <si>
    <t>PODD</t>
  </si>
  <si>
    <t>INTEGER HOLDINGS CORP</t>
  </si>
  <si>
    <t>ITGR</t>
  </si>
  <si>
    <t>INTEGRA LIFESCIENCES HOLDINGS CORP</t>
  </si>
  <si>
    <t>IART</t>
  </si>
  <si>
    <t>INTEGRAL AD SCIENCE HOLDING CORP.</t>
  </si>
  <si>
    <t>IAS</t>
  </si>
  <si>
    <t>INTEGRATED BIOPHARMA INC</t>
  </si>
  <si>
    <t>INBP</t>
  </si>
  <si>
    <t>INTEL CORP</t>
  </si>
  <si>
    <t>INTC</t>
  </si>
  <si>
    <t>INTELGENX TECHNOLOGIES CORP.</t>
  </si>
  <si>
    <t>IGXT</t>
  </si>
  <si>
    <t>INTELLIA THERAPEUTICS, INC.</t>
  </si>
  <si>
    <t>NTLA</t>
  </si>
  <si>
    <t>INTELLICHECK, INC.</t>
  </si>
  <si>
    <t>IDN</t>
  </si>
  <si>
    <t>INTELLINETICS, INC.</t>
  </si>
  <si>
    <t>INLX</t>
  </si>
  <si>
    <t>INTER PARFUMS INC</t>
  </si>
  <si>
    <t>IPAR</t>
  </si>
  <si>
    <t>INTERACTIVE BROKERS GROUP, INC.</t>
  </si>
  <si>
    <t>IBKR</t>
  </si>
  <si>
    <t>INTERCEPT PHARMACEUTICALS, INC.</t>
  </si>
  <si>
    <t>ICPT</t>
  </si>
  <si>
    <t>INTERCONTINENTAL EXCHANGE, INC.</t>
  </si>
  <si>
    <t>ICE</t>
  </si>
  <si>
    <t>INTERDIGITAL, INC.</t>
  </si>
  <si>
    <t>IDCC</t>
  </si>
  <si>
    <t>INTERFACE INC</t>
  </si>
  <si>
    <t>TILE</t>
  </si>
  <si>
    <t>INTERGROUP CORP</t>
  </si>
  <si>
    <t>INTG</t>
  </si>
  <si>
    <t>INTERLINK ELECTRONICS INC</t>
  </si>
  <si>
    <t>LINK</t>
  </si>
  <si>
    <t>INTERNATIONAL BANCSHARES CORP</t>
  </si>
  <si>
    <t>IBOC</t>
  </si>
  <si>
    <t>INTERNATIONAL FLAVORS &amp; FRAGRANCES INC</t>
  </si>
  <si>
    <t>IFF</t>
  </si>
  <si>
    <t>INTERNATIONAL GAME TECHNOLOGY PLC</t>
  </si>
  <si>
    <t>IGT</t>
  </si>
  <si>
    <t>INTERNATIONAL ISOTOPES INC</t>
  </si>
  <si>
    <t>INIS</t>
  </si>
  <si>
    <t>INTERNATIONAL MONEY EXPRESS, INC.</t>
  </si>
  <si>
    <t>IMXI</t>
  </si>
  <si>
    <t>INTERNATIONAL PAPER CO /NEW/</t>
  </si>
  <si>
    <t>IP</t>
  </si>
  <si>
    <t>INTERNATIONAL SEAWAYS, INC.</t>
  </si>
  <si>
    <t>INSW</t>
  </si>
  <si>
    <t>INTERPACE BIOSCIENCES, INC.</t>
  </si>
  <si>
    <t>IDXG</t>
  </si>
  <si>
    <t>INTERPUBLIC GROUP OF COMPANIES, INC.</t>
  </si>
  <si>
    <t>IPG</t>
  </si>
  <si>
    <t>INTEST CORP</t>
  </si>
  <si>
    <t>INTT</t>
  </si>
  <si>
    <t>INTEVAC INC</t>
  </si>
  <si>
    <t>IVAC</t>
  </si>
  <si>
    <t>INTRA-CELLULAR THERAPIES, INC.</t>
  </si>
  <si>
    <t>ITCI</t>
  </si>
  <si>
    <t>INTUIT INC</t>
  </si>
  <si>
    <t>INTU</t>
  </si>
  <si>
    <t>INTUITIVE SURGICAL INC</t>
  </si>
  <si>
    <t>ISRG</t>
  </si>
  <si>
    <t>INUVO, INC.</t>
  </si>
  <si>
    <t>INUV</t>
  </si>
  <si>
    <t>INVACARE CORP</t>
  </si>
  <si>
    <t>IVC</t>
  </si>
  <si>
    <t>INVENTRUST PROPERTIES CORP.</t>
  </si>
  <si>
    <t>IVT</t>
  </si>
  <si>
    <t>INVESCO DB AGRICULTURE FUND</t>
  </si>
  <si>
    <t>DBA</t>
  </si>
  <si>
    <t>INVESCO DB BASE METALS FUND</t>
  </si>
  <si>
    <t>DBB</t>
  </si>
  <si>
    <t>INVESCO DB COMMODITY INDEX TRACKING FUND</t>
  </si>
  <si>
    <t>DBC</t>
  </si>
  <si>
    <t>INVESCO DB ENERGY FUND</t>
  </si>
  <si>
    <t>DBE</t>
  </si>
  <si>
    <t>INVESCO DB GOLD FUND</t>
  </si>
  <si>
    <t>DGL</t>
  </si>
  <si>
    <t>INVESCO DB OIL FUND</t>
  </si>
  <si>
    <t>DBO</t>
  </si>
  <si>
    <t>INVESCO DB PRECIOUS METALS FUND</t>
  </si>
  <si>
    <t>DBP</t>
  </si>
  <si>
    <t>INVESCO DB SILVER FUND</t>
  </si>
  <si>
    <t>DBS</t>
  </si>
  <si>
    <t>INVESCO LTD.</t>
  </si>
  <si>
    <t>IVZ</t>
  </si>
  <si>
    <t>INVESCO MORTGAGE CAPITAL INC.</t>
  </si>
  <si>
    <t>IVR</t>
  </si>
  <si>
    <t>INVESTAR HOLDING CORP</t>
  </si>
  <si>
    <t>ISTR</t>
  </si>
  <si>
    <t>INVESTORS TITLE CO</t>
  </si>
  <si>
    <t>ITIC</t>
  </si>
  <si>
    <t>INVESTVIEW, INC.</t>
  </si>
  <si>
    <t>INVU</t>
  </si>
  <si>
    <t>INVITAE CORP</t>
  </si>
  <si>
    <t>NVTA</t>
  </si>
  <si>
    <t>INVITATION HOMES INC.</t>
  </si>
  <si>
    <t>INVH</t>
  </si>
  <si>
    <t>IONIS PHARMACEUTICALS INC</t>
  </si>
  <si>
    <t>IONS</t>
  </si>
  <si>
    <t>IPG PHOTONICS CORP</t>
  </si>
  <si>
    <t>IPGP</t>
  </si>
  <si>
    <t>IPOWER INC.</t>
  </si>
  <si>
    <t>IPW</t>
  </si>
  <si>
    <t>IPSIDY INC.</t>
  </si>
  <si>
    <t>AUID</t>
  </si>
  <si>
    <t>IQIYI, INC.</t>
  </si>
  <si>
    <t>IQ</t>
  </si>
  <si>
    <t>IQVIA HOLDINGS INC.</t>
  </si>
  <si>
    <t>IQV</t>
  </si>
  <si>
    <t>IRADIMED CORP</t>
  </si>
  <si>
    <t>IRMD</t>
  </si>
  <si>
    <t>IRHYTHM TECHNOLOGIES, INC.</t>
  </si>
  <si>
    <t>IRTC</t>
  </si>
  <si>
    <t>IRIDEX CORP</t>
  </si>
  <si>
    <t>IRIX</t>
  </si>
  <si>
    <t>IRIDIUM COMMUNICATIONS INC.</t>
  </si>
  <si>
    <t>IRDM</t>
  </si>
  <si>
    <t>IROBOT CORP</t>
  </si>
  <si>
    <t>IRBT</t>
  </si>
  <si>
    <t>IRON MOUNTAIN INC</t>
  </si>
  <si>
    <t>IRM</t>
  </si>
  <si>
    <t>IRONNET, INC.</t>
  </si>
  <si>
    <t>IRNT</t>
  </si>
  <si>
    <t>IRONSOURCE LTD</t>
  </si>
  <si>
    <t>IS</t>
  </si>
  <si>
    <t>IRONWOOD PHARMACEUTICALS INC</t>
  </si>
  <si>
    <t>IRWD</t>
  </si>
  <si>
    <t>ISABELLA BANK CORP</t>
  </si>
  <si>
    <t>ISBA</t>
  </si>
  <si>
    <t>ISOPLEXIS CORP</t>
  </si>
  <si>
    <t>ISO</t>
  </si>
  <si>
    <t>ISSUER DIRECT CORP</t>
  </si>
  <si>
    <t>ISDR</t>
  </si>
  <si>
    <t>ISTAR INC.</t>
  </si>
  <si>
    <t>STAR</t>
  </si>
  <si>
    <t>ISUN, INC.</t>
  </si>
  <si>
    <t>ISUN</t>
  </si>
  <si>
    <t>IT TECH PACKAGING, INC.</t>
  </si>
  <si>
    <t>ITP</t>
  </si>
  <si>
    <t>ITEM 9 LABS CORP.</t>
  </si>
  <si>
    <t>INLB</t>
  </si>
  <si>
    <t>ITERIS, INC.</t>
  </si>
  <si>
    <t>ITI</t>
  </si>
  <si>
    <t>ITRON, INC.</t>
  </si>
  <si>
    <t>ITRI</t>
  </si>
  <si>
    <t>ITT INC.</t>
  </si>
  <si>
    <t>ITT</t>
  </si>
  <si>
    <t>ITURAN LOCATION &amp; CONTROL LTD.</t>
  </si>
  <si>
    <t>ITRN</t>
  </si>
  <si>
    <t>IZEA WORLDWIDE, INC.</t>
  </si>
  <si>
    <t>IZEA</t>
  </si>
  <si>
    <t>J M SMUCKER CO</t>
  </si>
  <si>
    <t>SJM</t>
  </si>
  <si>
    <t>J&amp;J SNACK FOODS CORP</t>
  </si>
  <si>
    <t>JJSF</t>
  </si>
  <si>
    <t>J.JILL, INC.</t>
  </si>
  <si>
    <t>JILL</t>
  </si>
  <si>
    <t>JABIL INC</t>
  </si>
  <si>
    <t>JBL</t>
  </si>
  <si>
    <t>JACK IN THE BOX INC /NEW/</t>
  </si>
  <si>
    <t>JACK</t>
  </si>
  <si>
    <t>JACKSON FINANCIAL INC.</t>
  </si>
  <si>
    <t>JXN</t>
  </si>
  <si>
    <t>JACOBS ENGINEERING GROUP INC /DE/</t>
  </si>
  <si>
    <t>J</t>
  </si>
  <si>
    <t>JAGUAR HEALTH, INC.</t>
  </si>
  <si>
    <t>JAGX</t>
  </si>
  <si>
    <t>JAKKS PACIFIC INC</t>
  </si>
  <si>
    <t>JAKK</t>
  </si>
  <si>
    <t>JAMES HARDIE INDUSTRIES PLC</t>
  </si>
  <si>
    <t>JHX</t>
  </si>
  <si>
    <t>JAMES RIVER GROUP HOLDINGS, LTD.</t>
  </si>
  <si>
    <t>JRVR</t>
  </si>
  <si>
    <t>JAMF HOLDING CORP.</t>
  </si>
  <si>
    <t>JAMF</t>
  </si>
  <si>
    <t>JANEL CORP</t>
  </si>
  <si>
    <t>JANL</t>
  </si>
  <si>
    <t>JANUS HENDERSON GROUP PLC</t>
  </si>
  <si>
    <t>JHG</t>
  </si>
  <si>
    <t>JANUS INTERNATIONAL GROUP, INC.</t>
  </si>
  <si>
    <t>JBI</t>
  </si>
  <si>
    <t>JAZZ PHARMACEUTICALS PLC</t>
  </si>
  <si>
    <t>JAZZ</t>
  </si>
  <si>
    <t>JBG SMITH PROPERTIES</t>
  </si>
  <si>
    <t>JBGS</t>
  </si>
  <si>
    <t>JD.COM, INC.</t>
  </si>
  <si>
    <t>JD</t>
  </si>
  <si>
    <t>JEFFERIES FINANCIAL GROUP INC.</t>
  </si>
  <si>
    <t>JEF</t>
  </si>
  <si>
    <t>JELD-WEN HOLDING, INC.</t>
  </si>
  <si>
    <t>JELD</t>
  </si>
  <si>
    <t>JERASH HOLDINGS (US), INC.</t>
  </si>
  <si>
    <t>JRSH</t>
  </si>
  <si>
    <t>JETBLUE AIRWAYS CORP</t>
  </si>
  <si>
    <t>JBLU</t>
  </si>
  <si>
    <t>JEWETT CAMERON TRADING CO LTD</t>
  </si>
  <si>
    <t>JCTCF</t>
  </si>
  <si>
    <t>JFROG LTD</t>
  </si>
  <si>
    <t>FROG</t>
  </si>
  <si>
    <t>JIANPU TECHNOLOGY INC.</t>
  </si>
  <si>
    <t>JT</t>
  </si>
  <si>
    <t>JIAYIN GROUP INC.</t>
  </si>
  <si>
    <t>JFIN</t>
  </si>
  <si>
    <t>JINKOSOLAR HOLDING CO., LTD.</t>
  </si>
  <si>
    <t>JKS</t>
  </si>
  <si>
    <t>JIUZI HOLDINGS, INC.</t>
  </si>
  <si>
    <t>JZXN</t>
  </si>
  <si>
    <t>JOANN INC.</t>
  </si>
  <si>
    <t>JOAN</t>
  </si>
  <si>
    <t>JOHN BEAN TECHNOLOGIES CORP</t>
  </si>
  <si>
    <t>JBT</t>
  </si>
  <si>
    <t>JOHNSON &amp; JOHNSON</t>
  </si>
  <si>
    <t>JNJ</t>
  </si>
  <si>
    <t>JOHNSON CONTROLS INTERNATIONAL PLC</t>
  </si>
  <si>
    <t>JCI</t>
  </si>
  <si>
    <t>JOHNSON OUTDOORS INC</t>
  </si>
  <si>
    <t>JOUT</t>
  </si>
  <si>
    <t>JOINT CORP</t>
  </si>
  <si>
    <t>JYNT</t>
  </si>
  <si>
    <t>JONES LANG LASALLE INC</t>
  </si>
  <si>
    <t>JLL</t>
  </si>
  <si>
    <t>JOURNEY MEDICAL CORP</t>
  </si>
  <si>
    <t>DERM</t>
  </si>
  <si>
    <t>JOWELL GLOBAL LTD.</t>
  </si>
  <si>
    <t>JWEL</t>
  </si>
  <si>
    <t>JOYY INC.</t>
  </si>
  <si>
    <t>YY</t>
  </si>
  <si>
    <t>JPMORGAN CHASE &amp; CO</t>
  </si>
  <si>
    <t>JPM</t>
  </si>
  <si>
    <t>JUNIATA VALLEY FINANCIAL CORP</t>
  </si>
  <si>
    <t>JUVF</t>
  </si>
  <si>
    <t>JUNIPER NETWORKS INC</t>
  </si>
  <si>
    <t>JNPR</t>
  </si>
  <si>
    <t>KAANAPALI LAND LLC</t>
  </si>
  <si>
    <t>KANP</t>
  </si>
  <si>
    <t>KADANT INC</t>
  </si>
  <si>
    <t>KAI</t>
  </si>
  <si>
    <t>KAISER ALUMINUM CORP</t>
  </si>
  <si>
    <t>KALU</t>
  </si>
  <si>
    <t>KAIXIN AUTO HOLDINGS</t>
  </si>
  <si>
    <t>KXIN</t>
  </si>
  <si>
    <t>KALA PHARMACEUTICALS, INC.</t>
  </si>
  <si>
    <t>KALA</t>
  </si>
  <si>
    <t>KALEYRA, INC.</t>
  </si>
  <si>
    <t>KLR</t>
  </si>
  <si>
    <t>KALTURA INC</t>
  </si>
  <si>
    <t>KLTR</t>
  </si>
  <si>
    <t>KALVISTA PHARMACEUTICALS, INC.</t>
  </si>
  <si>
    <t>KALV</t>
  </si>
  <si>
    <t>KAMAN CORP</t>
  </si>
  <si>
    <t>KAMN</t>
  </si>
  <si>
    <t>KANDI TECHNOLOGIES GROUP, INC.</t>
  </si>
  <si>
    <t>KNDI</t>
  </si>
  <si>
    <t>KAR AUCTION SERVICES, INC.</t>
  </si>
  <si>
    <t>KAR</t>
  </si>
  <si>
    <t>KARAT PACKAGING INC.</t>
  </si>
  <si>
    <t>KRT</t>
  </si>
  <si>
    <t>KARYOPHARM THERAPEUTICS INC.</t>
  </si>
  <si>
    <t>KPTI</t>
  </si>
  <si>
    <t>KATAPULT HOLDINGS, INC.</t>
  </si>
  <si>
    <t>KPLT</t>
  </si>
  <si>
    <t>KB HOME</t>
  </si>
  <si>
    <t>KBH</t>
  </si>
  <si>
    <t>KBR, INC.</t>
  </si>
  <si>
    <t>KBR</t>
  </si>
  <si>
    <t>KBS REAL ESTATE INVESTMENT TRUST III, INC.</t>
  </si>
  <si>
    <t>KBSR</t>
  </si>
  <si>
    <t>KEARNY FINANCIAL CORP.</t>
  </si>
  <si>
    <t>KRNY</t>
  </si>
  <si>
    <t>KELLOGG CO</t>
  </si>
  <si>
    <t>K</t>
  </si>
  <si>
    <t>KELLY SERVICES INC</t>
  </si>
  <si>
    <t>KELYA</t>
  </si>
  <si>
    <t>KEMPER CORP</t>
  </si>
  <si>
    <t>KMPR</t>
  </si>
  <si>
    <t>KEMPHARM, INC</t>
  </si>
  <si>
    <t>KMPH</t>
  </si>
  <si>
    <t>KENNAMETAL INC</t>
  </si>
  <si>
    <t>KMT</t>
  </si>
  <si>
    <t>KENNEDY-WILSON HOLDINGS, INC.</t>
  </si>
  <si>
    <t>KW</t>
  </si>
  <si>
    <t>KENTUCKY FIRST FEDERAL BANCORP</t>
  </si>
  <si>
    <t>KFFB</t>
  </si>
  <si>
    <t>KEURIG DR PEPPER INC.</t>
  </si>
  <si>
    <t>KDP</t>
  </si>
  <si>
    <t>KEWAUNEE SCIENTIFIC CORP /DE/</t>
  </si>
  <si>
    <t>KEQU</t>
  </si>
  <si>
    <t>KEY TRONIC CORP</t>
  </si>
  <si>
    <t>KTCC</t>
  </si>
  <si>
    <t>KEYCORP /NEW/</t>
  </si>
  <si>
    <t>KEY</t>
  </si>
  <si>
    <t>KEYSIGHT TECHNOLOGIES, INC.</t>
  </si>
  <si>
    <t>KEYS</t>
  </si>
  <si>
    <t>KFORCE INC</t>
  </si>
  <si>
    <t>KFRC</t>
  </si>
  <si>
    <t>KIDOZ INC.</t>
  </si>
  <si>
    <t>KDOZF</t>
  </si>
  <si>
    <t>KILROY REALTY CORP</t>
  </si>
  <si>
    <t>KRC</t>
  </si>
  <si>
    <t>KIMBALL ELECTRONICS, INC.</t>
  </si>
  <si>
    <t>KE</t>
  </si>
  <si>
    <t>KIMBALL INTERNATIONAL INC</t>
  </si>
  <si>
    <t>KBAL</t>
  </si>
  <si>
    <t>KIMBELL ROYALTY PARTNERS, LP</t>
  </si>
  <si>
    <t>KRP</t>
  </si>
  <si>
    <t>KIMBERLY CLARK CORP</t>
  </si>
  <si>
    <t>KMB</t>
  </si>
  <si>
    <t>KIMCO REALTY CORP</t>
  </si>
  <si>
    <t>KIM</t>
  </si>
  <si>
    <t>KINDER MORGAN, INC.</t>
  </si>
  <si>
    <t>KMI</t>
  </si>
  <si>
    <t>KINGSOFT CLOUD HOLDINGS LTD</t>
  </si>
  <si>
    <t>KC</t>
  </si>
  <si>
    <t>KINGSTONE COMPANIES, INC.</t>
  </si>
  <si>
    <t>KINS</t>
  </si>
  <si>
    <t>KINGSWAY FINANCIAL SERVICES INC</t>
  </si>
  <si>
    <t>KFS</t>
  </si>
  <si>
    <t>KINSALE CAPITAL GROUP, INC.</t>
  </si>
  <si>
    <t>KNSL</t>
  </si>
  <si>
    <t>KIRBY CORP</t>
  </si>
  <si>
    <t>KEX</t>
  </si>
  <si>
    <t>KIRKLAND'S, INC</t>
  </si>
  <si>
    <t>KIRK</t>
  </si>
  <si>
    <t>KITE REALTY GROUP TRUST</t>
  </si>
  <si>
    <t>KRG</t>
  </si>
  <si>
    <t>KKR &amp; CO. INC.</t>
  </si>
  <si>
    <t>KKR</t>
  </si>
  <si>
    <t>KKR REAL ESTATE FINANCE TRUST INC.</t>
  </si>
  <si>
    <t>KREF</t>
  </si>
  <si>
    <t>KLA CORP</t>
  </si>
  <si>
    <t>KLAC</t>
  </si>
  <si>
    <t>KLDISCOVERY INC.</t>
  </si>
  <si>
    <t>KLDI</t>
  </si>
  <si>
    <t>KLX ENERGY SERVICES HOLDINGS, INC.</t>
  </si>
  <si>
    <t>KLXE</t>
  </si>
  <si>
    <t>KNIGHT-SWIFT TRANSPORTATION HOLDINGS INC.</t>
  </si>
  <si>
    <t>KNX</t>
  </si>
  <si>
    <t>KNOT OFFSHORE PARTNERS LP</t>
  </si>
  <si>
    <t>KNOP</t>
  </si>
  <si>
    <t>KNOWBE4, INC.</t>
  </si>
  <si>
    <t>KNBE</t>
  </si>
  <si>
    <t>KNOWLES CORP</t>
  </si>
  <si>
    <t>KN</t>
  </si>
  <si>
    <t>KOHLS CORP</t>
  </si>
  <si>
    <t>KONTOOR BRANDS, INC.</t>
  </si>
  <si>
    <t>KTB</t>
  </si>
  <si>
    <t>KOPIN CORP</t>
  </si>
  <si>
    <t>KOPN</t>
  </si>
  <si>
    <t>KOPPERS HOLDINGS INC.</t>
  </si>
  <si>
    <t>KOP</t>
  </si>
  <si>
    <t>KORE GROUP HOLDINGS, INC.</t>
  </si>
  <si>
    <t>KORE</t>
  </si>
  <si>
    <t>KORN FERRY</t>
  </si>
  <si>
    <t>KFY</t>
  </si>
  <si>
    <t>KORNIT DIGITAL LTD.</t>
  </si>
  <si>
    <t>KRNT</t>
  </si>
  <si>
    <t>KOSMOS ENERGY LTD.</t>
  </si>
  <si>
    <t>KOS</t>
  </si>
  <si>
    <t>KOSS CORP</t>
  </si>
  <si>
    <t>KOSS</t>
  </si>
  <si>
    <t>KRAFT HEINZ CO</t>
  </si>
  <si>
    <t>KHC</t>
  </si>
  <si>
    <t>KRATOS DEFENSE &amp; SECURITY SOLUTIONS, INC.</t>
  </si>
  <si>
    <t>KTOS</t>
  </si>
  <si>
    <t>KRISPY KREME, INC.</t>
  </si>
  <si>
    <t>DNUT</t>
  </si>
  <si>
    <t>KROGER CO</t>
  </si>
  <si>
    <t>KR</t>
  </si>
  <si>
    <t>KRONOS WORLDWIDE INC</t>
  </si>
  <si>
    <t>KRO</t>
  </si>
  <si>
    <t>KULICKE &amp; SOFFA INDUSTRIES INC</t>
  </si>
  <si>
    <t>KLIC</t>
  </si>
  <si>
    <t>KURA SUSHI USA, INC.</t>
  </si>
  <si>
    <t>KRUS</t>
  </si>
  <si>
    <t>KVH INDUSTRIES INC DE</t>
  </si>
  <si>
    <t>KVHI</t>
  </si>
  <si>
    <t>KYMERA THERAPEUTICS, INC.</t>
  </si>
  <si>
    <t>KYMR</t>
  </si>
  <si>
    <t>KYNDRYL HOLDINGS, INC.</t>
  </si>
  <si>
    <t>KD</t>
  </si>
  <si>
    <t>L3HARRIS TECHNOLOGIES, INC. /DE/</t>
  </si>
  <si>
    <t>LHX</t>
  </si>
  <si>
    <t>LA JOLLA PHARMACEUTICAL CO</t>
  </si>
  <si>
    <t>LJPC</t>
  </si>
  <si>
    <t>LA-Z-BOY INC</t>
  </si>
  <si>
    <t>LZB</t>
  </si>
  <si>
    <t>LABORATORY CORP OF AMERICA HOLDINGS</t>
  </si>
  <si>
    <t>LH</t>
  </si>
  <si>
    <t>LADDER CAPITAL CORP</t>
  </si>
  <si>
    <t>LADR</t>
  </si>
  <si>
    <t>LAIRD SUPERFOOD, INC.</t>
  </si>
  <si>
    <t>LSF</t>
  </si>
  <si>
    <t>LAKE AREA CORN PROCESSORS LLC</t>
  </si>
  <si>
    <t>LKCRU</t>
  </si>
  <si>
    <t>LAKE SHORE BANCORP, INC.</t>
  </si>
  <si>
    <t>LSBK</t>
  </si>
  <si>
    <t>LAKELAND BANCORP INC</t>
  </si>
  <si>
    <t>LBAI</t>
  </si>
  <si>
    <t>LAKELAND FINANCIAL CORP</t>
  </si>
  <si>
    <t>LKFN</t>
  </si>
  <si>
    <t>LAKELAND INDUSTRIES INC</t>
  </si>
  <si>
    <t>LAKE</t>
  </si>
  <si>
    <t>LAM RESEARCH CORP</t>
  </si>
  <si>
    <t>LRCX</t>
  </si>
  <si>
    <t>LAMAR ADVERTISING CO/NEW</t>
  </si>
  <si>
    <t>LAMR</t>
  </si>
  <si>
    <t>LAMB WESTON HOLDINGS, INC.</t>
  </si>
  <si>
    <t>LW</t>
  </si>
  <si>
    <t>LANCASTER COLONY CORP</t>
  </si>
  <si>
    <t>LANC</t>
  </si>
  <si>
    <t>LANDEC CORP CA</t>
  </si>
  <si>
    <t>LNDC</t>
  </si>
  <si>
    <t>LANDMARK BANCORP INC</t>
  </si>
  <si>
    <t>LARK</t>
  </si>
  <si>
    <t>LANDOS BIOPHARMA, INC.</t>
  </si>
  <si>
    <t>LABP</t>
  </si>
  <si>
    <t>LANDS' END, INC.</t>
  </si>
  <si>
    <t>LE</t>
  </si>
  <si>
    <t>LANDSEA HOMES CORP</t>
  </si>
  <si>
    <t>LSEA</t>
  </si>
  <si>
    <t>LANDSTAR SYSTEM INC</t>
  </si>
  <si>
    <t>LSTR</t>
  </si>
  <si>
    <t>LANNETT CO INC</t>
  </si>
  <si>
    <t>LCI</t>
  </si>
  <si>
    <t>LANTHEUS HOLDINGS, INC.</t>
  </si>
  <si>
    <t>LNTH</t>
  </si>
  <si>
    <t>LANTRONIX INC</t>
  </si>
  <si>
    <t>LTRX</t>
  </si>
  <si>
    <t>LAREDO PETROLEUM, INC.</t>
  </si>
  <si>
    <t>LPI</t>
  </si>
  <si>
    <t>LAS VEGAS SANDS CORP</t>
  </si>
  <si>
    <t>LVS</t>
  </si>
  <si>
    <t>LATCH, INC.</t>
  </si>
  <si>
    <t>LTCH</t>
  </si>
  <si>
    <t>LATHAM GROUP, INC.</t>
  </si>
  <si>
    <t>SWIM</t>
  </si>
  <si>
    <t>LATTICE SEMICONDUCTOR CORP</t>
  </si>
  <si>
    <t>LSCC</t>
  </si>
  <si>
    <t>LAUREATE EDUCATION, INC.</t>
  </si>
  <si>
    <t>LAUR</t>
  </si>
  <si>
    <t>LAZARD LTD</t>
  </si>
  <si>
    <t>LAZ</t>
  </si>
  <si>
    <t>LAZYDAYS HOLDINGS, INC.</t>
  </si>
  <si>
    <t>LAZY</t>
  </si>
  <si>
    <t>LCI INDUSTRIES</t>
  </si>
  <si>
    <t>LCII</t>
  </si>
  <si>
    <t>LCNB CORP</t>
  </si>
  <si>
    <t>LCNB</t>
  </si>
  <si>
    <t>LEAP THERAPEUTICS, INC.</t>
  </si>
  <si>
    <t>LPTX</t>
  </si>
  <si>
    <t>LEAR CORP</t>
  </si>
  <si>
    <t>LEA</t>
  </si>
  <si>
    <t>LEATT CORP</t>
  </si>
  <si>
    <t>LEAT</t>
  </si>
  <si>
    <t>LEE ENTERPRISES, INC</t>
  </si>
  <si>
    <t>LEE</t>
  </si>
  <si>
    <t>LEGACY HOUSING CORP</t>
  </si>
  <si>
    <t>LEGH</t>
  </si>
  <si>
    <t>LEGALZOOM.COM, INC.</t>
  </si>
  <si>
    <t>LZ</t>
  </si>
  <si>
    <t>LEGGETT &amp; PLATT INC</t>
  </si>
  <si>
    <t>LEG</t>
  </si>
  <si>
    <t>LEIDOS HOLDINGS, INC.</t>
  </si>
  <si>
    <t>LDOS</t>
  </si>
  <si>
    <t>LEJU HOLDINGS LTD</t>
  </si>
  <si>
    <t>LEJU</t>
  </si>
  <si>
    <t>LEMAITRE VASCULAR INC</t>
  </si>
  <si>
    <t>LMAT</t>
  </si>
  <si>
    <t>LEMONADE, INC.</t>
  </si>
  <si>
    <t>LMND</t>
  </si>
  <si>
    <t>LENDINGCLUB CORP</t>
  </si>
  <si>
    <t>LC</t>
  </si>
  <si>
    <t>LENDINGTREE, INC.</t>
  </si>
  <si>
    <t>TREE</t>
  </si>
  <si>
    <t>LENNAR CORP /NEW/</t>
  </si>
  <si>
    <t>LEN</t>
  </si>
  <si>
    <t>LENNOX INTERNATIONAL INC</t>
  </si>
  <si>
    <t>LII</t>
  </si>
  <si>
    <t>LENSAR, INC.</t>
  </si>
  <si>
    <t>LNSR</t>
  </si>
  <si>
    <t>LESLIE'S, INC.</t>
  </si>
  <si>
    <t>LESL</t>
  </si>
  <si>
    <t>LEVI STRAUSS &amp; CO</t>
  </si>
  <si>
    <t>LEVI</t>
  </si>
  <si>
    <t>LEXICON PHARMACEUTICALS, INC.</t>
  </si>
  <si>
    <t>LXRX</t>
  </si>
  <si>
    <t>LEXINFINTECH HOLDINGS LTD.</t>
  </si>
  <si>
    <t>LX</t>
  </si>
  <si>
    <t>LGI HOMES, INC.</t>
  </si>
  <si>
    <t>LGIH</t>
  </si>
  <si>
    <t>LGL GROUP INC</t>
  </si>
  <si>
    <t>LGL</t>
  </si>
  <si>
    <t>LHC GROUP, INC</t>
  </si>
  <si>
    <t>LHCG</t>
  </si>
  <si>
    <t>LI AUTO INC.</t>
  </si>
  <si>
    <t>LI</t>
  </si>
  <si>
    <t>LIBERTY BROADBAND CORP</t>
  </si>
  <si>
    <t>LBRDA</t>
  </si>
  <si>
    <t>LIBERTY GLOBAL PLC</t>
  </si>
  <si>
    <t>LBTYA</t>
  </si>
  <si>
    <t>LIBERTY LATIN AMERICA LTD.</t>
  </si>
  <si>
    <t>LILA</t>
  </si>
  <si>
    <t>LIBERTY MEDIA CORP</t>
  </si>
  <si>
    <t>LSXMA</t>
  </si>
  <si>
    <t>LIBERTY OILFIELD SERVICES INC.</t>
  </si>
  <si>
    <t>LBRT</t>
  </si>
  <si>
    <t>LIBERTY TRIPADVISOR HOLDINGS, INC.</t>
  </si>
  <si>
    <t>LTRPA</t>
  </si>
  <si>
    <t>LIFE STORAGE, INC.</t>
  </si>
  <si>
    <t>LSI</t>
  </si>
  <si>
    <t>LIFE TIME GROUP HOLDINGS, INC.</t>
  </si>
  <si>
    <t>LTH</t>
  </si>
  <si>
    <t>LIFEMD, INC.</t>
  </si>
  <si>
    <t>LFMD</t>
  </si>
  <si>
    <t>LIFETIME BRANDS, INC</t>
  </si>
  <si>
    <t>LCUT</t>
  </si>
  <si>
    <t>LIFEVANTAGE CORP</t>
  </si>
  <si>
    <t>LFVN</t>
  </si>
  <si>
    <t>LIFEWAY FOODS, INC.</t>
  </si>
  <si>
    <t>LWAY</t>
  </si>
  <si>
    <t>LIGAND PHARMACEUTICALS INC</t>
  </si>
  <si>
    <t>LGND</t>
  </si>
  <si>
    <t>LIGHTBRIDGE CORP</t>
  </si>
  <si>
    <t>LTBR</t>
  </si>
  <si>
    <t>LIGHTINTHEBOX HOLDING CO., LTD.</t>
  </si>
  <si>
    <t>LITB</t>
  </si>
  <si>
    <t>LIGHTNING EMOTORS, INC.</t>
  </si>
  <si>
    <t>ZEV</t>
  </si>
  <si>
    <t>LIGHTPATH TECHNOLOGIES INC</t>
  </si>
  <si>
    <t>LPTH</t>
  </si>
  <si>
    <t>LIMBACH HOLDINGS, INC.</t>
  </si>
  <si>
    <t>LMB</t>
  </si>
  <si>
    <t>LIMESTONE BANCORP, INC.</t>
  </si>
  <si>
    <t>LMST</t>
  </si>
  <si>
    <t>LIMONEIRA CO</t>
  </si>
  <si>
    <t>LMNR</t>
  </si>
  <si>
    <t>LINCOLN EDUCATIONAL SERVICES CORP</t>
  </si>
  <si>
    <t>LINC</t>
  </si>
  <si>
    <t>LINCOLN ELECTRIC HOLDINGS INC</t>
  </si>
  <si>
    <t>LECO</t>
  </si>
  <si>
    <t>LINCOLN NATIONAL CORP</t>
  </si>
  <si>
    <t>LNC</t>
  </si>
  <si>
    <t>LINDBLAD EXPEDITIONS HOLDINGS, INC.</t>
  </si>
  <si>
    <t>LIND</t>
  </si>
  <si>
    <t>LINDE PLC</t>
  </si>
  <si>
    <t>LIN</t>
  </si>
  <si>
    <t>LINDSAY CORP</t>
  </si>
  <si>
    <t>LNN</t>
  </si>
  <si>
    <t>LINEAGE CELL THERAPEUTICS, INC.</t>
  </si>
  <si>
    <t>LCTX</t>
  </si>
  <si>
    <t>LINKBANCORP, INC.</t>
  </si>
  <si>
    <t>LNKB</t>
  </si>
  <si>
    <t>LION GROUP HOLDING LTD</t>
  </si>
  <si>
    <t>LGHL</t>
  </si>
  <si>
    <t>LIONS GATE ENTERTAINMENT CORP /CN/</t>
  </si>
  <si>
    <t>LGF-A</t>
  </si>
  <si>
    <t>LIQUIDIA CORP</t>
  </si>
  <si>
    <t>LQDA</t>
  </si>
  <si>
    <t>LIQUIDITY SERVICES INC</t>
  </si>
  <si>
    <t>LQDT</t>
  </si>
  <si>
    <t>LIQUIDMETAL TECHNOLOGIES INC</t>
  </si>
  <si>
    <t>LQMT</t>
  </si>
  <si>
    <t>LITHIA MOTORS INC</t>
  </si>
  <si>
    <t>LAD</t>
  </si>
  <si>
    <t>LITTELFUSE INC /DE</t>
  </si>
  <si>
    <t>LFUS</t>
  </si>
  <si>
    <t>LIVANOVA PLC</t>
  </si>
  <si>
    <t>LIVN</t>
  </si>
  <si>
    <t>LIVE NATION ENTERTAINMENT, INC.</t>
  </si>
  <si>
    <t>LYV</t>
  </si>
  <si>
    <t>LIVE OAK BANCSHARES, INC.</t>
  </si>
  <si>
    <t>LOB</t>
  </si>
  <si>
    <t>LIVE VENTURES INC</t>
  </si>
  <si>
    <t>LIVE</t>
  </si>
  <si>
    <t>LIVENT CORP.</t>
  </si>
  <si>
    <t>LTHM</t>
  </si>
  <si>
    <t>LIVEONE, INC.</t>
  </si>
  <si>
    <t>LVO</t>
  </si>
  <si>
    <t>LIVEPERSON INC</t>
  </si>
  <si>
    <t>LPSN</t>
  </si>
  <si>
    <t>LIVERAMP HOLDINGS, INC.</t>
  </si>
  <si>
    <t>RAMP</t>
  </si>
  <si>
    <t>LIVEVOX HOLDINGS, INC.</t>
  </si>
  <si>
    <t>LVOX</t>
  </si>
  <si>
    <t>LIXIANG EDUCATION HOLDING CO. LTD.</t>
  </si>
  <si>
    <t>LXEH</t>
  </si>
  <si>
    <t>LIZHI INC.</t>
  </si>
  <si>
    <t>LIZI</t>
  </si>
  <si>
    <t>LKQ CORP</t>
  </si>
  <si>
    <t>LKQ</t>
  </si>
  <si>
    <t>LL FLOORING HOLDINGS, INC.</t>
  </si>
  <si>
    <t>LL</t>
  </si>
  <si>
    <t>LMP AUTOMOTIVE HOLDINGS, INC.</t>
  </si>
  <si>
    <t>LMPX</t>
  </si>
  <si>
    <t>LOANDEPOT, INC.</t>
  </si>
  <si>
    <t>LDI</t>
  </si>
  <si>
    <t>LOCKHEED MARTIN CORP</t>
  </si>
  <si>
    <t>LMT</t>
  </si>
  <si>
    <t>LOEWS CORP</t>
  </si>
  <si>
    <t>L</t>
  </si>
  <si>
    <t>LOGICBIO THERAPEUTICS, INC.</t>
  </si>
  <si>
    <t>LOGC</t>
  </si>
  <si>
    <t>LOGITECH INTERNATIONAL S.A.</t>
  </si>
  <si>
    <t>LOGI</t>
  </si>
  <si>
    <t>LOOP INDUSTRIES, INC.</t>
  </si>
  <si>
    <t>LOOP</t>
  </si>
  <si>
    <t>LOTTERY.COM INC.</t>
  </si>
  <si>
    <t>LTRY</t>
  </si>
  <si>
    <t>LOUISIANA-PACIFIC CORP</t>
  </si>
  <si>
    <t>LPX</t>
  </si>
  <si>
    <t>LOWELL FARMS INC.</t>
  </si>
  <si>
    <t>LOWLF</t>
  </si>
  <si>
    <t>LOWES COMPANIES INC</t>
  </si>
  <si>
    <t>LOW</t>
  </si>
  <si>
    <t>LOYALTY VENTURES INC.</t>
  </si>
  <si>
    <t>LYLT</t>
  </si>
  <si>
    <t>LPL FINANCIAL HOLDINGS INC.</t>
  </si>
  <si>
    <t>LPLA</t>
  </si>
  <si>
    <t>LSB INDUSTRIES INC</t>
  </si>
  <si>
    <t>LXU</t>
  </si>
  <si>
    <t>LSI INDUSTRIES INC</t>
  </si>
  <si>
    <t>LYTS</t>
  </si>
  <si>
    <t>LTC PROPERTIES INC</t>
  </si>
  <si>
    <t>LTC</t>
  </si>
  <si>
    <t>LUCID GROUP, INC.</t>
  </si>
  <si>
    <t>LCID</t>
  </si>
  <si>
    <t>LUCIRA HEALTH, INC.</t>
  </si>
  <si>
    <t>LHDX</t>
  </si>
  <si>
    <t>LUCKIN COFFEE INC.</t>
  </si>
  <si>
    <t>LKNCY</t>
  </si>
  <si>
    <t>LULU'S FASHION LOUNGE HOLDINGS, INC.</t>
  </si>
  <si>
    <t>LVLU</t>
  </si>
  <si>
    <t>LULULEMON ATHLETICA INC.</t>
  </si>
  <si>
    <t>LULU</t>
  </si>
  <si>
    <t>LUMEN TECHNOLOGIES, INC.</t>
  </si>
  <si>
    <t>LUMN</t>
  </si>
  <si>
    <t>LUMENT FINANCE TRUST, INC.</t>
  </si>
  <si>
    <t>LFT</t>
  </si>
  <si>
    <t>LUMENTUM HOLDINGS INC.</t>
  </si>
  <si>
    <t>LITE</t>
  </si>
  <si>
    <t>LUMINAR TECHNOLOGIES, INC./DE</t>
  </si>
  <si>
    <t>LAZR</t>
  </si>
  <si>
    <t>LUMOS PHARMA, INC.</t>
  </si>
  <si>
    <t>LUMO</t>
  </si>
  <si>
    <t>LUNA INNOVATIONS INC</t>
  </si>
  <si>
    <t>LUNA</t>
  </si>
  <si>
    <t>LUOKUNG TECHNOLOGY CORP.</t>
  </si>
  <si>
    <t>LKCO</t>
  </si>
  <si>
    <t>LUTHER BURBANK CORP</t>
  </si>
  <si>
    <t>LBC</t>
  </si>
  <si>
    <t>LUXFER HOLDINGS PLC</t>
  </si>
  <si>
    <t>LXFR</t>
  </si>
  <si>
    <t>LXP INDUSTRIAL TRUST</t>
  </si>
  <si>
    <t>LXP</t>
  </si>
  <si>
    <t>LYELL IMMUNOPHARMA, INC.</t>
  </si>
  <si>
    <t>LYEL</t>
  </si>
  <si>
    <t>LYFT, INC.</t>
  </si>
  <si>
    <t>LYFT</t>
  </si>
  <si>
    <t>LYONDELLBASELL INDUSTRIES N.V.</t>
  </si>
  <si>
    <t>LYB</t>
  </si>
  <si>
    <t>M&amp;T BANK CORP</t>
  </si>
  <si>
    <t>MTB</t>
  </si>
  <si>
    <t>M.D.C. HOLDINGS, INC.</t>
  </si>
  <si>
    <t>MDC</t>
  </si>
  <si>
    <t>M/I HOMES, INC.</t>
  </si>
  <si>
    <t>MHO</t>
  </si>
  <si>
    <t>MACATAWA BANK CORP</t>
  </si>
  <si>
    <t>MCBC</t>
  </si>
  <si>
    <t>MACERICH CO</t>
  </si>
  <si>
    <t>MAC</t>
  </si>
  <si>
    <t>MACOM TECHNOLOGY SOLUTIONS HOLDINGS, INC.</t>
  </si>
  <si>
    <t>MTSI</t>
  </si>
  <si>
    <t>MACQUARIE INFRASTRUCTURE HOLDINGS, LLC</t>
  </si>
  <si>
    <t>MIC</t>
  </si>
  <si>
    <t>MACROGENICS INC</t>
  </si>
  <si>
    <t>MGNX</t>
  </si>
  <si>
    <t>MACY'S, INC.</t>
  </si>
  <si>
    <t>M</t>
  </si>
  <si>
    <t>MADISON SQUARE GARDEN ENTERTAINMENT CORP.</t>
  </si>
  <si>
    <t>MSGE</t>
  </si>
  <si>
    <t>MADISON SQUARE GARDEN SPORTS CORP.</t>
  </si>
  <si>
    <t>MSGS</t>
  </si>
  <si>
    <t>MAGELLAN MIDSTREAM PARTNERS, L.P.</t>
  </si>
  <si>
    <t>MMP</t>
  </si>
  <si>
    <t>MAGNA INTERNATIONAL INC</t>
  </si>
  <si>
    <t>MGA</t>
  </si>
  <si>
    <t>MAGNACHIP SEMICONDUCTOR CORP</t>
  </si>
  <si>
    <t>MX</t>
  </si>
  <si>
    <t>MAGNITE, INC.</t>
  </si>
  <si>
    <t>MGNI</t>
  </si>
  <si>
    <t>MAGNOLIA OIL &amp; GAS CORP</t>
  </si>
  <si>
    <t>MGY</t>
  </si>
  <si>
    <t>MAGYAR BANCORP, INC.</t>
  </si>
  <si>
    <t>MGYR</t>
  </si>
  <si>
    <t>MAIDEN HOLDINGS, LTD.</t>
  </si>
  <si>
    <t>MHLD</t>
  </si>
  <si>
    <t>MAINSTREET BANCSHARES, INC.</t>
  </si>
  <si>
    <t>MNSB</t>
  </si>
  <si>
    <t>MALIBU BOATS, INC.</t>
  </si>
  <si>
    <t>MBUU</t>
  </si>
  <si>
    <t>MALVERN BANCORP, INC.</t>
  </si>
  <si>
    <t>MLVF</t>
  </si>
  <si>
    <t>MAMAMANCINI'S HOLDINGS, INC.</t>
  </si>
  <si>
    <t>MMMB</t>
  </si>
  <si>
    <t>MAMMOTH ENERGY SERVICES, INC.</t>
  </si>
  <si>
    <t>TUSK</t>
  </si>
  <si>
    <t>MANDIANT, INC.</t>
  </si>
  <si>
    <t>MNDT</t>
  </si>
  <si>
    <t>MANHATTAN ASSOCIATES INC</t>
  </si>
  <si>
    <t>MANH</t>
  </si>
  <si>
    <t>MANHATTAN BRIDGE CAPITAL, INC</t>
  </si>
  <si>
    <t>LOAN</t>
  </si>
  <si>
    <t>MANITEX INTERNATIONAL, INC.</t>
  </si>
  <si>
    <t>MNTX</t>
  </si>
  <si>
    <t>MANITOWOC CO INC</t>
  </si>
  <si>
    <t>MTW</t>
  </si>
  <si>
    <t>MANNATECH INC</t>
  </si>
  <si>
    <t>MTEX</t>
  </si>
  <si>
    <t>MANNING &amp; NAPIER, INC.</t>
  </si>
  <si>
    <t>MN</t>
  </si>
  <si>
    <t>MANNKIND CORP</t>
  </si>
  <si>
    <t>MNKD</t>
  </si>
  <si>
    <t>MANPOWERGROUP INC.</t>
  </si>
  <si>
    <t>MAN</t>
  </si>
  <si>
    <t>MANTECH INTERNATIONAL CORP</t>
  </si>
  <si>
    <t>MANT</t>
  </si>
  <si>
    <t>MANUFACTURED HOUSING PROPERTIES INC.</t>
  </si>
  <si>
    <t>MHPC</t>
  </si>
  <si>
    <t>MARATHON DIGITAL HOLDINGS, INC.</t>
  </si>
  <si>
    <t>MARA</t>
  </si>
  <si>
    <t>MARATHON OIL CORP</t>
  </si>
  <si>
    <t>MRO</t>
  </si>
  <si>
    <t>MARATHON PETROLEUM CORP</t>
  </si>
  <si>
    <t>MPC</t>
  </si>
  <si>
    <t>MARAVAI LIFESCIENCES HOLDINGS, INC.</t>
  </si>
  <si>
    <t>MRVI</t>
  </si>
  <si>
    <t>MARCHEX INC</t>
  </si>
  <si>
    <t>MCHX</t>
  </si>
  <si>
    <t>MARCUS &amp; MILLICHAP, INC.</t>
  </si>
  <si>
    <t>MMI</t>
  </si>
  <si>
    <t>MARCUS CORP</t>
  </si>
  <si>
    <t>MCS</t>
  </si>
  <si>
    <t>MARIMED INC.</t>
  </si>
  <si>
    <t>MRMD</t>
  </si>
  <si>
    <t>MARIN SOFTWARE INC</t>
  </si>
  <si>
    <t>MRIN</t>
  </si>
  <si>
    <t>MARINE PRODUCTS CORP</t>
  </si>
  <si>
    <t>MPX</t>
  </si>
  <si>
    <t>MARINEMAX INC</t>
  </si>
  <si>
    <t>HZO</t>
  </si>
  <si>
    <t>MARINUS PHARMACEUTICALS INC</t>
  </si>
  <si>
    <t>MRNS</t>
  </si>
  <si>
    <t>MARIZYME INC</t>
  </si>
  <si>
    <t>MRZM</t>
  </si>
  <si>
    <t>MARKEL CORP</t>
  </si>
  <si>
    <t>MKL</t>
  </si>
  <si>
    <t>MARKER THERAPEUTICS, INC.</t>
  </si>
  <si>
    <t>MRKR</t>
  </si>
  <si>
    <t>MARKETAXESS HOLDINGS INC</t>
  </si>
  <si>
    <t>MKTX</t>
  </si>
  <si>
    <t>MARKETWISE, INC.</t>
  </si>
  <si>
    <t>MKTW</t>
  </si>
  <si>
    <t>MARKFORGED HOLDING CORP</t>
  </si>
  <si>
    <t>MKFG</t>
  </si>
  <si>
    <t>MARQETA, INC.</t>
  </si>
  <si>
    <t>MQ</t>
  </si>
  <si>
    <t>MARRIOTT INTERNATIONAL INC /MD/</t>
  </si>
  <si>
    <t>MAR</t>
  </si>
  <si>
    <t>MARRIOTT VACATIONS WORLDWIDE CORP</t>
  </si>
  <si>
    <t>VAC</t>
  </si>
  <si>
    <t>MARRONE BIO INNOVATIONS INC</t>
  </si>
  <si>
    <t>MBII</t>
  </si>
  <si>
    <t>MARSH &amp; MCLENNAN COMPANIES, INC.</t>
  </si>
  <si>
    <t>MMC</t>
  </si>
  <si>
    <t>MARTEN TRANSPORT LTD</t>
  </si>
  <si>
    <t>MRTN</t>
  </si>
  <si>
    <t>MARTIN MARIETTA MATERIALS INC</t>
  </si>
  <si>
    <t>MLM</t>
  </si>
  <si>
    <t>MARTIN MIDSTREAM PARTNERS L.P.</t>
  </si>
  <si>
    <t>MMLP</t>
  </si>
  <si>
    <t>MARVELL TECHNOLOGY, INC.</t>
  </si>
  <si>
    <t>MRVL</t>
  </si>
  <si>
    <t>MASCO CORP /DE/</t>
  </si>
  <si>
    <t>MAS</t>
  </si>
  <si>
    <t>MASIMO CORP</t>
  </si>
  <si>
    <t>MASI</t>
  </si>
  <si>
    <t>MASONITE INTERNATIONAL CORP</t>
  </si>
  <si>
    <t>DOOR</t>
  </si>
  <si>
    <t>MASTEC INC</t>
  </si>
  <si>
    <t>MTZ</t>
  </si>
  <si>
    <t>MASTECH DIGITAL, INC.</t>
  </si>
  <si>
    <t>MHH</t>
  </si>
  <si>
    <t>MASTERCARD INC</t>
  </si>
  <si>
    <t>MA</t>
  </si>
  <si>
    <t>MASTERCRAFT BOAT HOLDINGS, INC.</t>
  </si>
  <si>
    <t>MCFT</t>
  </si>
  <si>
    <t>MATADOR RESOURCES CO</t>
  </si>
  <si>
    <t>MTDR</t>
  </si>
  <si>
    <t>MATCH GROUP, INC.</t>
  </si>
  <si>
    <t>MTCH</t>
  </si>
  <si>
    <t>MATERION CORP</t>
  </si>
  <si>
    <t>MTRN</t>
  </si>
  <si>
    <t>MATINAS BIOPHARMA HOLDINGS, INC.</t>
  </si>
  <si>
    <t>MTNB</t>
  </si>
  <si>
    <t>MATRIX SERVICE CO</t>
  </si>
  <si>
    <t>MTRX</t>
  </si>
  <si>
    <t>MATSON, INC.</t>
  </si>
  <si>
    <t>MATX</t>
  </si>
  <si>
    <t>MATTEL INC /DE/</t>
  </si>
  <si>
    <t>MAT</t>
  </si>
  <si>
    <t>MATTERPORT, INC./DE</t>
  </si>
  <si>
    <t>MTTR</t>
  </si>
  <si>
    <t>MATTHEWS INTERNATIONAL CORP</t>
  </si>
  <si>
    <t>MATW</t>
  </si>
  <si>
    <t>MAUI LAND &amp; PINEAPPLE CO INC</t>
  </si>
  <si>
    <t>MLP</t>
  </si>
  <si>
    <t>MAXAR TECHNOLOGIES INC.</t>
  </si>
  <si>
    <t>MAXR</t>
  </si>
  <si>
    <t>MAXCYTE, INC.</t>
  </si>
  <si>
    <t>MXCT</t>
  </si>
  <si>
    <t>MAXEON SOLAR TECHNOLOGIES, LTD.</t>
  </si>
  <si>
    <t>MAXN</t>
  </si>
  <si>
    <t>MAXIMUS, INC.</t>
  </si>
  <si>
    <t>MMS</t>
  </si>
  <si>
    <t>MAXLINEAR INC</t>
  </si>
  <si>
    <t>MXL</t>
  </si>
  <si>
    <t>MAYS J W INC</t>
  </si>
  <si>
    <t>MAYS</t>
  </si>
  <si>
    <t>MAYVILLE ENGINEERING COMPANY, INC.</t>
  </si>
  <si>
    <t>MEC</t>
  </si>
  <si>
    <t>MBIA INC</t>
  </si>
  <si>
    <t>MBI</t>
  </si>
  <si>
    <t>MCCORMICK &amp; CO INC</t>
  </si>
  <si>
    <t>MKC</t>
  </si>
  <si>
    <t>MCDONALDS CORP</t>
  </si>
  <si>
    <t>MCD</t>
  </si>
  <si>
    <t>MCEWEN MINING INC.</t>
  </si>
  <si>
    <t>MUX</t>
  </si>
  <si>
    <t>MCGRATH RENTCORP</t>
  </si>
  <si>
    <t>MGRC</t>
  </si>
  <si>
    <t>MCKESSON CORP</t>
  </si>
  <si>
    <t>MCK</t>
  </si>
  <si>
    <t>MDU RESOURCES GROUP INC</t>
  </si>
  <si>
    <t>MDU</t>
  </si>
  <si>
    <t>MEDALIST DIVERSIFIED REIT, INC.</t>
  </si>
  <si>
    <t>MDRR</t>
  </si>
  <si>
    <t>MEDALLION FINANCIAL CORP</t>
  </si>
  <si>
    <t>MFIN</t>
  </si>
  <si>
    <t>MEDAVAIL HOLDINGS, INC.</t>
  </si>
  <si>
    <t>MDVL</t>
  </si>
  <si>
    <t>MEDIAALPHA, INC.</t>
  </si>
  <si>
    <t>MAX</t>
  </si>
  <si>
    <t>MEDIACO HOLDING INC.</t>
  </si>
  <si>
    <t>MDIA</t>
  </si>
  <si>
    <t>MEDICAL PROPERTIES TRUST INC</t>
  </si>
  <si>
    <t>MPW</t>
  </si>
  <si>
    <t>MEDICINE MAN TECHNOLOGIES, INC.</t>
  </si>
  <si>
    <t>SHWZ</t>
  </si>
  <si>
    <t>MEDIFAST INC</t>
  </si>
  <si>
    <t>MED</t>
  </si>
  <si>
    <t>MEDMEN ENTERPRISES, INC.</t>
  </si>
  <si>
    <t>MMNFF</t>
  </si>
  <si>
    <t>MEDNAX, INC.</t>
  </si>
  <si>
    <t>MD</t>
  </si>
  <si>
    <t>MEDPACE HOLDINGS, INC.</t>
  </si>
  <si>
    <t>MEDP</t>
  </si>
  <si>
    <t>MEDTRONIC PLC</t>
  </si>
  <si>
    <t>MDT</t>
  </si>
  <si>
    <t>MEI PHARMA, INC.</t>
  </si>
  <si>
    <t>MEIP</t>
  </si>
  <si>
    <t>MEIRAGTX HOLDINGS PLC</t>
  </si>
  <si>
    <t>MGTX</t>
  </si>
  <si>
    <t>MEIWU TECHNOLOGY CO LTD</t>
  </si>
  <si>
    <t>WNW</t>
  </si>
  <si>
    <t>MELCO RESORTS &amp; ENTERTAINMENT LTD</t>
  </si>
  <si>
    <t>MLCO</t>
  </si>
  <si>
    <t>MEMBERSHIP COLLECTIVE GROUP INC.</t>
  </si>
  <si>
    <t>MCG</t>
  </si>
  <si>
    <t>MERCADOLIBRE INC</t>
  </si>
  <si>
    <t>MELI</t>
  </si>
  <si>
    <t>MERCANTILE BANK CORP</t>
  </si>
  <si>
    <t>MBWM</t>
  </si>
  <si>
    <t>MERCER INTERNATIONAL INC.</t>
  </si>
  <si>
    <t>MERC</t>
  </si>
  <si>
    <t>MERCHANTS BANCORP</t>
  </si>
  <si>
    <t>MBIN</t>
  </si>
  <si>
    <t>MERCK &amp; CO., INC.</t>
  </si>
  <si>
    <t>MRK</t>
  </si>
  <si>
    <t>MERCURY GENERAL CORP</t>
  </si>
  <si>
    <t>MCY</t>
  </si>
  <si>
    <t>MERCURY SYSTEMS INC</t>
  </si>
  <si>
    <t>MRCY</t>
  </si>
  <si>
    <t>MERIDIAN BIOSCIENCE INC</t>
  </si>
  <si>
    <t>VIVO</t>
  </si>
  <si>
    <t>MERIDIAN CORP</t>
  </si>
  <si>
    <t>MRBK</t>
  </si>
  <si>
    <t>MERIDIANLINK, INC.</t>
  </si>
  <si>
    <t>MLNK</t>
  </si>
  <si>
    <t>MERIT MEDICAL SYSTEMS INC</t>
  </si>
  <si>
    <t>MMSI</t>
  </si>
  <si>
    <t>MERITOR, INC.</t>
  </si>
  <si>
    <t>MTOR</t>
  </si>
  <si>
    <t>MERSANA THERAPEUTICS, INC.</t>
  </si>
  <si>
    <t>MRSN</t>
  </si>
  <si>
    <t>MERUS N.V.</t>
  </si>
  <si>
    <t>MRUS</t>
  </si>
  <si>
    <t>MESA AIR GROUP INC</t>
  </si>
  <si>
    <t>MESA</t>
  </si>
  <si>
    <t>MESA LABORATORIES INC /CO/</t>
  </si>
  <si>
    <t>MLAB</t>
  </si>
  <si>
    <t>MESABI TRUST</t>
  </si>
  <si>
    <t>MSB</t>
  </si>
  <si>
    <t>META FINANCIAL GROUP INC</t>
  </si>
  <si>
    <t>CASH</t>
  </si>
  <si>
    <t>META MATERIALS INC.</t>
  </si>
  <si>
    <t>MMAT</t>
  </si>
  <si>
    <t>METEN HOLDING GROUP LTD.</t>
  </si>
  <si>
    <t>METX</t>
  </si>
  <si>
    <t>METHODE ELECTRONICS INC</t>
  </si>
  <si>
    <t>MEI</t>
  </si>
  <si>
    <t>METLIFE INC</t>
  </si>
  <si>
    <t>MET</t>
  </si>
  <si>
    <t>METROCITY BANKSHARES, INC.</t>
  </si>
  <si>
    <t>MCBS</t>
  </si>
  <si>
    <t>METROMILE, INC.</t>
  </si>
  <si>
    <t>MILE</t>
  </si>
  <si>
    <t>METROPOLITAN BANK HOLDING CORP.</t>
  </si>
  <si>
    <t>MCB</t>
  </si>
  <si>
    <t>METTLER TOLEDO INTERNATIONAL INC/</t>
  </si>
  <si>
    <t>MTD</t>
  </si>
  <si>
    <t>MEXCO ENERGY CORP</t>
  </si>
  <si>
    <t>MXC</t>
  </si>
  <si>
    <t>MFA FINANCIAL, INC.</t>
  </si>
  <si>
    <t>MFA</t>
  </si>
  <si>
    <t>MGE ENERGY INC</t>
  </si>
  <si>
    <t>MGEE</t>
  </si>
  <si>
    <t>MGIC INVESTMENT CORP</t>
  </si>
  <si>
    <t>MTG</t>
  </si>
  <si>
    <t>MGM RESORTS INTERNATIONAL</t>
  </si>
  <si>
    <t>MGM</t>
  </si>
  <si>
    <t>MGP INGREDIENTS INC</t>
  </si>
  <si>
    <t>MGPI</t>
  </si>
  <si>
    <t>MICROCHIP TECHNOLOGY INC</t>
  </si>
  <si>
    <t>MCHP</t>
  </si>
  <si>
    <t>MICRON TECHNOLOGY INC</t>
  </si>
  <si>
    <t>MU</t>
  </si>
  <si>
    <t>MICROPAC INDUSTRIES INC</t>
  </si>
  <si>
    <t>MPAD</t>
  </si>
  <si>
    <t>MICROSOFT CORP</t>
  </si>
  <si>
    <t>MSFT</t>
  </si>
  <si>
    <t>MICROSTRATEGY INC</t>
  </si>
  <si>
    <t>MSTR</t>
  </si>
  <si>
    <t>MICROVAST HOLDINGS, INC.</t>
  </si>
  <si>
    <t>MVST</t>
  </si>
  <si>
    <t>MICROVISION, INC.</t>
  </si>
  <si>
    <t>MVIS</t>
  </si>
  <si>
    <t>MICT, INC.</t>
  </si>
  <si>
    <t>MICT</t>
  </si>
  <si>
    <t>MID AMERICA APARTMENT COMMUNITIES INC.</t>
  </si>
  <si>
    <t>MAA</t>
  </si>
  <si>
    <t>MID PENN BANCORP INC</t>
  </si>
  <si>
    <t>MPB</t>
  </si>
  <si>
    <t>MID-SOUTHERN BANCORP, INC.</t>
  </si>
  <si>
    <t>MSVB</t>
  </si>
  <si>
    <t>MIDDLEBY CORP</t>
  </si>
  <si>
    <t>MIDD</t>
  </si>
  <si>
    <t>MIDDLEFIELD BANC CORP</t>
  </si>
  <si>
    <t>MBCN</t>
  </si>
  <si>
    <t>MIDDLESEX WATER CO</t>
  </si>
  <si>
    <t>MSEX</t>
  </si>
  <si>
    <t>MIDLAND STATES BANCORP, INC.</t>
  </si>
  <si>
    <t>MSBI</t>
  </si>
  <si>
    <t>MIDWEST HOLDING INC.</t>
  </si>
  <si>
    <t>MDWT</t>
  </si>
  <si>
    <t>MIDWESTONE FINANCIAL GROUP, INC.</t>
  </si>
  <si>
    <t>MOFG</t>
  </si>
  <si>
    <t>MILESTONE SCIENTIFIC INC.</t>
  </si>
  <si>
    <t>MLSS</t>
  </si>
  <si>
    <t>MILLER INDUSTRIES INC /TN/</t>
  </si>
  <si>
    <t>MLR</t>
  </si>
  <si>
    <t>MIMEDX GROUP, INC.</t>
  </si>
  <si>
    <t>MDXG</t>
  </si>
  <si>
    <t>MIND CTI LTD</t>
  </si>
  <si>
    <t>MNDO</t>
  </si>
  <si>
    <t>MIND TECHNOLOGY, INC</t>
  </si>
  <si>
    <t>MIND</t>
  </si>
  <si>
    <t>MINERALS TECHNOLOGIES INC</t>
  </si>
  <si>
    <t>MTX</t>
  </si>
  <si>
    <t>MINERVA SURGICAL INC</t>
  </si>
  <si>
    <t>UTRS</t>
  </si>
  <si>
    <t>MINGZHU LOGISTICS HOLDINGS LTD</t>
  </si>
  <si>
    <t>YGMZ</t>
  </si>
  <si>
    <t>MINIM, INC.</t>
  </si>
  <si>
    <t>MINM</t>
  </si>
  <si>
    <t>MIRATI THERAPEUTICS, INC.</t>
  </si>
  <si>
    <t>MRTX</t>
  </si>
  <si>
    <t>MISSION PRODUCE, INC.</t>
  </si>
  <si>
    <t>AVO</t>
  </si>
  <si>
    <t>MISTER CAR WASH, INC.</t>
  </si>
  <si>
    <t>MCW</t>
  </si>
  <si>
    <t>MISTRAS GROUP, INC.</t>
  </si>
  <si>
    <t>MG</t>
  </si>
  <si>
    <t>MITEK SYSTEMS INC</t>
  </si>
  <si>
    <t>MITK</t>
  </si>
  <si>
    <t>MIX TELEMATICS LTD</t>
  </si>
  <si>
    <t>MIXT</t>
  </si>
  <si>
    <t>MKS INSTRUMENTS INC</t>
  </si>
  <si>
    <t>MKSI</t>
  </si>
  <si>
    <t>MODEL N, INC.</t>
  </si>
  <si>
    <t>MODN</t>
  </si>
  <si>
    <t>MODERNA, INC.</t>
  </si>
  <si>
    <t>MRNA</t>
  </si>
  <si>
    <t>MODINE MANUFACTURING CO</t>
  </si>
  <si>
    <t>MOD</t>
  </si>
  <si>
    <t>MODIVCARE INC</t>
  </si>
  <si>
    <t>MODV</t>
  </si>
  <si>
    <t>MOELIS &amp; CO</t>
  </si>
  <si>
    <t>MC</t>
  </si>
  <si>
    <t>MOGU INC.</t>
  </si>
  <si>
    <t>MOGU</t>
  </si>
  <si>
    <t>MOHAWK INDUSTRIES INC</t>
  </si>
  <si>
    <t>MHK</t>
  </si>
  <si>
    <t>MOLECULAR DATA INC.</t>
  </si>
  <si>
    <t>MKD</t>
  </si>
  <si>
    <t>MOLECULIN BIOTECH, INC.</t>
  </si>
  <si>
    <t>MBRX</t>
  </si>
  <si>
    <t>MOLINA HEALTHCARE, INC.</t>
  </si>
  <si>
    <t>MOH</t>
  </si>
  <si>
    <t>MOLSON COORS BEVERAGE CO</t>
  </si>
  <si>
    <t>TAP</t>
  </si>
  <si>
    <t>MOMENTIVE GLOBAL INC.</t>
  </si>
  <si>
    <t>MNTV</t>
  </si>
  <si>
    <t>MOMENTUS INC.</t>
  </si>
  <si>
    <t>MNTS</t>
  </si>
  <si>
    <t>MONARCH CASINO &amp; RESORT INC</t>
  </si>
  <si>
    <t>MCRI</t>
  </si>
  <si>
    <t>MONDAY.COM LTD.</t>
  </si>
  <si>
    <t>MNDY</t>
  </si>
  <si>
    <t>MONDELEZ INTERNATIONAL, INC.</t>
  </si>
  <si>
    <t>MDLZ</t>
  </si>
  <si>
    <t>MONEYGRAM INTERNATIONAL INC</t>
  </si>
  <si>
    <t>MGI</t>
  </si>
  <si>
    <t>MONEYLION INC.</t>
  </si>
  <si>
    <t>ML</t>
  </si>
  <si>
    <t>MONGODB, INC.</t>
  </si>
  <si>
    <t>MDB</t>
  </si>
  <si>
    <t>MONOLITHIC POWER SYSTEMS INC</t>
  </si>
  <si>
    <t>MPWR</t>
  </si>
  <si>
    <t>MONOPAR THERAPEUTICS</t>
  </si>
  <si>
    <t>MNPR</t>
  </si>
  <si>
    <t>MONRO, INC.</t>
  </si>
  <si>
    <t>MNRO</t>
  </si>
  <si>
    <t>MONSTER BEVERAGE CORP</t>
  </si>
  <si>
    <t>MNST</t>
  </si>
  <si>
    <t>MONTAUK RENEWABLES, INC.</t>
  </si>
  <si>
    <t>MNTK</t>
  </si>
  <si>
    <t>MONTROSE ENVIRONMENTAL GROUP, INC.</t>
  </si>
  <si>
    <t>MEG</t>
  </si>
  <si>
    <t>MOODYS CORP /DE/</t>
  </si>
  <si>
    <t>MCO</t>
  </si>
  <si>
    <t>MOOG INC.</t>
  </si>
  <si>
    <t>MOG-A</t>
  </si>
  <si>
    <t>MORGAN STANLEY</t>
  </si>
  <si>
    <t>MS</t>
  </si>
  <si>
    <t>MORNINGSTAR, INC.</t>
  </si>
  <si>
    <t>MORN</t>
  </si>
  <si>
    <t>MORPHIC HOLDING, INC.</t>
  </si>
  <si>
    <t>MORF</t>
  </si>
  <si>
    <t>MOSAIC CO</t>
  </si>
  <si>
    <t>MOS</t>
  </si>
  <si>
    <t>MOTORCAR PARTS AMERICA INC</t>
  </si>
  <si>
    <t>MPAA</t>
  </si>
  <si>
    <t>MOTOROLA SOLUTIONS, INC.</t>
  </si>
  <si>
    <t>MSI</t>
  </si>
  <si>
    <t>MOTUS GI HOLDINGS, INC.</t>
  </si>
  <si>
    <t>MOTS</t>
  </si>
  <si>
    <t>MOVADO GROUP INC</t>
  </si>
  <si>
    <t>MOV</t>
  </si>
  <si>
    <t>MP MATERIALS CORP. / DE</t>
  </si>
  <si>
    <t>MP</t>
  </si>
  <si>
    <t>MPLX LP</t>
  </si>
  <si>
    <t>MPLX</t>
  </si>
  <si>
    <t>MR. COOPER GROUP INC.</t>
  </si>
  <si>
    <t>COOP</t>
  </si>
  <si>
    <t>MRC GLOBAL INC.</t>
  </si>
  <si>
    <t>MRC</t>
  </si>
  <si>
    <t>MSA SAFETY INC</t>
  </si>
  <si>
    <t>MSA</t>
  </si>
  <si>
    <t>MSC INDUSTRIAL DIRECT CO INC</t>
  </si>
  <si>
    <t>MSM</t>
  </si>
  <si>
    <t>MSCI INC.</t>
  </si>
  <si>
    <t>MSCI</t>
  </si>
  <si>
    <t>MUELLER INDUSTRIES INC</t>
  </si>
  <si>
    <t>MLI</t>
  </si>
  <si>
    <t>MUELLER WATER PRODUCTS, INC.</t>
  </si>
  <si>
    <t>MWA</t>
  </si>
  <si>
    <t>MULIANG VIAGOO TECHNOLOGY, INC.</t>
  </si>
  <si>
    <t>MULG</t>
  </si>
  <si>
    <t>MULTIPLAN CORP</t>
  </si>
  <si>
    <t>MPLN</t>
  </si>
  <si>
    <t>MURPHY OIL CORP</t>
  </si>
  <si>
    <t>MUR</t>
  </si>
  <si>
    <t>MURPHY USA INC.</t>
  </si>
  <si>
    <t>MUSA</t>
  </si>
  <si>
    <t>MVB FINANCIAL CORP</t>
  </si>
  <si>
    <t>MVBF</t>
  </si>
  <si>
    <t>MYERS INDUSTRIES INC</t>
  </si>
  <si>
    <t>MYE</t>
  </si>
  <si>
    <t>MYOMO, INC.</t>
  </si>
  <si>
    <t>MYO</t>
  </si>
  <si>
    <t>MYOVANT SCIENCES LTD.</t>
  </si>
  <si>
    <t>MYOV</t>
  </si>
  <si>
    <t>MYR GROUP INC.</t>
  </si>
  <si>
    <t>MYRG</t>
  </si>
  <si>
    <t>MYRIAD GENETICS INC</t>
  </si>
  <si>
    <t>MYGN</t>
  </si>
  <si>
    <t>N-ABLE, INC.</t>
  </si>
  <si>
    <t>NABL</t>
  </si>
  <si>
    <t>NABORS INDUSTRIES LTD</t>
  </si>
  <si>
    <t>NBR</t>
  </si>
  <si>
    <t>NACCO INDUSTRIES INC</t>
  </si>
  <si>
    <t>NC</t>
  </si>
  <si>
    <t>NAM TAI PROPERTY INC.</t>
  </si>
  <si>
    <t>NTP</t>
  </si>
  <si>
    <t>NANOPHASE TECHNOLOGIES CORP</t>
  </si>
  <si>
    <t>NANX</t>
  </si>
  <si>
    <t>NANOSTRING TECHNOLOGIES INC</t>
  </si>
  <si>
    <t>NSTG</t>
  </si>
  <si>
    <t>NANTHEALTH, INC.</t>
  </si>
  <si>
    <t>NH</t>
  </si>
  <si>
    <t>NAPCO SECURITY TECHNOLOGIES, INC</t>
  </si>
  <si>
    <t>NSSC</t>
  </si>
  <si>
    <t>NASDAQ, INC.</t>
  </si>
  <si>
    <t>NDAQ</t>
  </si>
  <si>
    <t>NATERA, INC.</t>
  </si>
  <si>
    <t>NTRA</t>
  </si>
  <si>
    <t>NATHANS FAMOUS, INC.</t>
  </si>
  <si>
    <t>NATH</t>
  </si>
  <si>
    <t>NATIONAL BANK HOLDINGS CORP</t>
  </si>
  <si>
    <t>NBHC</t>
  </si>
  <si>
    <t>NATIONAL BANKSHARES INC</t>
  </si>
  <si>
    <t>NKSH</t>
  </si>
  <si>
    <t>NATIONAL BEVERAGE CORP</t>
  </si>
  <si>
    <t>FIZZ</t>
  </si>
  <si>
    <t>NATIONAL CINEMEDIA, INC.</t>
  </si>
  <si>
    <t>NCMI</t>
  </si>
  <si>
    <t>NATIONAL FUEL GAS CO</t>
  </si>
  <si>
    <t>NFG</t>
  </si>
  <si>
    <t>NATIONAL HEALTH INVESTORS INC</t>
  </si>
  <si>
    <t>NHI</t>
  </si>
  <si>
    <t>NATIONAL HEALTHCARE CORP</t>
  </si>
  <si>
    <t>NHC</t>
  </si>
  <si>
    <t>NATIONAL INSTRUMENTS CORP</t>
  </si>
  <si>
    <t>NATI</t>
  </si>
  <si>
    <t>NATIONAL PRESTO INDUSTRIES INC</t>
  </si>
  <si>
    <t>NPK</t>
  </si>
  <si>
    <t>NATIONAL RESEARCH CORP</t>
  </si>
  <si>
    <t>NRC</t>
  </si>
  <si>
    <t>NATIONAL RETAIL PROPERTIES, INC.</t>
  </si>
  <si>
    <t>NNN</t>
  </si>
  <si>
    <t>NATIONAL STORAGE AFFILIATES TRUST</t>
  </si>
  <si>
    <t>NSA</t>
  </si>
  <si>
    <t>NATIONAL VISION HOLDINGS, INC.</t>
  </si>
  <si>
    <t>EYE</t>
  </si>
  <si>
    <t>NATIONAL WESTERN LIFE GROUP, INC.</t>
  </si>
  <si>
    <t>NWLI</t>
  </si>
  <si>
    <t>NATURAL ALTERNATIVES INTERNATIONAL INC</t>
  </si>
  <si>
    <t>NAII</t>
  </si>
  <si>
    <t>NATURAL GAS SERVICES GROUP INC</t>
  </si>
  <si>
    <t>NGS</t>
  </si>
  <si>
    <t>NATURAL GROCERS BY VITAMIN COTTAGE, INC.</t>
  </si>
  <si>
    <t>NGVC</t>
  </si>
  <si>
    <t>NATURAL HEALTH TRENDS CORP</t>
  </si>
  <si>
    <t>NHTC</t>
  </si>
  <si>
    <t>NATURAL RESOURCE PARTNERS LP</t>
  </si>
  <si>
    <t>NRP</t>
  </si>
  <si>
    <t>NATURES SUNSHINE PRODUCTS INC</t>
  </si>
  <si>
    <t>NATR</t>
  </si>
  <si>
    <t>NATUS MEDICAL INC</t>
  </si>
  <si>
    <t>NTUS</t>
  </si>
  <si>
    <t>NAVIENT CORP</t>
  </si>
  <si>
    <t>NAVI</t>
  </si>
  <si>
    <t>NAVIGATOR HOLDINGS LTD.</t>
  </si>
  <si>
    <t>NVGS</t>
  </si>
  <si>
    <t>NAVIOS MARITIME HOLDINGS INC.</t>
  </si>
  <si>
    <t>NM</t>
  </si>
  <si>
    <t>NAVIOS MARITIME PARTNERS L.P.</t>
  </si>
  <si>
    <t>NMM</t>
  </si>
  <si>
    <t>NAVITAS SEMICONDUCTOR CORP</t>
  </si>
  <si>
    <t>NVTS</t>
  </si>
  <si>
    <t>NBT BANCORP INC</t>
  </si>
  <si>
    <t>NBTB</t>
  </si>
  <si>
    <t>NCINO, INC.</t>
  </si>
  <si>
    <t>NCNO</t>
  </si>
  <si>
    <t>NCR CORP</t>
  </si>
  <si>
    <t>NCR</t>
  </si>
  <si>
    <t>NCS MULTISTAGE HOLDINGS, INC.</t>
  </si>
  <si>
    <t>NCSM</t>
  </si>
  <si>
    <t>NEENAH INC</t>
  </si>
  <si>
    <t>NP</t>
  </si>
  <si>
    <t>NEKTAR THERAPEUTICS</t>
  </si>
  <si>
    <t>NKTR</t>
  </si>
  <si>
    <t>NELNET INC</t>
  </si>
  <si>
    <t>NNI</t>
  </si>
  <si>
    <t>NEOGEN CORP</t>
  </si>
  <si>
    <t>NEOG</t>
  </si>
  <si>
    <t>NEOGENOMICS INC</t>
  </si>
  <si>
    <t>NEO</t>
  </si>
  <si>
    <t>NEONODE INC.</t>
  </si>
  <si>
    <t>NEON</t>
  </si>
  <si>
    <t>NEOPHOTONICS CORP</t>
  </si>
  <si>
    <t>NPTN</t>
  </si>
  <si>
    <t>NEPHROS INC</t>
  </si>
  <si>
    <t>NEPH</t>
  </si>
  <si>
    <t>NERDWALLET, INC.</t>
  </si>
  <si>
    <t>NRDS</t>
  </si>
  <si>
    <t>NERDY INC.</t>
  </si>
  <si>
    <t>NRDY</t>
  </si>
  <si>
    <t>NET ELEMENT, INC.</t>
  </si>
  <si>
    <t>MULN</t>
  </si>
  <si>
    <t>NETAPP, INC.</t>
  </si>
  <si>
    <t>NTAP</t>
  </si>
  <si>
    <t>NETEASE, INC.</t>
  </si>
  <si>
    <t>NTES</t>
  </si>
  <si>
    <t>NETFLIX INC</t>
  </si>
  <si>
    <t>NFLX</t>
  </si>
  <si>
    <t>NETGEAR, INC.</t>
  </si>
  <si>
    <t>NTGR</t>
  </si>
  <si>
    <t>NETLIST INC</t>
  </si>
  <si>
    <t>NLST</t>
  </si>
  <si>
    <t>NETSCOUT SYSTEMS INC</t>
  </si>
  <si>
    <t>NTCT</t>
  </si>
  <si>
    <t>NETSOL TECHNOLOGIES INC</t>
  </si>
  <si>
    <t>NTWK</t>
  </si>
  <si>
    <t>NETWORK-1 TECHNOLOGIES, INC.</t>
  </si>
  <si>
    <t>NTIP</t>
  </si>
  <si>
    <t>NEUROBO PHARMACEUTICALS, INC.</t>
  </si>
  <si>
    <t>NRBO</t>
  </si>
  <si>
    <t>NEUROCRINE BIOSCIENCES INC</t>
  </si>
  <si>
    <t>NBIX</t>
  </si>
  <si>
    <t>NEURONETICS, INC.</t>
  </si>
  <si>
    <t>STIM</t>
  </si>
  <si>
    <t>NEUROPACE INC</t>
  </si>
  <si>
    <t>NPCE</t>
  </si>
  <si>
    <t>NEVRO CORP</t>
  </si>
  <si>
    <t>NVRO</t>
  </si>
  <si>
    <t>NEW ENGLAND REALTY ASSOCIATES LIMITED PARTNERSHIP</t>
  </si>
  <si>
    <t>NEN</t>
  </si>
  <si>
    <t>NEW FORTRESS ENERGY INC.</t>
  </si>
  <si>
    <t>NFE</t>
  </si>
  <si>
    <t>NEW JERSEY RESOURCES CORP</t>
  </si>
  <si>
    <t>NJR</t>
  </si>
  <si>
    <t>NEW ORIENTAL EDUCATION &amp; TECHNOLOGY GROUP INC.</t>
  </si>
  <si>
    <t>EDU</t>
  </si>
  <si>
    <t>NEW PEOPLES BANKSHARES INC</t>
  </si>
  <si>
    <t>NWPP</t>
  </si>
  <si>
    <t>NEW RELIC, INC.</t>
  </si>
  <si>
    <t>NEWR</t>
  </si>
  <si>
    <t>NEW RESIDENTIAL INVESTMENT CORP.</t>
  </si>
  <si>
    <t>NRZ</t>
  </si>
  <si>
    <t>NEW YORK COMMUNITY BANCORP INC</t>
  </si>
  <si>
    <t>NYCB</t>
  </si>
  <si>
    <t>NEW YORK MORTGAGE TRUST INC</t>
  </si>
  <si>
    <t>NYMT</t>
  </si>
  <si>
    <t>NEW YORK TIMES CO</t>
  </si>
  <si>
    <t>NYT</t>
  </si>
  <si>
    <t>NEWAGE, INC.</t>
  </si>
  <si>
    <t>NBEV</t>
  </si>
  <si>
    <t>NEWEGG COMMERCE, INC.</t>
  </si>
  <si>
    <t>NEGG</t>
  </si>
  <si>
    <t>NEWELL BRANDS INC.</t>
  </si>
  <si>
    <t>NWL</t>
  </si>
  <si>
    <t>NEWLAKE CAPITAL PARTNERS, INC.</t>
  </si>
  <si>
    <t>NLCP</t>
  </si>
  <si>
    <t>NEWMARK GROUP, INC.</t>
  </si>
  <si>
    <t>NMRK</t>
  </si>
  <si>
    <t>NEWMARKET CORP</t>
  </si>
  <si>
    <t>NEU</t>
  </si>
  <si>
    <t>NEWMONT CORP /DE/</t>
  </si>
  <si>
    <t>NEM</t>
  </si>
  <si>
    <t>NEWPARK RESOURCES INC</t>
  </si>
  <si>
    <t>NR</t>
  </si>
  <si>
    <t>NEWS CORP</t>
  </si>
  <si>
    <t>NWSA</t>
  </si>
  <si>
    <t>NEXPOINT REAL ESTATE FINANCE, INC.</t>
  </si>
  <si>
    <t>NREF</t>
  </si>
  <si>
    <t>NEXPOINT RESIDENTIAL TRUST, INC.</t>
  </si>
  <si>
    <t>NXRT</t>
  </si>
  <si>
    <t>NEXSTAR MEDIA GROUP, INC.</t>
  </si>
  <si>
    <t>NXST</t>
  </si>
  <si>
    <t>NEXTCURE, INC.</t>
  </si>
  <si>
    <t>NXTC</t>
  </si>
  <si>
    <t>NEXTDOOR HOLDINGS, INC.</t>
  </si>
  <si>
    <t>KIND</t>
  </si>
  <si>
    <t>NEXTERA ENERGY INC</t>
  </si>
  <si>
    <t>NEE</t>
  </si>
  <si>
    <t>NEXTERA ENERGY PARTNERS, LP</t>
  </si>
  <si>
    <t>NEP</t>
  </si>
  <si>
    <t>NEXTGEN HEALTHCARE, INC.</t>
  </si>
  <si>
    <t>NXGN</t>
  </si>
  <si>
    <t>NEXTIER OILFIELD SOLUTIONS INC.</t>
  </si>
  <si>
    <t>NEX</t>
  </si>
  <si>
    <t>NEXTNAV INC.</t>
  </si>
  <si>
    <t>NN</t>
  </si>
  <si>
    <t>NEXTPLAY TECHNOLOGIES INC.</t>
  </si>
  <si>
    <t>NXTP</t>
  </si>
  <si>
    <t>NGL ENERGY PARTNERS LP</t>
  </si>
  <si>
    <t>NGL</t>
  </si>
  <si>
    <t>NGM BIOPHARMACEUTICALS INC</t>
  </si>
  <si>
    <t>NGM</t>
  </si>
  <si>
    <t>NI HOLDINGS, INC.</t>
  </si>
  <si>
    <t>NODK</t>
  </si>
  <si>
    <t>NICE LTD.</t>
  </si>
  <si>
    <t>NICE</t>
  </si>
  <si>
    <t>NICHOLAS FINANCIAL INC</t>
  </si>
  <si>
    <t>NICK</t>
  </si>
  <si>
    <t>NIELSEN HOLDINGS PLC</t>
  </si>
  <si>
    <t>NLSN</t>
  </si>
  <si>
    <t>NIKE, INC.</t>
  </si>
  <si>
    <t>NKE</t>
  </si>
  <si>
    <t>NIKOLA CORP</t>
  </si>
  <si>
    <t>NKLA</t>
  </si>
  <si>
    <t>NINE ENERGY SERVICE, INC.</t>
  </si>
  <si>
    <t>NINE</t>
  </si>
  <si>
    <t>NIO INC.</t>
  </si>
  <si>
    <t>NIO</t>
  </si>
  <si>
    <t>NISOURCE INC.</t>
  </si>
  <si>
    <t>NI</t>
  </si>
  <si>
    <t>NISUN INTERNATIONAL ENTERPRISE DEVELOPMENT GROUP CO., LTD</t>
  </si>
  <si>
    <t>NISN</t>
  </si>
  <si>
    <t>NIU TECHNOLOGIES</t>
  </si>
  <si>
    <t>NIU</t>
  </si>
  <si>
    <t>NL INDUSTRIES INC</t>
  </si>
  <si>
    <t>NL</t>
  </si>
  <si>
    <t>NLIGHT, INC.</t>
  </si>
  <si>
    <t>LASR</t>
  </si>
  <si>
    <t>NMI HOLDINGS, INC.</t>
  </si>
  <si>
    <t>NMIH</t>
  </si>
  <si>
    <t>NN INC</t>
  </si>
  <si>
    <t>NNBR</t>
  </si>
  <si>
    <t>NOAH HOLDINGS LTD</t>
  </si>
  <si>
    <t>NOAH</t>
  </si>
  <si>
    <t>NOBILITY HOMES INC</t>
  </si>
  <si>
    <t>NOBH</t>
  </si>
  <si>
    <t>NOBLE CORP</t>
  </si>
  <si>
    <t>NE</t>
  </si>
  <si>
    <t>NOBLE VICI GROUP, INC.</t>
  </si>
  <si>
    <t>NVGI</t>
  </si>
  <si>
    <t>NOODLES &amp; CO</t>
  </si>
  <si>
    <t>NDLS</t>
  </si>
  <si>
    <t>NORDIC AMERICAN TANKERS LTD</t>
  </si>
  <si>
    <t>NAT</t>
  </si>
  <si>
    <t>NORDSON CORP</t>
  </si>
  <si>
    <t>NDSN</t>
  </si>
  <si>
    <t>NORFOLK SOUTHERN CORP</t>
  </si>
  <si>
    <t>NSC</t>
  </si>
  <si>
    <t>NORTECH SYSTEMS INC</t>
  </si>
  <si>
    <t>NSYS</t>
  </si>
  <si>
    <t>NORTHEAST COMMUNITY BANCORP, INC./MD/</t>
  </si>
  <si>
    <t>NECB</t>
  </si>
  <si>
    <t>NORTHERN OIL &amp; GAS, INC.</t>
  </si>
  <si>
    <t>NOG</t>
  </si>
  <si>
    <t>NORTHERN TECHNOLOGIES INTERNATIONAL CORP</t>
  </si>
  <si>
    <t>NTIC</t>
  </si>
  <si>
    <t>NORTHERN TRUST CORP</t>
  </si>
  <si>
    <t>NTRS</t>
  </si>
  <si>
    <t>NORTHFIELD BANCORP, INC.</t>
  </si>
  <si>
    <t>NFBK</t>
  </si>
  <si>
    <t>NORTHRIM BANCORP INC</t>
  </si>
  <si>
    <t>NRIM</t>
  </si>
  <si>
    <t>NORTHROP GRUMMAN CORP /DE/</t>
  </si>
  <si>
    <t>NOC</t>
  </si>
  <si>
    <t>NORTHSTAR HEALTHCARE INCOME, INC.</t>
  </si>
  <si>
    <t>NHHS</t>
  </si>
  <si>
    <t>NORTHWEST BANCSHARES, INC.</t>
  </si>
  <si>
    <t>NWBI</t>
  </si>
  <si>
    <t>NORTHWEST BIOTHERAPEUTICS INC</t>
  </si>
  <si>
    <t>NWBO</t>
  </si>
  <si>
    <t>NORTHWEST NATURAL HOLDING CO</t>
  </si>
  <si>
    <t>NWN</t>
  </si>
  <si>
    <t>NORTHWEST PIPE CO</t>
  </si>
  <si>
    <t>NWPX</t>
  </si>
  <si>
    <t>NORTHWESTERN CORP</t>
  </si>
  <si>
    <t>NWE</t>
  </si>
  <si>
    <t>NORTONLIFELOCK INC.</t>
  </si>
  <si>
    <t>NLOK</t>
  </si>
  <si>
    <t>NORWEGIAN CRUISE LINE HOLDINGS LTD.</t>
  </si>
  <si>
    <t>NCLH</t>
  </si>
  <si>
    <t>NORWOOD FINANCIAL CORP</t>
  </si>
  <si>
    <t>NWFL</t>
  </si>
  <si>
    <t>NOV INC.</t>
  </si>
  <si>
    <t>NOV</t>
  </si>
  <si>
    <t>NOVA LTD.</t>
  </si>
  <si>
    <t>NVMI</t>
  </si>
  <si>
    <t>NOVABAY PHARMACEUTICALS, INC.</t>
  </si>
  <si>
    <t>NBY</t>
  </si>
  <si>
    <t>NOVAN, INC.</t>
  </si>
  <si>
    <t>NOVN</t>
  </si>
  <si>
    <t>NOVANTA INC</t>
  </si>
  <si>
    <t>NOVT</t>
  </si>
  <si>
    <t>NOVAVAX INC</t>
  </si>
  <si>
    <t>NVAX</t>
  </si>
  <si>
    <t>NOVO INTEGRATED SCIENCES, INC.</t>
  </si>
  <si>
    <t>NVOS</t>
  </si>
  <si>
    <t>NOVOCURE LTD</t>
  </si>
  <si>
    <t>NVCR</t>
  </si>
  <si>
    <t>NOW INC.</t>
  </si>
  <si>
    <t>DNOW</t>
  </si>
  <si>
    <t>NRG ENERGY, INC.</t>
  </si>
  <si>
    <t>NRG</t>
  </si>
  <si>
    <t>NU SKIN ENTERPRISES, INC.</t>
  </si>
  <si>
    <t>NUS</t>
  </si>
  <si>
    <t>NUCOR CORP</t>
  </si>
  <si>
    <t>NUE</t>
  </si>
  <si>
    <t>NURIX THERAPEUTICS, INC.</t>
  </si>
  <si>
    <t>NRIX</t>
  </si>
  <si>
    <t>NUSTAR ENERGY L.P.</t>
  </si>
  <si>
    <t>NS</t>
  </si>
  <si>
    <t>NUTANIX, INC.</t>
  </si>
  <si>
    <t>NTNX</t>
  </si>
  <si>
    <t>NUVASIVE INC</t>
  </si>
  <si>
    <t>NUVA</t>
  </si>
  <si>
    <t>NUVERA COMMUNICATIONS, INC.</t>
  </si>
  <si>
    <t>NUVR</t>
  </si>
  <si>
    <t>NV5 GLOBAL, INC.</t>
  </si>
  <si>
    <t>NVEE</t>
  </si>
  <si>
    <t>NVE CORP /NEW/</t>
  </si>
  <si>
    <t>NVEC</t>
  </si>
  <si>
    <t>NVENT ELECTRIC PLC</t>
  </si>
  <si>
    <t>NVT</t>
  </si>
  <si>
    <t>NVIDIA CORP</t>
  </si>
  <si>
    <t>NVDA</t>
  </si>
  <si>
    <t>NVR INC</t>
  </si>
  <si>
    <t>NVR</t>
  </si>
  <si>
    <t>NXP SEMICONDUCTORS N.V.</t>
  </si>
  <si>
    <t>NXPI</t>
  </si>
  <si>
    <t>NXT ENERGY SOLUTIONS INC.</t>
  </si>
  <si>
    <t>NSFDF</t>
  </si>
  <si>
    <t>O REILLY AUTOMOTIVE INC</t>
  </si>
  <si>
    <t>ORLY</t>
  </si>
  <si>
    <t>O-I GLASS, INC. /DE/</t>
  </si>
  <si>
    <t>OI</t>
  </si>
  <si>
    <t>O2MICRO INTERNATIONAL LTD</t>
  </si>
  <si>
    <t>OIIM</t>
  </si>
  <si>
    <t>OAK VALLEY BANCORP</t>
  </si>
  <si>
    <t>OVLY</t>
  </si>
  <si>
    <t>OCCIDENTAL PETROLEUM CORP /DE/</t>
  </si>
  <si>
    <t>OXY</t>
  </si>
  <si>
    <t>OCEAN BIO CHEM INC</t>
  </si>
  <si>
    <t>OBCI</t>
  </si>
  <si>
    <t>OCEAN POWER TECHNOLOGIES, INC.</t>
  </si>
  <si>
    <t>OPTT</t>
  </si>
  <si>
    <t>OCEANEERING INTERNATIONAL INC</t>
  </si>
  <si>
    <t>OII</t>
  </si>
  <si>
    <t>OCEANFIRST FINANCIAL CORP</t>
  </si>
  <si>
    <t>OCFC</t>
  </si>
  <si>
    <t>OCONEE FEDERAL FINANCIAL CORP.</t>
  </si>
  <si>
    <t>OFED</t>
  </si>
  <si>
    <t>OCULAR THERAPEUTIX, INC</t>
  </si>
  <si>
    <t>OCUL</t>
  </si>
  <si>
    <t>OCWEN FINANCIAL CORP</t>
  </si>
  <si>
    <t>OCN</t>
  </si>
  <si>
    <t>ODP CORP</t>
  </si>
  <si>
    <t>ODP</t>
  </si>
  <si>
    <t>OFFERPAD SOLUTIONS INC.</t>
  </si>
  <si>
    <t>OPAD</t>
  </si>
  <si>
    <t>OFG BANCORP</t>
  </si>
  <si>
    <t>OFG</t>
  </si>
  <si>
    <t>OGE ENERGY CORP.</t>
  </si>
  <si>
    <t>OGE</t>
  </si>
  <si>
    <t>OHIO VALLEY BANC CORP</t>
  </si>
  <si>
    <t>OVBC</t>
  </si>
  <si>
    <t>OIL STATES INTERNATIONAL, INC</t>
  </si>
  <si>
    <t>OIS</t>
  </si>
  <si>
    <t>OIL-DRI CORP OF AMERICA</t>
  </si>
  <si>
    <t>ODC</t>
  </si>
  <si>
    <t>OKTA, INC.</t>
  </si>
  <si>
    <t>OKTA</t>
  </si>
  <si>
    <t>OLAPLEX HOLDINGS, INC.</t>
  </si>
  <si>
    <t>OLPX</t>
  </si>
  <si>
    <t>OLD DOMINION FREIGHT LINE, INC.</t>
  </si>
  <si>
    <t>ODFL</t>
  </si>
  <si>
    <t>OLD NATIONAL BANCORP /IN/</t>
  </si>
  <si>
    <t>ONB</t>
  </si>
  <si>
    <t>OLD POINT FINANCIAL CORP</t>
  </si>
  <si>
    <t>OPOF</t>
  </si>
  <si>
    <t>OLD REPUBLIC INTERNATIONAL CORP</t>
  </si>
  <si>
    <t>ORI</t>
  </si>
  <si>
    <t>OLD SECOND BANCORP INC</t>
  </si>
  <si>
    <t>OSBC</t>
  </si>
  <si>
    <t>OLIN CORP</t>
  </si>
  <si>
    <t>OLN</t>
  </si>
  <si>
    <t>OLLIE'S BARGAIN OUTLET HOLDINGS, INC.</t>
  </si>
  <si>
    <t>OLLI</t>
  </si>
  <si>
    <t>OLO INC.</t>
  </si>
  <si>
    <t>OLO</t>
  </si>
  <si>
    <t>OLYMPIC STEEL INC</t>
  </si>
  <si>
    <t>ZEUS</t>
  </si>
  <si>
    <t>OMEGA FLEX, INC.</t>
  </si>
  <si>
    <t>OFLX</t>
  </si>
  <si>
    <t>OMEGA HEALTHCARE INVESTORS INC</t>
  </si>
  <si>
    <t>OHI</t>
  </si>
  <si>
    <t>OMEROS CORP</t>
  </si>
  <si>
    <t>OMER</t>
  </si>
  <si>
    <t>OMNICOM GROUP INC.</t>
  </si>
  <si>
    <t>OMC</t>
  </si>
  <si>
    <t>OMNIQ CORP.</t>
  </si>
  <si>
    <t>OMQS</t>
  </si>
  <si>
    <t>ON SEMICONDUCTOR CORP</t>
  </si>
  <si>
    <t>ON</t>
  </si>
  <si>
    <t>ON24 INC.</t>
  </si>
  <si>
    <t>ONTF</t>
  </si>
  <si>
    <t>ONCOCYTE CORP</t>
  </si>
  <si>
    <t>OCX</t>
  </si>
  <si>
    <t>ONCOLOGY INSTITUTE, INC.</t>
  </si>
  <si>
    <t>TOI</t>
  </si>
  <si>
    <t>ONCONOVA THERAPEUTICS, INC.</t>
  </si>
  <si>
    <t>ONTX</t>
  </si>
  <si>
    <t>ONCTERNAL THERAPEUTICS, INC.</t>
  </si>
  <si>
    <t>ONCT</t>
  </si>
  <si>
    <t>ONDAS HOLDINGS INC.</t>
  </si>
  <si>
    <t>ONDS</t>
  </si>
  <si>
    <t>ONE GAS, INC.</t>
  </si>
  <si>
    <t>OGS</t>
  </si>
  <si>
    <t>ONE GROUP HOSPITALITY, INC.</t>
  </si>
  <si>
    <t>STKS</t>
  </si>
  <si>
    <t>ONE LIBERTY PROPERTIES INC</t>
  </si>
  <si>
    <t>OLP</t>
  </si>
  <si>
    <t>ONE STOP SYSTEMS, INC.</t>
  </si>
  <si>
    <t>OSS</t>
  </si>
  <si>
    <t>ONEMAIN HOLDINGS, INC.</t>
  </si>
  <si>
    <t>OMF</t>
  </si>
  <si>
    <t>ONEOK INC /NEW/</t>
  </si>
  <si>
    <t>OKE</t>
  </si>
  <si>
    <t>ONESPAN INC.</t>
  </si>
  <si>
    <t>OSPN</t>
  </si>
  <si>
    <t>ONESPAWORLD HOLDINGS LTD</t>
  </si>
  <si>
    <t>OSW</t>
  </si>
  <si>
    <t>ONEWATER MARINE INC.</t>
  </si>
  <si>
    <t>ONEW</t>
  </si>
  <si>
    <t>ONTO INNOVATION INC.</t>
  </si>
  <si>
    <t>ONTO</t>
  </si>
  <si>
    <t>ONTRAK, INC.</t>
  </si>
  <si>
    <t>OTRK</t>
  </si>
  <si>
    <t>OOMA INC</t>
  </si>
  <si>
    <t>OOMA</t>
  </si>
  <si>
    <t>OP BANCORP</t>
  </si>
  <si>
    <t>OPBK</t>
  </si>
  <si>
    <t>OPEN LENDING CORP</t>
  </si>
  <si>
    <t>LPRO</t>
  </si>
  <si>
    <t>OPEN TEXT CORP</t>
  </si>
  <si>
    <t>OTEX</t>
  </si>
  <si>
    <t>OPENDOOR TECHNOLOGIES INC.</t>
  </si>
  <si>
    <t>OPEN</t>
  </si>
  <si>
    <t>OPGEN INC</t>
  </si>
  <si>
    <t>OPGN</t>
  </si>
  <si>
    <t>OPIANT PHARMACEUTICALS, INC.</t>
  </si>
  <si>
    <t>OPNT</t>
  </si>
  <si>
    <t>OPKO HEALTH, INC.</t>
  </si>
  <si>
    <t>OPK</t>
  </si>
  <si>
    <t>OPORTUN FINANCIAL CORP</t>
  </si>
  <si>
    <t>OPRT</t>
  </si>
  <si>
    <t>OPPENHEIMER HOLDINGS INC</t>
  </si>
  <si>
    <t>OPY</t>
  </si>
  <si>
    <t>OPPFI INC.</t>
  </si>
  <si>
    <t>OPFI</t>
  </si>
  <si>
    <t>OPTEX SYSTEMS HOLDINGS INC</t>
  </si>
  <si>
    <t>OPXS</t>
  </si>
  <si>
    <t>OPTICAL CABLE CORP</t>
  </si>
  <si>
    <t>OCC</t>
  </si>
  <si>
    <t>OPTIMIZERX CORP</t>
  </si>
  <si>
    <t>OPRX</t>
  </si>
  <si>
    <t>OPTIMUMBANK HOLDINGS, INC.</t>
  </si>
  <si>
    <t>OPHC</t>
  </si>
  <si>
    <t>OPTINOSE, INC.</t>
  </si>
  <si>
    <t>OPTN</t>
  </si>
  <si>
    <t>OPTION CARE HEALTH, INC.</t>
  </si>
  <si>
    <t>OPCH</t>
  </si>
  <si>
    <t>ORACLE CORP</t>
  </si>
  <si>
    <t>ORCL</t>
  </si>
  <si>
    <t>ORAMED PHARMACEUTICALS INC.</t>
  </si>
  <si>
    <t>ORMP</t>
  </si>
  <si>
    <t>ORANGE COUNTY BANCORP, INC. /DE/</t>
  </si>
  <si>
    <t>OBT</t>
  </si>
  <si>
    <t>ORASURE TECHNOLOGIES INC</t>
  </si>
  <si>
    <t>OSUR</t>
  </si>
  <si>
    <t>ORBITAL ENERGY GROUP, INC.</t>
  </si>
  <si>
    <t>OEG</t>
  </si>
  <si>
    <t>ORCHARD THERAPEUTICS PLC</t>
  </si>
  <si>
    <t>ORTX</t>
  </si>
  <si>
    <t>ORCHID ISLAND CAPITAL, INC.</t>
  </si>
  <si>
    <t>ORC</t>
  </si>
  <si>
    <t>ORGANOGENESIS HOLDINGS INC.</t>
  </si>
  <si>
    <t>ORGO</t>
  </si>
  <si>
    <t>ORGANON &amp; CO.</t>
  </si>
  <si>
    <t>OGN</t>
  </si>
  <si>
    <t>ORGENESIS INC.</t>
  </si>
  <si>
    <t>ORGS</t>
  </si>
  <si>
    <t>ORIENTAL CULTURE HOLDING LTD</t>
  </si>
  <si>
    <t>OCG</t>
  </si>
  <si>
    <t>ORIGIN AGRITECH LTD</t>
  </si>
  <si>
    <t>SEED</t>
  </si>
  <si>
    <t>ORIGIN BANCORP, INC.</t>
  </si>
  <si>
    <t>OBNK</t>
  </si>
  <si>
    <t>ORION ENERGY SYSTEMS, INC.</t>
  </si>
  <si>
    <t>OESX</t>
  </si>
  <si>
    <t>ORION ENGINEERED CARBONS S.A.</t>
  </si>
  <si>
    <t>OEC</t>
  </si>
  <si>
    <t>ORION GROUP HOLDINGS INC</t>
  </si>
  <si>
    <t>ORN</t>
  </si>
  <si>
    <t>ORION OFFICE REIT INC.</t>
  </si>
  <si>
    <t>ONL</t>
  </si>
  <si>
    <t>ORMAT TECHNOLOGIES, INC.</t>
  </si>
  <si>
    <t>ORA</t>
  </si>
  <si>
    <t>ORRSTOWN FINANCIAL SERVICES INC</t>
  </si>
  <si>
    <t>ORRF</t>
  </si>
  <si>
    <t>ORTHOFIX MEDICAL INC.</t>
  </si>
  <si>
    <t>OFIX</t>
  </si>
  <si>
    <t>ORTHOPEDIATRICS CORP</t>
  </si>
  <si>
    <t>KIDS</t>
  </si>
  <si>
    <t>OSCAR HEALTH, INC.</t>
  </si>
  <si>
    <t>OSCR</t>
  </si>
  <si>
    <t>OSHKOSH CORP</t>
  </si>
  <si>
    <t>OSK</t>
  </si>
  <si>
    <t>OSI SYSTEMS INC</t>
  </si>
  <si>
    <t>OSIS</t>
  </si>
  <si>
    <t>OTIS WORLDWIDE CORP</t>
  </si>
  <si>
    <t>OTIS</t>
  </si>
  <si>
    <t>OTONOMO TECHNOLOGIES LTD.</t>
  </si>
  <si>
    <t>OTMO</t>
  </si>
  <si>
    <t>OTONOMY, INC.</t>
  </si>
  <si>
    <t>OTIC</t>
  </si>
  <si>
    <t>OTTER TAIL CORP</t>
  </si>
  <si>
    <t>OTTR</t>
  </si>
  <si>
    <t>OUSTER, INC.</t>
  </si>
  <si>
    <t>OUST</t>
  </si>
  <si>
    <t>OUTBRAIN INC.</t>
  </si>
  <si>
    <t>OB</t>
  </si>
  <si>
    <t>OUTFRONT MEDIA INC.</t>
  </si>
  <si>
    <t>OUT</t>
  </si>
  <si>
    <t>OUTSET MEDICAL, INC.</t>
  </si>
  <si>
    <t>OM</t>
  </si>
  <si>
    <t>OVERSEAS SHIPHOLDING GROUP INC</t>
  </si>
  <si>
    <t>OSG</t>
  </si>
  <si>
    <t>OVERSTOCK.COM, INC</t>
  </si>
  <si>
    <t>OSTK</t>
  </si>
  <si>
    <t>OVID THERAPEUTICS INC.</t>
  </si>
  <si>
    <t>OVID</t>
  </si>
  <si>
    <t>OVINTIV INC.</t>
  </si>
  <si>
    <t>OVV</t>
  </si>
  <si>
    <t>OWENS &amp; MINOR INC/VA/</t>
  </si>
  <si>
    <t>OMI</t>
  </si>
  <si>
    <t>OWENS CORNING</t>
  </si>
  <si>
    <t>OC</t>
  </si>
  <si>
    <t>OWLET, INC.</t>
  </si>
  <si>
    <t>OWLT</t>
  </si>
  <si>
    <t>OXFORD INDUSTRIES INC</t>
  </si>
  <si>
    <t>OXM</t>
  </si>
  <si>
    <t>P&amp;F INDUSTRIES INC</t>
  </si>
  <si>
    <t>PFIN</t>
  </si>
  <si>
    <t>P10, INC.</t>
  </si>
  <si>
    <t>PX</t>
  </si>
  <si>
    <t>PACCAR INC</t>
  </si>
  <si>
    <t>PCAR</t>
  </si>
  <si>
    <t>PACIFIC BIOSCIENCES OF CALIFORNIA, INC.</t>
  </si>
  <si>
    <t>PACB</t>
  </si>
  <si>
    <t>PACIFIC GREEN TECHNOLOGIES INC.</t>
  </si>
  <si>
    <t>PGTK</t>
  </si>
  <si>
    <t>PACIFIC HEALTH CARE ORGANIZATION INC</t>
  </si>
  <si>
    <t>PFHO</t>
  </si>
  <si>
    <t>PACIFIC OAK STRATEGIC OPPORTUNITY REIT, INC.</t>
  </si>
  <si>
    <t>PCOK</t>
  </si>
  <si>
    <t>PACIFIC PREMIER BANCORP INC</t>
  </si>
  <si>
    <t>PPBI</t>
  </si>
  <si>
    <t>PACIRA BIOSCIENCES, INC.</t>
  </si>
  <si>
    <t>PCRX</t>
  </si>
  <si>
    <t>PACKAGING CORP OF AMERICA</t>
  </si>
  <si>
    <t>PKG</t>
  </si>
  <si>
    <t>PACTIV EVERGREEN INC.</t>
  </si>
  <si>
    <t>PTVE</t>
  </si>
  <si>
    <t>PACWEST BANCORP</t>
  </si>
  <si>
    <t>PACW</t>
  </si>
  <si>
    <t>PAGERDUTY, INC.</t>
  </si>
  <si>
    <t>PD</t>
  </si>
  <si>
    <t>PALANTIR TECHNOLOGIES INC.</t>
  </si>
  <si>
    <t>PLTR</t>
  </si>
  <si>
    <t>PALATIN TECHNOLOGIES INC</t>
  </si>
  <si>
    <t>PTN</t>
  </si>
  <si>
    <t>PALO ALTO NETWORKS INC</t>
  </si>
  <si>
    <t>PANW</t>
  </si>
  <si>
    <t>PALOMAR HOLDINGS, INC.</t>
  </si>
  <si>
    <t>PLMR</t>
  </si>
  <si>
    <t>PALTALK, INC.</t>
  </si>
  <si>
    <t>PALT</t>
  </si>
  <si>
    <t>PAM TRANSPORTATION SERVICES INC</t>
  </si>
  <si>
    <t>PTSI</t>
  </si>
  <si>
    <t>PANGAEA LOGISTICS SOLUTIONS LTD.</t>
  </si>
  <si>
    <t>PANL</t>
  </si>
  <si>
    <t>PAPA JOHNS INTERNATIONAL INC</t>
  </si>
  <si>
    <t>PZZA</t>
  </si>
  <si>
    <t>PAR PACIFIC HOLDINGS, INC.</t>
  </si>
  <si>
    <t>PARR</t>
  </si>
  <si>
    <t>PAR TECHNOLOGY CORP</t>
  </si>
  <si>
    <t>PAR</t>
  </si>
  <si>
    <t>PARAGON 28, INC.</t>
  </si>
  <si>
    <t>FNA</t>
  </si>
  <si>
    <t>PARAMOUNT GOLD NEVADA CORP.</t>
  </si>
  <si>
    <t>PZG</t>
  </si>
  <si>
    <t>PARAMOUNT GROUP, INC.</t>
  </si>
  <si>
    <t>PGRE</t>
  </si>
  <si>
    <t>PARATEK PHARMACEUTICALS, INC.</t>
  </si>
  <si>
    <t>PRTK</t>
  </si>
  <si>
    <t>PARK AEROSPACE CORP</t>
  </si>
  <si>
    <t>PKE</t>
  </si>
  <si>
    <t>PARK CITY GROUP INC</t>
  </si>
  <si>
    <t>PCYG</t>
  </si>
  <si>
    <t>PARK HOTELS &amp; RESORTS INC.</t>
  </si>
  <si>
    <t>PK</t>
  </si>
  <si>
    <t>PARK NATIONAL CORP /OH/</t>
  </si>
  <si>
    <t>PRK</t>
  </si>
  <si>
    <t>PARK OHIO HOLDINGS CORP</t>
  </si>
  <si>
    <t>PKOH</t>
  </si>
  <si>
    <t>PARKE BANCORP, INC.</t>
  </si>
  <si>
    <t>PKBK</t>
  </si>
  <si>
    <t>PARKER HANNIFIN CORP</t>
  </si>
  <si>
    <t>PH</t>
  </si>
  <si>
    <t>PARKS AMERICA, INC</t>
  </si>
  <si>
    <t>PRKA</t>
  </si>
  <si>
    <t>PARKWAY ACQUISITION CORP.</t>
  </si>
  <si>
    <t>PKKW</t>
  </si>
  <si>
    <t>PARSONS CORP</t>
  </si>
  <si>
    <t>PSN</t>
  </si>
  <si>
    <t>PARTNERS BANCORP</t>
  </si>
  <si>
    <t>PTRS</t>
  </si>
  <si>
    <t>PARTS ID, INC.</t>
  </si>
  <si>
    <t>ID</t>
  </si>
  <si>
    <t>PARTY CITY HOLDCO INC.</t>
  </si>
  <si>
    <t>PRTY</t>
  </si>
  <si>
    <t>PATHFINDER BANCORP, INC.</t>
  </si>
  <si>
    <t>PBHC</t>
  </si>
  <si>
    <t>PATRICK INDUSTRIES INC</t>
  </si>
  <si>
    <t>PATK</t>
  </si>
  <si>
    <t>PATRIOT NATIONAL BANCORP INC</t>
  </si>
  <si>
    <t>PNBK</t>
  </si>
  <si>
    <t>PATRIOT TRANSPORTATION HOLDING, INC.</t>
  </si>
  <si>
    <t>PATI</t>
  </si>
  <si>
    <t>PATTERSON COMPANIES, INC.</t>
  </si>
  <si>
    <t>PDCO</t>
  </si>
  <si>
    <t>PATTERSON UTI ENERGY INC</t>
  </si>
  <si>
    <t>PTEN</t>
  </si>
  <si>
    <t>PAYA HOLDINGS INC.</t>
  </si>
  <si>
    <t>PAYA</t>
  </si>
  <si>
    <t>PAYCHEX INC</t>
  </si>
  <si>
    <t>PAYX</t>
  </si>
  <si>
    <t>PAYCOM SOFTWARE, INC.</t>
  </si>
  <si>
    <t>PAYC</t>
  </si>
  <si>
    <t>PAYCOR HCM, INC.</t>
  </si>
  <si>
    <t>PYCR</t>
  </si>
  <si>
    <t>PAYLOCITY HOLDING CORP</t>
  </si>
  <si>
    <t>PCTY</t>
  </si>
  <si>
    <t>PAYMENTUS HOLDINGS, INC.</t>
  </si>
  <si>
    <t>PAY</t>
  </si>
  <si>
    <t>PAYONEER GLOBAL INC.</t>
  </si>
  <si>
    <t>PAYO</t>
  </si>
  <si>
    <t>PAYPAL HOLDINGS, INC.</t>
  </si>
  <si>
    <t>PYPL</t>
  </si>
  <si>
    <t>PAYSAFE LTD</t>
  </si>
  <si>
    <t>PSFE</t>
  </si>
  <si>
    <t>PAYSIGN, INC.</t>
  </si>
  <si>
    <t>PAYS</t>
  </si>
  <si>
    <t>PB BANKSHARES, INC.</t>
  </si>
  <si>
    <t>PBBK</t>
  </si>
  <si>
    <t>PBF ENERGY INC.</t>
  </si>
  <si>
    <t>PBF</t>
  </si>
  <si>
    <t>PBF LOGISTICS LP</t>
  </si>
  <si>
    <t>PBFX</t>
  </si>
  <si>
    <t>PC CONNECTION INC</t>
  </si>
  <si>
    <t>CNXN</t>
  </si>
  <si>
    <t>PC TEL INC</t>
  </si>
  <si>
    <t>PCTI</t>
  </si>
  <si>
    <t>PCB BANCORP</t>
  </si>
  <si>
    <t>PCB</t>
  </si>
  <si>
    <t>PCSB FINANCIAL CORP</t>
  </si>
  <si>
    <t>PCSB</t>
  </si>
  <si>
    <t>PDC ENERGY, INC.</t>
  </si>
  <si>
    <t>PDCE</t>
  </si>
  <si>
    <t>PDF SOLUTIONS INC</t>
  </si>
  <si>
    <t>PDFS</t>
  </si>
  <si>
    <t>PEABODY ENERGY CORP</t>
  </si>
  <si>
    <t>BTU</t>
  </si>
  <si>
    <t>PEAPACK GLADSTONE FINANCIAL CORP</t>
  </si>
  <si>
    <t>PGC</t>
  </si>
  <si>
    <t>PEAR THERAPEUTICS, INC.</t>
  </si>
  <si>
    <t>PEAR</t>
  </si>
  <si>
    <t>PEBBLEBROOK HOTEL TRUST</t>
  </si>
  <si>
    <t>PEB</t>
  </si>
  <si>
    <t>PEDEVCO CORP</t>
  </si>
  <si>
    <t>PED</t>
  </si>
  <si>
    <t>PEGASYSTEMS INC</t>
  </si>
  <si>
    <t>PEGA</t>
  </si>
  <si>
    <t>PELOTON INTERACTIVE, INC.</t>
  </si>
  <si>
    <t>PTON</t>
  </si>
  <si>
    <t>PENN NATIONAL GAMING INC</t>
  </si>
  <si>
    <t>PENN</t>
  </si>
  <si>
    <t>PENNANT GROUP, INC.</t>
  </si>
  <si>
    <t>PNTG</t>
  </si>
  <si>
    <t>PENNS WOODS BANCORP INC</t>
  </si>
  <si>
    <t>PWOD</t>
  </si>
  <si>
    <t>PENNSYLVANIA REAL ESTATE INVESTMENT TRUST</t>
  </si>
  <si>
    <t>PEI</t>
  </si>
  <si>
    <t>PENNYMAC FINANCIAL SERVICES, INC.</t>
  </si>
  <si>
    <t>PFSI</t>
  </si>
  <si>
    <t>PENSKE AUTOMOTIVE GROUP, INC.</t>
  </si>
  <si>
    <t>PAG</t>
  </si>
  <si>
    <t>PENTAIR PLC</t>
  </si>
  <si>
    <t>PNR</t>
  </si>
  <si>
    <t>PENUMBRA INC</t>
  </si>
  <si>
    <t>PEN</t>
  </si>
  <si>
    <t>PEOPLES BANCORP INC</t>
  </si>
  <si>
    <t>PEBO</t>
  </si>
  <si>
    <t>PEOPLES BANCORP OF NORTH CAROLINA INC</t>
  </si>
  <si>
    <t>PEBK</t>
  </si>
  <si>
    <t>PEOPLES FINANCIAL CORP /MS/</t>
  </si>
  <si>
    <t>PFBX</t>
  </si>
  <si>
    <t>PEOPLES FINANCIAL SERVICES CORP.</t>
  </si>
  <si>
    <t>PFIS</t>
  </si>
  <si>
    <t>PEPSICO INC</t>
  </si>
  <si>
    <t>PEP</t>
  </si>
  <si>
    <t>PERDOCEO EDUCATION CORP</t>
  </si>
  <si>
    <t>PRDO</t>
  </si>
  <si>
    <t>PERELLA WEINBERG PARTNERS</t>
  </si>
  <si>
    <t>PWP</t>
  </si>
  <si>
    <t>PERFICIENT INC</t>
  </si>
  <si>
    <t>PRFT</t>
  </si>
  <si>
    <t>PERFORMANCE FOOD GROUP CO</t>
  </si>
  <si>
    <t>PFGC</t>
  </si>
  <si>
    <t>PERFORMANT FINANCIAL CORP</t>
  </si>
  <si>
    <t>PFMT</t>
  </si>
  <si>
    <t>PERION NETWORK LTD.</t>
  </si>
  <si>
    <t>PERI</t>
  </si>
  <si>
    <t>PERKINELMER INC</t>
  </si>
  <si>
    <t>PKI</t>
  </si>
  <si>
    <t>PERMA FIX ENVIRONMENTAL SERVICES INC</t>
  </si>
  <si>
    <t>PESI</t>
  </si>
  <si>
    <t>PERMA-PIPE INTERNATIONAL HOLDINGS, INC.</t>
  </si>
  <si>
    <t>PPIH</t>
  </si>
  <si>
    <t>PERRIGO CO PLC</t>
  </si>
  <si>
    <t>PRGO</t>
  </si>
  <si>
    <t>PERSONALIS, INC.</t>
  </si>
  <si>
    <t>PSNL</t>
  </si>
  <si>
    <t>PETCO HEALTH &amp; WELLNESS COMPANY, INC.</t>
  </si>
  <si>
    <t>WOOF</t>
  </si>
  <si>
    <t>PETIQ, INC.</t>
  </si>
  <si>
    <t>PETQ</t>
  </si>
  <si>
    <t>PETMED EXPRESS INC</t>
  </si>
  <si>
    <t>PETS</t>
  </si>
  <si>
    <t>PETROS PHARMACEUTICALS, INC.</t>
  </si>
  <si>
    <t>PTPI</t>
  </si>
  <si>
    <t>PETROTEQ ENERGY INC.</t>
  </si>
  <si>
    <t>PQEFF</t>
  </si>
  <si>
    <t>PFIZER INC</t>
  </si>
  <si>
    <t>PFE</t>
  </si>
  <si>
    <t>PFSWEB INC</t>
  </si>
  <si>
    <t>PFSW</t>
  </si>
  <si>
    <t>PG&amp;E CORP</t>
  </si>
  <si>
    <t>PCG</t>
  </si>
  <si>
    <t>PGT INNOVATIONS, INC.</t>
  </si>
  <si>
    <t>PGTI</t>
  </si>
  <si>
    <t>PHARMA-BIO SERV, INC.</t>
  </si>
  <si>
    <t>PBSV</t>
  </si>
  <si>
    <t>PHASEBIO PHARMACEUTICALS INC</t>
  </si>
  <si>
    <t>PHAS</t>
  </si>
  <si>
    <t>PHIBRO ANIMAL HEALTH CORP</t>
  </si>
  <si>
    <t>PAHC</t>
  </si>
  <si>
    <t>PHILIP MORRIS INTERNATIONAL INC.</t>
  </si>
  <si>
    <t>PM</t>
  </si>
  <si>
    <t>PHILLIPS 66</t>
  </si>
  <si>
    <t>PSX</t>
  </si>
  <si>
    <t>PHILLIPS EDISON &amp; COMPANY, INC.</t>
  </si>
  <si>
    <t>PECO</t>
  </si>
  <si>
    <t>PHOENIX NEW MEDIA LTD</t>
  </si>
  <si>
    <t>FENG</t>
  </si>
  <si>
    <t>PHOTRONICS INC</t>
  </si>
  <si>
    <t>PLAB</t>
  </si>
  <si>
    <t>PHREESIA, INC.</t>
  </si>
  <si>
    <t>PHR</t>
  </si>
  <si>
    <t>PHUNWARE, INC.</t>
  </si>
  <si>
    <t>PHUN</t>
  </si>
  <si>
    <t>PHX MINERALS INC.</t>
  </si>
  <si>
    <t>PHX</t>
  </si>
  <si>
    <t>PHYSICIANS REALTY TRUST</t>
  </si>
  <si>
    <t>DOC</t>
  </si>
  <si>
    <t>PIEDMONT OFFICE REALTY TRUST, INC.</t>
  </si>
  <si>
    <t>PDM</t>
  </si>
  <si>
    <t>PIERIS PHARMACEUTICALS, INC.</t>
  </si>
  <si>
    <t>PIRS</t>
  </si>
  <si>
    <t>PILGRIMS PRIDE CORP</t>
  </si>
  <si>
    <t>PPC</t>
  </si>
  <si>
    <t>PINDUODUO INC.</t>
  </si>
  <si>
    <t>PDD</t>
  </si>
  <si>
    <t>PING IDENTITY HOLDING CORP.</t>
  </si>
  <si>
    <t>PING</t>
  </si>
  <si>
    <t>PINGTAN MARINE ENTERPRISE LTD.</t>
  </si>
  <si>
    <t>PME</t>
  </si>
  <si>
    <t>PINNACLE BANKSHARES CORP</t>
  </si>
  <si>
    <t>PPBN</t>
  </si>
  <si>
    <t>PINNACLE FINANCIAL PARTNERS INC</t>
  </si>
  <si>
    <t>PNFP</t>
  </si>
  <si>
    <t>PINNACLE WEST CAPITAL CORP</t>
  </si>
  <si>
    <t>PNW</t>
  </si>
  <si>
    <t>PINTEC TECHNOLOGY HOLDINGS LTD</t>
  </si>
  <si>
    <t>PT</t>
  </si>
  <si>
    <t>PINTEREST, INC.</t>
  </si>
  <si>
    <t>PINS</t>
  </si>
  <si>
    <t>PIONEER BANCORP, INC./MD</t>
  </si>
  <si>
    <t>PBFS</t>
  </si>
  <si>
    <t>PIONEER NATURAL RESOURCES CO</t>
  </si>
  <si>
    <t>PXD</t>
  </si>
  <si>
    <t>PIONEER POWER SOLUTIONS, INC.</t>
  </si>
  <si>
    <t>PPSI</t>
  </si>
  <si>
    <t>PIPER SANDLER COMPANIES</t>
  </si>
  <si>
    <t>PIPR</t>
  </si>
  <si>
    <t>PITNEY BOWES INC /DE/</t>
  </si>
  <si>
    <t>PBI</t>
  </si>
  <si>
    <t>PIXELWORKS, INC</t>
  </si>
  <si>
    <t>PXLW</t>
  </si>
  <si>
    <t>PJT PARTNERS INC.</t>
  </si>
  <si>
    <t>PJT</t>
  </si>
  <si>
    <t>PLAINS ALL AMERICAN PIPELINE LP</t>
  </si>
  <si>
    <t>PAA</t>
  </si>
  <si>
    <t>PLAINS GP HOLDINGS LP</t>
  </si>
  <si>
    <t>PAGP</t>
  </si>
  <si>
    <t>PLANET FITNESS, INC.</t>
  </si>
  <si>
    <t>PLNT</t>
  </si>
  <si>
    <t>PLANET GREEN HOLDINGS CORP.</t>
  </si>
  <si>
    <t>PLAG</t>
  </si>
  <si>
    <t>PLANET LABS PBC</t>
  </si>
  <si>
    <t>PL</t>
  </si>
  <si>
    <t>PLANTRONICS INC /CA/</t>
  </si>
  <si>
    <t>POLY</t>
  </si>
  <si>
    <t>PLAYA HOTELS &amp; RESORTS N.V.</t>
  </si>
  <si>
    <t>PLYA</t>
  </si>
  <si>
    <t>PLAYAGS, INC.</t>
  </si>
  <si>
    <t>AGS</t>
  </si>
  <si>
    <t>PLAYSTUDIOS, INC.</t>
  </si>
  <si>
    <t>MYPS</t>
  </si>
  <si>
    <t>PLAYTIKA HOLDING CORP.</t>
  </si>
  <si>
    <t>PLTK</t>
  </si>
  <si>
    <t>PLBY GROUP, INC.</t>
  </si>
  <si>
    <t>PLBY</t>
  </si>
  <si>
    <t>PLEXUS CORP</t>
  </si>
  <si>
    <t>PLXS</t>
  </si>
  <si>
    <t>PLIANT THERAPEUTICS, INC.</t>
  </si>
  <si>
    <t>PLRX</t>
  </si>
  <si>
    <t>PLUMAS BANCORP</t>
  </si>
  <si>
    <t>PLBC</t>
  </si>
  <si>
    <t>PLURISTEM THERAPEUTICS INC</t>
  </si>
  <si>
    <t>PSTI</t>
  </si>
  <si>
    <t>PLX PHARMA INC.</t>
  </si>
  <si>
    <t>PLXP</t>
  </si>
  <si>
    <t>PLYMOUTH INDUSTRIAL REIT, INC.</t>
  </si>
  <si>
    <t>PLYM</t>
  </si>
  <si>
    <t>PMV PHARMACEUTICALS, INC.</t>
  </si>
  <si>
    <t>PMVP</t>
  </si>
  <si>
    <t>PNC FINANCIAL SERVICES GROUP, INC.</t>
  </si>
  <si>
    <t>PNC</t>
  </si>
  <si>
    <t>PNM RESOURCES INC</t>
  </si>
  <si>
    <t>PNM</t>
  </si>
  <si>
    <t>POLAR POWER, INC.</t>
  </si>
  <si>
    <t>POLA</t>
  </si>
  <si>
    <t>POLARIS INC.</t>
  </si>
  <si>
    <t>PII</t>
  </si>
  <si>
    <t>POLARITYTE, INC.</t>
  </si>
  <si>
    <t>PTE</t>
  </si>
  <si>
    <t>PONCE FINANCIAL GROUP, INC.</t>
  </si>
  <si>
    <t>PDLB</t>
  </si>
  <si>
    <t>POOL CORP</t>
  </si>
  <si>
    <t>POOL</t>
  </si>
  <si>
    <t>POP CULTURE GROUP CO., LTD</t>
  </si>
  <si>
    <t>CPOP</t>
  </si>
  <si>
    <t>POPULAR, INC.</t>
  </si>
  <si>
    <t>BPOP</t>
  </si>
  <si>
    <t>PORCH GROUP, INC.</t>
  </si>
  <si>
    <t>PRCH</t>
  </si>
  <si>
    <t>PORTILLO'S INC.</t>
  </si>
  <si>
    <t>PTLO</t>
  </si>
  <si>
    <t>PORTLAND GENERAL ELECTRIC CO /OR/</t>
  </si>
  <si>
    <t>POR</t>
  </si>
  <si>
    <t>PORTSMOUTH SQUARE INC</t>
  </si>
  <si>
    <t>PRSI</t>
  </si>
  <si>
    <t>POSHMARK, INC.</t>
  </si>
  <si>
    <t>POSH</t>
  </si>
  <si>
    <t>POST HOLDINGS, INC.</t>
  </si>
  <si>
    <t>POST</t>
  </si>
  <si>
    <t>POSTAL REALTY TRUST, INC.</t>
  </si>
  <si>
    <t>PSTL</t>
  </si>
  <si>
    <t>POTBELLY CORP</t>
  </si>
  <si>
    <t>PBPB</t>
  </si>
  <si>
    <t>POTLATCHDELTIC CORP</t>
  </si>
  <si>
    <t>PCH</t>
  </si>
  <si>
    <t>POWELL INDUSTRIES INC</t>
  </si>
  <si>
    <t>POWL</t>
  </si>
  <si>
    <t>POWER INTEGRATIONS INC</t>
  </si>
  <si>
    <t>POWI</t>
  </si>
  <si>
    <t>POWER REIT</t>
  </si>
  <si>
    <t>PW</t>
  </si>
  <si>
    <t>POWER SOLUTIONS INTERNATIONAL, INC.</t>
  </si>
  <si>
    <t>PSIX</t>
  </si>
  <si>
    <t>POWERBRIDGE TECHNOLOGIES CO., LTD.</t>
  </si>
  <si>
    <t>PBTS</t>
  </si>
  <si>
    <t>POWERFLEET, INC.</t>
  </si>
  <si>
    <t>PWFL</t>
  </si>
  <si>
    <t>POWERSCHOOL HOLDINGS, INC.</t>
  </si>
  <si>
    <t>PWSC</t>
  </si>
  <si>
    <t>PPG INDUSTRIES INC</t>
  </si>
  <si>
    <t>PPG</t>
  </si>
  <si>
    <t>PPL CORP</t>
  </si>
  <si>
    <t>PPL</t>
  </si>
  <si>
    <t>PRA GROUP INC</t>
  </si>
  <si>
    <t>PRAA</t>
  </si>
  <si>
    <t>PRECIGEN, INC.</t>
  </si>
  <si>
    <t>PGEN</t>
  </si>
  <si>
    <t>PRECIPIO, INC.</t>
  </si>
  <si>
    <t>PRPO</t>
  </si>
  <si>
    <t>PRECISION BIOSCIENCES INC</t>
  </si>
  <si>
    <t>DTIL</t>
  </si>
  <si>
    <t>PREDICTIVE ONCOLOGY INC.</t>
  </si>
  <si>
    <t>POAI</t>
  </si>
  <si>
    <t>PREFORMED LINE PRODUCTS CO</t>
  </si>
  <si>
    <t>PLPC</t>
  </si>
  <si>
    <t>PREMIER FINANCIAL CORP</t>
  </si>
  <si>
    <t>PFC</t>
  </si>
  <si>
    <t>PREMIER, INC.</t>
  </si>
  <si>
    <t>PINC</t>
  </si>
  <si>
    <t>PRESIDIO PROPERTY TRUST, INC.</t>
  </si>
  <si>
    <t>SQFT</t>
  </si>
  <si>
    <t>PRESTIGE CONSUMER HEALTHCARE INC.</t>
  </si>
  <si>
    <t>PBH</t>
  </si>
  <si>
    <t>PRICE T ROWE GROUP INC</t>
  </si>
  <si>
    <t>TROW</t>
  </si>
  <si>
    <t>PRICESMART INC</t>
  </si>
  <si>
    <t>PSMT</t>
  </si>
  <si>
    <t>PRIME MERIDIAN HOLDING CO</t>
  </si>
  <si>
    <t>PMHG</t>
  </si>
  <si>
    <t>PRIMEENERGY RESOURCES CORP</t>
  </si>
  <si>
    <t>PNRG</t>
  </si>
  <si>
    <t>PRIMERICA, INC.</t>
  </si>
  <si>
    <t>PRI</t>
  </si>
  <si>
    <t>PRIMIS FINANCIAL CORP.</t>
  </si>
  <si>
    <t>FRST</t>
  </si>
  <si>
    <t>PRIMO WATER CORP /CN/</t>
  </si>
  <si>
    <t>PRMW</t>
  </si>
  <si>
    <t>PRIMORIS SERVICES CORP</t>
  </si>
  <si>
    <t>PRIM</t>
  </si>
  <si>
    <t>PRINCIPAL FINANCIAL GROUP INC</t>
  </si>
  <si>
    <t>PFG</t>
  </si>
  <si>
    <t>PRIORITY TECHNOLOGY HOLDINGS, INC.</t>
  </si>
  <si>
    <t>PRTH</t>
  </si>
  <si>
    <t>PRIVIA HEALTH GROUP, INC.</t>
  </si>
  <si>
    <t>PRVA</t>
  </si>
  <si>
    <t>PRO DEX INC</t>
  </si>
  <si>
    <t>PDEX</t>
  </si>
  <si>
    <t>PROASSURANCE CORP</t>
  </si>
  <si>
    <t>PRA</t>
  </si>
  <si>
    <t>PROCEPT BIOROBOTICS CORP</t>
  </si>
  <si>
    <t>PRCT</t>
  </si>
  <si>
    <t>PROCORE TECHNOLOGIES, INC.</t>
  </si>
  <si>
    <t>PCOR</t>
  </si>
  <si>
    <t>PROCTER &amp; GAMBLE CO</t>
  </si>
  <si>
    <t>PG</t>
  </si>
  <si>
    <t>PROFESSIONAL HOLDING CORP.</t>
  </si>
  <si>
    <t>PFHD</t>
  </si>
  <si>
    <t>PROFIRE ENERGY INC</t>
  </si>
  <si>
    <t>PFIE</t>
  </si>
  <si>
    <t>PROG HOLDINGS, INC.</t>
  </si>
  <si>
    <t>PRG</t>
  </si>
  <si>
    <t>PROGRESS SOFTWARE CORP /MA</t>
  </si>
  <si>
    <t>PRGS</t>
  </si>
  <si>
    <t>PROGRESSIVE CORP/OH/</t>
  </si>
  <si>
    <t>PGR</t>
  </si>
  <si>
    <t>PROGYNY, INC.</t>
  </si>
  <si>
    <t>PGNY</t>
  </si>
  <si>
    <t>PROLOGIS, INC.</t>
  </si>
  <si>
    <t>PLD</t>
  </si>
  <si>
    <t>PROMETHEUS BIOSCIENCES, INC.</t>
  </si>
  <si>
    <t>RXDX</t>
  </si>
  <si>
    <t>PROPETRO HOLDING CORP.</t>
  </si>
  <si>
    <t>PUMP</t>
  </si>
  <si>
    <t>PROPHASE LABS, INC.</t>
  </si>
  <si>
    <t>PRPH</t>
  </si>
  <si>
    <t>PROS HOLDINGS, INC.</t>
  </si>
  <si>
    <t>PRO</t>
  </si>
  <si>
    <t>PROSPERITY BANCSHARES INC</t>
  </si>
  <si>
    <t>PB</t>
  </si>
  <si>
    <t>PROTAGONIST THERAPEUTICS, INC</t>
  </si>
  <si>
    <t>PTGX</t>
  </si>
  <si>
    <t>PROTALIX BIOTHERAPEUTICS, INC.</t>
  </si>
  <si>
    <t>PLX</t>
  </si>
  <si>
    <t>PROTERRA INC</t>
  </si>
  <si>
    <t>PTRA</t>
  </si>
  <si>
    <t>PROTHENA CORP PUBLIC LTD CO</t>
  </si>
  <si>
    <t>PRTA</t>
  </si>
  <si>
    <t>PROTO LABS INC</t>
  </si>
  <si>
    <t>PRLB</t>
  </si>
  <si>
    <t>PROVIDENT BANCORP, INC. /MD/</t>
  </si>
  <si>
    <t>PVBC</t>
  </si>
  <si>
    <t>PROVIDENT FINANCIAL HOLDINGS INC</t>
  </si>
  <si>
    <t>PROV</t>
  </si>
  <si>
    <t>PROVIDENT FINANCIAL SERVICES INC</t>
  </si>
  <si>
    <t>PFS</t>
  </si>
  <si>
    <t>PRUDENTIAL FINANCIAL INC</t>
  </si>
  <si>
    <t>PRU</t>
  </si>
  <si>
    <t>PS BUSINESS PARKS, INC./MD</t>
  </si>
  <si>
    <t>PSB</t>
  </si>
  <si>
    <t>PSYCHEMEDICS CORP</t>
  </si>
  <si>
    <t>PMD</t>
  </si>
  <si>
    <t>PTC INC.</t>
  </si>
  <si>
    <t>PTC</t>
  </si>
  <si>
    <t>PTC THERAPEUTICS, INC.</t>
  </si>
  <si>
    <t>PTCT</t>
  </si>
  <si>
    <t>PUBLIC SERVICE ENTERPRISE GROUP INC</t>
  </si>
  <si>
    <t>PEG</t>
  </si>
  <si>
    <t>PUBLIC STORAGE</t>
  </si>
  <si>
    <t>PSA</t>
  </si>
  <si>
    <t>PUBMATIC, INC.</t>
  </si>
  <si>
    <t>PUBM</t>
  </si>
  <si>
    <t>PULMATRIX, INC.</t>
  </si>
  <si>
    <t>PULM</t>
  </si>
  <si>
    <t>PULMONX CORP</t>
  </si>
  <si>
    <t>LUNG</t>
  </si>
  <si>
    <t>PULSE BIOSCIENCES, INC.</t>
  </si>
  <si>
    <t>PLSE</t>
  </si>
  <si>
    <t>PULTEGROUP INC/MI/</t>
  </si>
  <si>
    <t>PHM</t>
  </si>
  <si>
    <t>PUMA BIOTECHNOLOGY, INC.</t>
  </si>
  <si>
    <t>PBYI</t>
  </si>
  <si>
    <t>PURE CYCLE CORP</t>
  </si>
  <si>
    <t>PCYO</t>
  </si>
  <si>
    <t>PURE STORAGE, INC.</t>
  </si>
  <si>
    <t>PSTG</t>
  </si>
  <si>
    <t>PURPLE INNOVATION, INC.</t>
  </si>
  <si>
    <t>PRPL</t>
  </si>
  <si>
    <t>PVH CORP. /DE/</t>
  </si>
  <si>
    <t>PVH</t>
  </si>
  <si>
    <t>PYXIS TANKERS INC.</t>
  </si>
  <si>
    <t>PXS</t>
  </si>
  <si>
    <t>PZENA INVESTMENT MANAGEMENT, INC.</t>
  </si>
  <si>
    <t>PZN</t>
  </si>
  <si>
    <t>Q&amp;K INTERNATIONAL GROUP LTD</t>
  </si>
  <si>
    <t>QK</t>
  </si>
  <si>
    <t>Q2 HOLDINGS, INC.</t>
  </si>
  <si>
    <t>QTWO</t>
  </si>
  <si>
    <t>QCR HOLDINGS INC</t>
  </si>
  <si>
    <t>QCRH</t>
  </si>
  <si>
    <t>QIAGEN N.V.</t>
  </si>
  <si>
    <t>QGEN</t>
  </si>
  <si>
    <t>QILIAN INTERNATIONAL HOLDING GROUP LTD</t>
  </si>
  <si>
    <t>QLI</t>
  </si>
  <si>
    <t>QNB CORP</t>
  </si>
  <si>
    <t>QNBC</t>
  </si>
  <si>
    <t>QORVO, INC.</t>
  </si>
  <si>
    <t>QRVO</t>
  </si>
  <si>
    <t>QUAD/GRAPHICS, INC.</t>
  </si>
  <si>
    <t>QUAD</t>
  </si>
  <si>
    <t>QUAINT OAK BANCORP INC</t>
  </si>
  <si>
    <t>QNTO</t>
  </si>
  <si>
    <t>QUAKER CHEMICAL CORP</t>
  </si>
  <si>
    <t>KWR</t>
  </si>
  <si>
    <t>QUALCOMM INC/DE</t>
  </si>
  <si>
    <t>QCOM</t>
  </si>
  <si>
    <t>QUALIGEN THERAPEUTICS, INC.</t>
  </si>
  <si>
    <t>QLGN</t>
  </si>
  <si>
    <t>QUALTRICS INTERNATIONAL INC.</t>
  </si>
  <si>
    <t>XM</t>
  </si>
  <si>
    <t>QUALYS, INC.</t>
  </si>
  <si>
    <t>QLYS</t>
  </si>
  <si>
    <t>QUANEX BUILDING PRODUCTS CORP</t>
  </si>
  <si>
    <t>NX</t>
  </si>
  <si>
    <t>QUANTA SERVICES, INC.</t>
  </si>
  <si>
    <t>PWR</t>
  </si>
  <si>
    <t>QUANTERIX CORP</t>
  </si>
  <si>
    <t>QTRX</t>
  </si>
  <si>
    <t>QUANTUM CORP /DE/</t>
  </si>
  <si>
    <t>QMCO</t>
  </si>
  <si>
    <t>QUDIAN INC.</t>
  </si>
  <si>
    <t>QD</t>
  </si>
  <si>
    <t>QUEST DIAGNOSTICS INC</t>
  </si>
  <si>
    <t>DGX</t>
  </si>
  <si>
    <t>QUEST RESOURCE HOLDING CORP</t>
  </si>
  <si>
    <t>QRHC</t>
  </si>
  <si>
    <t>QUICKLOGIC CORP</t>
  </si>
  <si>
    <t>QUIK</t>
  </si>
  <si>
    <t>QUINSTREET, INC</t>
  </si>
  <si>
    <t>QNST</t>
  </si>
  <si>
    <t>QUMU CORP</t>
  </si>
  <si>
    <t>QUMU</t>
  </si>
  <si>
    <t>QUOTIENT LTD</t>
  </si>
  <si>
    <t>QTNT</t>
  </si>
  <si>
    <t>QUOTIENT TECHNOLOGY INC.</t>
  </si>
  <si>
    <t>QUOT</t>
  </si>
  <si>
    <t>QURATE RETAIL, INC.</t>
  </si>
  <si>
    <t>QRTEA</t>
  </si>
  <si>
    <t>QUTOUTIAO INC.</t>
  </si>
  <si>
    <t>QTT</t>
  </si>
  <si>
    <t>R F INDUSTRIES LTD</t>
  </si>
  <si>
    <t>RFIL</t>
  </si>
  <si>
    <t>RACKSPACE TECHNOLOGY, INC.</t>
  </si>
  <si>
    <t>RXT</t>
  </si>
  <si>
    <t>RADA ELECTRONIC INDUSTRIES LTD</t>
  </si>
  <si>
    <t>RADA</t>
  </si>
  <si>
    <t>RADCOM LTD</t>
  </si>
  <si>
    <t>RDCM</t>
  </si>
  <si>
    <t>RADIAN GROUP INC</t>
  </si>
  <si>
    <t>RDN</t>
  </si>
  <si>
    <t>RADIANT LOGISTICS, INC</t>
  </si>
  <si>
    <t>RLGT</t>
  </si>
  <si>
    <t>RADIUS GLOBAL INFRASTRUCTURE, INC.</t>
  </si>
  <si>
    <t>RADI</t>
  </si>
  <si>
    <t>RADIUS HEALTH, INC.</t>
  </si>
  <si>
    <t>RDUS</t>
  </si>
  <si>
    <t>RADNET, INC.</t>
  </si>
  <si>
    <t>RDNT</t>
  </si>
  <si>
    <t>RADWARE LTD</t>
  </si>
  <si>
    <t>RDWR</t>
  </si>
  <si>
    <t>RAFAEL HOLDINGS, INC.</t>
  </si>
  <si>
    <t>RFL</t>
  </si>
  <si>
    <t>RALPH LAUREN CORP</t>
  </si>
  <si>
    <t>RL</t>
  </si>
  <si>
    <t>RAMACO RESOURCES, INC.</t>
  </si>
  <si>
    <t>METC</t>
  </si>
  <si>
    <t>RAMBUS INC</t>
  </si>
  <si>
    <t>RMBS</t>
  </si>
  <si>
    <t>RANDOLPH BANCORP, INC.</t>
  </si>
  <si>
    <t>RNDB</t>
  </si>
  <si>
    <t>RANGE RESOURCES CORP</t>
  </si>
  <si>
    <t>RRC</t>
  </si>
  <si>
    <t>RANGER ENERGY SERVICES, INC.</t>
  </si>
  <si>
    <t>RNGR</t>
  </si>
  <si>
    <t>RANGER OIL CORP</t>
  </si>
  <si>
    <t>ROCC</t>
  </si>
  <si>
    <t>RANI THERAPEUTICS HOLDINGS, INC.</t>
  </si>
  <si>
    <t>RANI</t>
  </si>
  <si>
    <t>RANPAK HOLDINGS CORP.</t>
  </si>
  <si>
    <t>PACK</t>
  </si>
  <si>
    <t>RAPID MICRO BIOSYSTEMS, INC.</t>
  </si>
  <si>
    <t>RPID</t>
  </si>
  <si>
    <t>RAPID7, INC.</t>
  </si>
  <si>
    <t>RPD</t>
  </si>
  <si>
    <t>RAPT THERAPEUTICS, INC.</t>
  </si>
  <si>
    <t>RAPT</t>
  </si>
  <si>
    <t>RATTLER MIDSTREAM LP</t>
  </si>
  <si>
    <t>RTLR</t>
  </si>
  <si>
    <t>RAYMOND JAMES FINANCIAL INC</t>
  </si>
  <si>
    <t>RJF</t>
  </si>
  <si>
    <t>RAYONIER ADVANCED MATERIALS INC.</t>
  </si>
  <si>
    <t>RYAM</t>
  </si>
  <si>
    <t>RAYONIER INC</t>
  </si>
  <si>
    <t>RYN</t>
  </si>
  <si>
    <t>RAYTHEON TECHNOLOGIES CORP</t>
  </si>
  <si>
    <t>RTX</t>
  </si>
  <si>
    <t>RBB BANCORP</t>
  </si>
  <si>
    <t>RBB</t>
  </si>
  <si>
    <t>RBC BEARINGS INC</t>
  </si>
  <si>
    <t>ROLL</t>
  </si>
  <si>
    <t>RCI HOSPITALITY HOLDINGS, INC.</t>
  </si>
  <si>
    <t>RICK</t>
  </si>
  <si>
    <t>RCM TECHNOLOGIES, INC.</t>
  </si>
  <si>
    <t>RCMT</t>
  </si>
  <si>
    <t>RE/MAX HOLDINGS, INC.</t>
  </si>
  <si>
    <t>RMAX</t>
  </si>
  <si>
    <t>READING INTERNATIONAL INC</t>
  </si>
  <si>
    <t>RDI</t>
  </si>
  <si>
    <t>READY CAPITAL CORP</t>
  </si>
  <si>
    <t>RC</t>
  </si>
  <si>
    <t>REAL GOOD FOOD COMPANY, INC.</t>
  </si>
  <si>
    <t>RGF</t>
  </si>
  <si>
    <t>REALNETWORKS INC</t>
  </si>
  <si>
    <t>RNWK</t>
  </si>
  <si>
    <t>REALTY INCOME CORP</t>
  </si>
  <si>
    <t>O</t>
  </si>
  <si>
    <t>REATA PHARMACEUTICALS INC</t>
  </si>
  <si>
    <t>RETA</t>
  </si>
  <si>
    <t>RECON TECHNOLOGY, LTD</t>
  </si>
  <si>
    <t>RCON</t>
  </si>
  <si>
    <t>RECRO PHARMA, INC.</t>
  </si>
  <si>
    <t>REPH</t>
  </si>
  <si>
    <t>RECURSION PHARMACEUTICALS, INC.</t>
  </si>
  <si>
    <t>RXRX</t>
  </si>
  <si>
    <t>RED RIVER BANCSHARES INC</t>
  </si>
  <si>
    <t>RRBI</t>
  </si>
  <si>
    <t>RED ROBIN GOURMET BURGERS INC</t>
  </si>
  <si>
    <t>RRGB</t>
  </si>
  <si>
    <t>RED ROCK RESORTS, INC.</t>
  </si>
  <si>
    <t>RRR</t>
  </si>
  <si>
    <t>RED VIOLET, INC.</t>
  </si>
  <si>
    <t>RDVT</t>
  </si>
  <si>
    <t>REDBOX ENTERTAINMENT INC.</t>
  </si>
  <si>
    <t>RDBX</t>
  </si>
  <si>
    <t>REDFIN CORP</t>
  </si>
  <si>
    <t>RDFN</t>
  </si>
  <si>
    <t>REDWIRE CORP</t>
  </si>
  <si>
    <t>RDW</t>
  </si>
  <si>
    <t>REDWOOD TRUST INC</t>
  </si>
  <si>
    <t>RWT</t>
  </si>
  <si>
    <t>REE AUTOMOTIVE LTD.</t>
  </si>
  <si>
    <t>REE</t>
  </si>
  <si>
    <t>REED'S, INC.</t>
  </si>
  <si>
    <t>REED</t>
  </si>
  <si>
    <t>REGAL REXNORD CORP</t>
  </si>
  <si>
    <t>RRX</t>
  </si>
  <si>
    <t>REGENCY CENTERS CORP</t>
  </si>
  <si>
    <t>REG</t>
  </si>
  <si>
    <t>REGENERON PHARMACEUTICALS, INC.</t>
  </si>
  <si>
    <t>REGN</t>
  </si>
  <si>
    <t>REGENXBIO INC.</t>
  </si>
  <si>
    <t>RGNX</t>
  </si>
  <si>
    <t>REGIONAL MANAGEMENT CORP.</t>
  </si>
  <si>
    <t>RM</t>
  </si>
  <si>
    <t>REGIONS FINANCIAL CORP</t>
  </si>
  <si>
    <t>RF</t>
  </si>
  <si>
    <t>REGIS CORP</t>
  </si>
  <si>
    <t>RGS</t>
  </si>
  <si>
    <t>REGULUS THERAPEUTICS INC.</t>
  </si>
  <si>
    <t>RGLS</t>
  </si>
  <si>
    <t>REINSURANCE GROUP OF AMERICA INC</t>
  </si>
  <si>
    <t>RGA</t>
  </si>
  <si>
    <t>REKOR SYSTEMS, INC.</t>
  </si>
  <si>
    <t>REKR</t>
  </si>
  <si>
    <t>RELAY THERAPEUTICS, INC.</t>
  </si>
  <si>
    <t>RLAY</t>
  </si>
  <si>
    <t>RELIABILITY INC</t>
  </si>
  <si>
    <t>RLBY</t>
  </si>
  <si>
    <t>RELIANCE GLOBAL GROUP, INC.</t>
  </si>
  <si>
    <t>RELI</t>
  </si>
  <si>
    <t>RELIANCE STEEL &amp; ALUMINUM CO</t>
  </si>
  <si>
    <t>RS</t>
  </si>
  <si>
    <t>RELMADA THERAPEUTICS, INC.</t>
  </si>
  <si>
    <t>RLMD</t>
  </si>
  <si>
    <t>REMARK HOLDINGS, INC.</t>
  </si>
  <si>
    <t>MARK</t>
  </si>
  <si>
    <t>REMITLY GLOBAL, INC.</t>
  </si>
  <si>
    <t>RELY</t>
  </si>
  <si>
    <t>RENAISSANCERE HOLDINGS LTD</t>
  </si>
  <si>
    <t>RNR</t>
  </si>
  <si>
    <t>RENASANT CORP</t>
  </si>
  <si>
    <t>RNST</t>
  </si>
  <si>
    <t>RENESOLA LTD</t>
  </si>
  <si>
    <t>SOL</t>
  </si>
  <si>
    <t>RENREN INC.</t>
  </si>
  <si>
    <t>RENN</t>
  </si>
  <si>
    <t>RENT A CENTER INC DE</t>
  </si>
  <si>
    <t>RCII</t>
  </si>
  <si>
    <t>RENT THE RUNWAY, INC.</t>
  </si>
  <si>
    <t>RENT</t>
  </si>
  <si>
    <t>REPAY HOLDINGS CORP</t>
  </si>
  <si>
    <t>RPAY</t>
  </si>
  <si>
    <t>REPLIGEN CORP</t>
  </si>
  <si>
    <t>RGEN</t>
  </si>
  <si>
    <t>REPRO MED SYSTEMS INC</t>
  </si>
  <si>
    <t>KRMD</t>
  </si>
  <si>
    <t>REPUBLIC BANCORP INC /KY/</t>
  </si>
  <si>
    <t>RBCAA</t>
  </si>
  <si>
    <t>REPUBLIC FIRST BANCORP INC</t>
  </si>
  <si>
    <t>FRBK</t>
  </si>
  <si>
    <t>REPUBLIC SERVICES, INC.</t>
  </si>
  <si>
    <t>RSG</t>
  </si>
  <si>
    <t>RESEARCH SOLUTIONS, INC.</t>
  </si>
  <si>
    <t>RSSS</t>
  </si>
  <si>
    <t>RESERVE PETROLEUM CO</t>
  </si>
  <si>
    <t>RSRV</t>
  </si>
  <si>
    <t>RESERVOIR MEDIA, INC.</t>
  </si>
  <si>
    <t>RSVR</t>
  </si>
  <si>
    <t>RESIDEO TECHNOLOGIES, INC.</t>
  </si>
  <si>
    <t>REZI</t>
  </si>
  <si>
    <t>RESMED INC</t>
  </si>
  <si>
    <t>RMD</t>
  </si>
  <si>
    <t>RESOLUTE FOREST PRODUCTS INC.</t>
  </si>
  <si>
    <t>RFP</t>
  </si>
  <si>
    <t>RESOURCES CONNECTION, INC.</t>
  </si>
  <si>
    <t>RGP</t>
  </si>
  <si>
    <t>RESTAURANT BRANDS INTERNATIONAL INC.</t>
  </si>
  <si>
    <t>QSR</t>
  </si>
  <si>
    <t>RETAIL OPPORTUNITY INVESTMENTS CORP</t>
  </si>
  <si>
    <t>ROIC</t>
  </si>
  <si>
    <t>RETO ECO-SOLUTIONS, INC.</t>
  </si>
  <si>
    <t>RETO</t>
  </si>
  <si>
    <t>RETRACTABLE TECHNOLOGIES INC</t>
  </si>
  <si>
    <t>RVP</t>
  </si>
  <si>
    <t>REV GROUP, INC.</t>
  </si>
  <si>
    <t>REVG</t>
  </si>
  <si>
    <t>REVANCE THERAPEUTICS, INC.</t>
  </si>
  <si>
    <t>RVNC</t>
  </si>
  <si>
    <t>REVLON INC /DE/</t>
  </si>
  <si>
    <t>REV</t>
  </si>
  <si>
    <t>REVOLUTION MEDICINES, INC.</t>
  </si>
  <si>
    <t>RVMD</t>
  </si>
  <si>
    <t>REVOLVE GROUP, INC.</t>
  </si>
  <si>
    <t>RVLV</t>
  </si>
  <si>
    <t>REWALK ROBOTICS LTD.</t>
  </si>
  <si>
    <t>RWLK</t>
  </si>
  <si>
    <t>REX AMERICAN RESOURCES CORP</t>
  </si>
  <si>
    <t>REX</t>
  </si>
  <si>
    <t>REXFORD INDUSTRIAL REALTY, INC.</t>
  </si>
  <si>
    <t>REXR</t>
  </si>
  <si>
    <t>REYNOLDS CONSUMER PRODUCTS INC.</t>
  </si>
  <si>
    <t>REYN</t>
  </si>
  <si>
    <t>RGC RESOURCES INC</t>
  </si>
  <si>
    <t>RGCO</t>
  </si>
  <si>
    <t>RH</t>
  </si>
  <si>
    <t>RHINEBECK BANCORP, INC.</t>
  </si>
  <si>
    <t>RBKB</t>
  </si>
  <si>
    <t>RIBBON COMMUNICATIONS INC.</t>
  </si>
  <si>
    <t>RBBN</t>
  </si>
  <si>
    <t>RICEBRAN TECHNOLOGIES</t>
  </si>
  <si>
    <t>RIBT</t>
  </si>
  <si>
    <t>RICHARDSON ELECTRONICS LTD/DE</t>
  </si>
  <si>
    <t>RELL</t>
  </si>
  <si>
    <t>RICHMOND MUTUAL BANCORPORATION, INC.</t>
  </si>
  <si>
    <t>RMBI</t>
  </si>
  <si>
    <t>RIGEL PHARMACEUTICALS INC</t>
  </si>
  <si>
    <t>RIGL</t>
  </si>
  <si>
    <t>RILEY EXPLORATION PERMIAN, INC.</t>
  </si>
  <si>
    <t>REPX</t>
  </si>
  <si>
    <t>RIMINI STREET, INC.</t>
  </si>
  <si>
    <t>RMNI</t>
  </si>
  <si>
    <t>RING ENERGY, INC.</t>
  </si>
  <si>
    <t>REI</t>
  </si>
  <si>
    <t>RINGCENTRAL, INC.</t>
  </si>
  <si>
    <t>RNG</t>
  </si>
  <si>
    <t>RIOT BLOCKCHAIN, INC.</t>
  </si>
  <si>
    <t>RIOT</t>
  </si>
  <si>
    <t>RISKIFIED LTD.</t>
  </si>
  <si>
    <t>RSKD</t>
  </si>
  <si>
    <t>RITCHIE BROS AUCTIONEERS INC</t>
  </si>
  <si>
    <t>RBA</t>
  </si>
  <si>
    <t>RITE AID CORP</t>
  </si>
  <si>
    <t>RAD</t>
  </si>
  <si>
    <t>RIVERVIEW BANCORP INC</t>
  </si>
  <si>
    <t>RVSB</t>
  </si>
  <si>
    <t>RLI CORP</t>
  </si>
  <si>
    <t>RLI</t>
  </si>
  <si>
    <t>RLJ LODGING TRUST</t>
  </si>
  <si>
    <t>RLJ</t>
  </si>
  <si>
    <t>RLX TECHNOLOGY INC.</t>
  </si>
  <si>
    <t>RLX</t>
  </si>
  <si>
    <t>RMR GROUP INC.</t>
  </si>
  <si>
    <t>RMR</t>
  </si>
  <si>
    <t>ROBERT HALF INTERNATIONAL INC.</t>
  </si>
  <si>
    <t>RHI</t>
  </si>
  <si>
    <t>ROBINHOOD MARKETS, INC.</t>
  </si>
  <si>
    <t>HOOD</t>
  </si>
  <si>
    <t>ROBLOX CORP</t>
  </si>
  <si>
    <t>RBLX</t>
  </si>
  <si>
    <t>ROCKET COMPANIES, INC.</t>
  </si>
  <si>
    <t>RKT</t>
  </si>
  <si>
    <t>ROCKET LAB USA, INC.</t>
  </si>
  <si>
    <t>RKLB</t>
  </si>
  <si>
    <t>ROCKLEY PHOTONICS HOLDINGS LTD</t>
  </si>
  <si>
    <t>RKLY</t>
  </si>
  <si>
    <t>ROCKWELL AUTOMATION, INC</t>
  </si>
  <si>
    <t>ROK</t>
  </si>
  <si>
    <t>ROCKWELL MEDICAL, INC.</t>
  </si>
  <si>
    <t>RMTI</t>
  </si>
  <si>
    <t>ROCKY BRANDS, INC.</t>
  </si>
  <si>
    <t>RCKY</t>
  </si>
  <si>
    <t>ROCKY MOUNTAIN CHOCOLATE FACTORY, INC.</t>
  </si>
  <si>
    <t>RMCF</t>
  </si>
  <si>
    <t>ROGERS CORP</t>
  </si>
  <si>
    <t>ROG</t>
  </si>
  <si>
    <t>ROIVANT SCIENCES LTD.</t>
  </si>
  <si>
    <t>ROIV</t>
  </si>
  <si>
    <t>ROKU, INC</t>
  </si>
  <si>
    <t>ROKU</t>
  </si>
  <si>
    <t>ROLLINS INC</t>
  </si>
  <si>
    <t>ROL</t>
  </si>
  <si>
    <t>ROMEO POWER, INC.</t>
  </si>
  <si>
    <t>RMO</t>
  </si>
  <si>
    <t>ROOT, INC.</t>
  </si>
  <si>
    <t>ROOT</t>
  </si>
  <si>
    <t>ROPER TECHNOLOGIES INC</t>
  </si>
  <si>
    <t>ROP</t>
  </si>
  <si>
    <t>ROSS STORES, INC.</t>
  </si>
  <si>
    <t>ROVER GROUP, INC.</t>
  </si>
  <si>
    <t>ROVR</t>
  </si>
  <si>
    <t>ROYAL GOLD INC</t>
  </si>
  <si>
    <t>RGLD</t>
  </si>
  <si>
    <t>ROYALTY PHARMA PLC</t>
  </si>
  <si>
    <t>RPRX</t>
  </si>
  <si>
    <t>RPC INC</t>
  </si>
  <si>
    <t>RES</t>
  </si>
  <si>
    <t>RPM INTERNATIONAL INC/DE/</t>
  </si>
  <si>
    <t>RPM</t>
  </si>
  <si>
    <t>RPT REALTY</t>
  </si>
  <si>
    <t>RPT</t>
  </si>
  <si>
    <t>RUBICON TECHNOLOGY, INC.</t>
  </si>
  <si>
    <t>RBCN</t>
  </si>
  <si>
    <t>RUMBLEON, INC.</t>
  </si>
  <si>
    <t>RMBL</t>
  </si>
  <si>
    <t>RUSH ENTERPRISES INC TX</t>
  </si>
  <si>
    <t>RUSHA</t>
  </si>
  <si>
    <t>RUSH STREET INTERACTIVE, INC.</t>
  </si>
  <si>
    <t>RSI</t>
  </si>
  <si>
    <t>RUTHS HOSPITALITY GROUP, INC.</t>
  </si>
  <si>
    <t>RUTH</t>
  </si>
  <si>
    <t>RXSIGHT, INC.</t>
  </si>
  <si>
    <t>RXST</t>
  </si>
  <si>
    <t>RYAN SPECIALTY GROUP HOLDINGS, INC.</t>
  </si>
  <si>
    <t>RYAN</t>
  </si>
  <si>
    <t>RYDER SYSTEM INC</t>
  </si>
  <si>
    <t>R</t>
  </si>
  <si>
    <t>RYERSON HOLDING CORP</t>
  </si>
  <si>
    <t>RYI</t>
  </si>
  <si>
    <t>RYMAN HOSPITALITY PROPERTIES, INC.</t>
  </si>
  <si>
    <t>RHP</t>
  </si>
  <si>
    <t>S&amp;P GLOBAL INC.</t>
  </si>
  <si>
    <t>SPGI</t>
  </si>
  <si>
    <t>S&amp;T BANCORP INC</t>
  </si>
  <si>
    <t>STBA</t>
  </si>
  <si>
    <t>S&amp;W SEED CO</t>
  </si>
  <si>
    <t>SANW</t>
  </si>
  <si>
    <t>SAB BIOTHERAPEUTICS, INC.</t>
  </si>
  <si>
    <t>SABS</t>
  </si>
  <si>
    <t>SABRA HEALTH CARE REIT, INC.</t>
  </si>
  <si>
    <t>SBRA</t>
  </si>
  <si>
    <t>SABRE CORP</t>
  </si>
  <si>
    <t>SABR</t>
  </si>
  <si>
    <t>SACHEM CAPITAL CORP.</t>
  </si>
  <si>
    <t>SACH</t>
  </si>
  <si>
    <t>SAFEHOLD INC.</t>
  </si>
  <si>
    <t>SAFE</t>
  </si>
  <si>
    <t>SAFETY INSURANCE GROUP INC</t>
  </si>
  <si>
    <t>SAFT</t>
  </si>
  <si>
    <t>SAGA COMMUNICATIONS INC</t>
  </si>
  <si>
    <t>SGA</t>
  </si>
  <si>
    <t>SAGE THERAPEUTICS, INC.</t>
  </si>
  <si>
    <t>SAGE</t>
  </si>
  <si>
    <t>SAIA INC</t>
  </si>
  <si>
    <t>SAIA</t>
  </si>
  <si>
    <t>SAILPOINT TECHNOLOGIES HOLDINGS, INC.</t>
  </si>
  <si>
    <t>SAIL</t>
  </si>
  <si>
    <t>SALEM MEDIA GROUP, INC. /DE/</t>
  </si>
  <si>
    <t>SALM</t>
  </si>
  <si>
    <t>SALESFORCE.COM, INC.</t>
  </si>
  <si>
    <t>CRM</t>
  </si>
  <si>
    <t>SALISBURY BANCORP, INC.</t>
  </si>
  <si>
    <t>SAL</t>
  </si>
  <si>
    <t>SALLY BEAUTY HOLDINGS, INC.</t>
  </si>
  <si>
    <t>SBH</t>
  </si>
  <si>
    <t>SANDERSON FARMS INC</t>
  </si>
  <si>
    <t>SAFM</t>
  </si>
  <si>
    <t>SANDRIDGE ENERGY INC</t>
  </si>
  <si>
    <t>SD</t>
  </si>
  <si>
    <t>SANDY SPRING BANCORP INC</t>
  </si>
  <si>
    <t>SASR</t>
  </si>
  <si>
    <t>SANFILIPPO JOHN B &amp; SON INC</t>
  </si>
  <si>
    <t>JBSS</t>
  </si>
  <si>
    <t>SANGAMO THERAPEUTICS, INC</t>
  </si>
  <si>
    <t>SGMO</t>
  </si>
  <si>
    <t>SANMINA CORP</t>
  </si>
  <si>
    <t>SANM</t>
  </si>
  <si>
    <t>SANUWAVE HEALTH, INC.</t>
  </si>
  <si>
    <t>SNWV</t>
  </si>
  <si>
    <t>SAPIENS INTERNATIONAL CORP N V</t>
  </si>
  <si>
    <t>SPNS</t>
  </si>
  <si>
    <t>SARCOS TECHNOLOGY &amp; ROBOTICS CORP</t>
  </si>
  <si>
    <t>STRC</t>
  </si>
  <si>
    <t>SAREPTA THERAPEUTICS, INC.</t>
  </si>
  <si>
    <t>SRPT</t>
  </si>
  <si>
    <t>SAUL CENTERS, INC.</t>
  </si>
  <si>
    <t>BFS</t>
  </si>
  <si>
    <t>SB FINANCIAL GROUP, INC.</t>
  </si>
  <si>
    <t>SBFG</t>
  </si>
  <si>
    <t>SBA COMMUNICATIONS CORP</t>
  </si>
  <si>
    <t>SBAC</t>
  </si>
  <si>
    <t>SCANSOURCE, INC.</t>
  </si>
  <si>
    <t>SCSC</t>
  </si>
  <si>
    <t>SCHLUMBERGER LIMITED/NV</t>
  </si>
  <si>
    <t>SLB</t>
  </si>
  <si>
    <t>SCHMITT INDUSTRIES INC</t>
  </si>
  <si>
    <t>SMIT</t>
  </si>
  <si>
    <t>SCHNEIDER NATIONAL, INC.</t>
  </si>
  <si>
    <t>SNDR</t>
  </si>
  <si>
    <t>SCHNITZER STEEL INDUSTRIES, INC.</t>
  </si>
  <si>
    <t>SCHN</t>
  </si>
  <si>
    <t>SCHOLAR ROCK HOLDING CORP</t>
  </si>
  <si>
    <t>SRRK</t>
  </si>
  <si>
    <t>SCHOLASTIC CORP</t>
  </si>
  <si>
    <t>SCHL</t>
  </si>
  <si>
    <t>SCHRODINGER, INC.</t>
  </si>
  <si>
    <t>SDGR</t>
  </si>
  <si>
    <t>SCHWAB CHARLES CORP</t>
  </si>
  <si>
    <t>SCHW</t>
  </si>
  <si>
    <t>SCHWEITZER MAUDUIT INTERNATIONAL INC</t>
  </si>
  <si>
    <t>SWM</t>
  </si>
  <si>
    <t>SCIENCE 37 HOLDINGS, INC.</t>
  </si>
  <si>
    <t>SNCE</t>
  </si>
  <si>
    <t>SCIENCE APPLICATIONS INTERNATIONAL CORP</t>
  </si>
  <si>
    <t>SAIC</t>
  </si>
  <si>
    <t>SCIENJOY HOLDING CORP</t>
  </si>
  <si>
    <t>SJ</t>
  </si>
  <si>
    <t>SCIENTIFIC INDUSTRIES INC</t>
  </si>
  <si>
    <t>SCND</t>
  </si>
  <si>
    <t>SCIPLAY CORP</t>
  </si>
  <si>
    <t>SCPL</t>
  </si>
  <si>
    <t>SCOTTS MIRACLE-GRO CO</t>
  </si>
  <si>
    <t>SMG</t>
  </si>
  <si>
    <t>SCULPTOR CAPITAL MANAGEMENT, INC.</t>
  </si>
  <si>
    <t>SCU</t>
  </si>
  <si>
    <t>SEA LTD</t>
  </si>
  <si>
    <t>SE</t>
  </si>
  <si>
    <t>SEABOARD CORP /DE/</t>
  </si>
  <si>
    <t>SEB</t>
  </si>
  <si>
    <t>SEACHANGE INTERNATIONAL INC</t>
  </si>
  <si>
    <t>SEAC</t>
  </si>
  <si>
    <t>SEACOAST BANKING CORP OF FLORIDA</t>
  </si>
  <si>
    <t>SBCF</t>
  </si>
  <si>
    <t>SEACOR MARINE HOLDINGS INC.</t>
  </si>
  <si>
    <t>SMHI</t>
  </si>
  <si>
    <t>SEAGATE TECHNOLOGY HOLDINGS PLC</t>
  </si>
  <si>
    <t>STX</t>
  </si>
  <si>
    <t>SEAGEN INC.</t>
  </si>
  <si>
    <t>SGEN</t>
  </si>
  <si>
    <t>SEALED AIR CORP/DE</t>
  </si>
  <si>
    <t>SEE</t>
  </si>
  <si>
    <t>SEANERGY MARITIME HOLDINGS CORP.</t>
  </si>
  <si>
    <t>SHIP</t>
  </si>
  <si>
    <t>SEASPINE HOLDINGS CORP</t>
  </si>
  <si>
    <t>SPNE</t>
  </si>
  <si>
    <t>SEAWORLD ENTERTAINMENT, INC.</t>
  </si>
  <si>
    <t>SEAS</t>
  </si>
  <si>
    <t>SECOO HOLDING LTD</t>
  </si>
  <si>
    <t>SECO</t>
  </si>
  <si>
    <t>SECUREWORKS CORP</t>
  </si>
  <si>
    <t>SCWX</t>
  </si>
  <si>
    <t>SECURITY FEDERAL CORP</t>
  </si>
  <si>
    <t>SFDL</t>
  </si>
  <si>
    <t>SECURITY NATIONAL FINANCIAL CORP</t>
  </si>
  <si>
    <t>SNFCA</t>
  </si>
  <si>
    <t>SEER, INC.</t>
  </si>
  <si>
    <t>SEER</t>
  </si>
  <si>
    <t>SEI INVESTMENTS CO</t>
  </si>
  <si>
    <t>SEIC</t>
  </si>
  <si>
    <t>SELECT ENERGY SERVICES, INC.</t>
  </si>
  <si>
    <t>WTTR</t>
  </si>
  <si>
    <t>SELECT MEDICAL HOLDINGS CORP</t>
  </si>
  <si>
    <t>SEM</t>
  </si>
  <si>
    <t>SELECTA BIOSCIENCES INC</t>
  </si>
  <si>
    <t>SELB</t>
  </si>
  <si>
    <t>SELECTIVE INSURANCE GROUP INC</t>
  </si>
  <si>
    <t>SIGI</t>
  </si>
  <si>
    <t>SELECTQUOTE, INC.</t>
  </si>
  <si>
    <t>SLQT</t>
  </si>
  <si>
    <t>SELLAS LIFE SCIENCES GROUP, INC.</t>
  </si>
  <si>
    <t>SLS</t>
  </si>
  <si>
    <t>SEMA4 HOLDINGS CORP.</t>
  </si>
  <si>
    <t>SMFR</t>
  </si>
  <si>
    <t>SEMILEDS CORP</t>
  </si>
  <si>
    <t>LEDS</t>
  </si>
  <si>
    <t>SEMLER SCIENTIFIC, INC.</t>
  </si>
  <si>
    <t>SMLR</t>
  </si>
  <si>
    <t>SEMPRA ENERGY</t>
  </si>
  <si>
    <t>SRE</t>
  </si>
  <si>
    <t>SEMRUSH HOLDINGS, INC.</t>
  </si>
  <si>
    <t>SEMR</t>
  </si>
  <si>
    <t>SEMTECH CORP</t>
  </si>
  <si>
    <t>SMTC</t>
  </si>
  <si>
    <t>SENECA FOODS CORP</t>
  </si>
  <si>
    <t>SENEA</t>
  </si>
  <si>
    <t>SENMIAO TECHNOLOGY LTD</t>
  </si>
  <si>
    <t>AIHS</t>
  </si>
  <si>
    <t>SENSATA TECHNOLOGIES HOLDING PLC</t>
  </si>
  <si>
    <t>ST</t>
  </si>
  <si>
    <t>SENSEONICS HOLDINGS, INC.</t>
  </si>
  <si>
    <t>SENS</t>
  </si>
  <si>
    <t>SENSIENT TECHNOLOGIES CORP</t>
  </si>
  <si>
    <t>SXT</t>
  </si>
  <si>
    <t>SENSTAR TECHNOLOGIES LTD.</t>
  </si>
  <si>
    <t>SNT</t>
  </si>
  <si>
    <t>SENTINELONE, INC.</t>
  </si>
  <si>
    <t>S</t>
  </si>
  <si>
    <t>SERA PROGNOSTICS, INC.</t>
  </si>
  <si>
    <t>SERA</t>
  </si>
  <si>
    <t>SERES THERAPEUTICS, INC.</t>
  </si>
  <si>
    <t>MCRB</t>
  </si>
  <si>
    <t>SERITAGE GROWTH PROPERTIES</t>
  </si>
  <si>
    <t>SRG</t>
  </si>
  <si>
    <t>SERVICE CORP INTERNATIONAL</t>
  </si>
  <si>
    <t>SCI</t>
  </si>
  <si>
    <t>SERVICE PROPERTIES TRUST</t>
  </si>
  <si>
    <t>SVC</t>
  </si>
  <si>
    <t>SERVICENOW, INC.</t>
  </si>
  <si>
    <t>NOW</t>
  </si>
  <si>
    <t>SERVICESOURCE INTERNATIONAL, INC.</t>
  </si>
  <si>
    <t>SREV</t>
  </si>
  <si>
    <t>SERVISFIRST BANCSHARES, INC.</t>
  </si>
  <si>
    <t>SFBS</t>
  </si>
  <si>
    <t>SERVOTRONICS INC /DE/</t>
  </si>
  <si>
    <t>SVT</t>
  </si>
  <si>
    <t>SESEN BIO, INC.</t>
  </si>
  <si>
    <t>SESN</t>
  </si>
  <si>
    <t>SEZZLE INC.</t>
  </si>
  <si>
    <t>SEZNL</t>
  </si>
  <si>
    <t>SFL CORP LTD.</t>
  </si>
  <si>
    <t>SFL</t>
  </si>
  <si>
    <t>SG BLOCKS, INC.</t>
  </si>
  <si>
    <t>SGBX</t>
  </si>
  <si>
    <t>SHAKE SHACK INC.</t>
  </si>
  <si>
    <t>SHAK</t>
  </si>
  <si>
    <t>SHARECARE, INC.</t>
  </si>
  <si>
    <t>SHCR</t>
  </si>
  <si>
    <t>SHARPS COMPLIANCE CORP</t>
  </si>
  <si>
    <t>SMED</t>
  </si>
  <si>
    <t>SHATTUCK LABS, INC.</t>
  </si>
  <si>
    <t>STTK</t>
  </si>
  <si>
    <t>SHELL MIDSTREAM PARTNERS, L.P.</t>
  </si>
  <si>
    <t>SHLX</t>
  </si>
  <si>
    <t>SHENANDOAH TELECOMMUNICATIONS CO/VA/</t>
  </si>
  <si>
    <t>SHEN</t>
  </si>
  <si>
    <t>SHERWIN WILLIAMS CO</t>
  </si>
  <si>
    <t>SHW</t>
  </si>
  <si>
    <t>SHIFT TECHNOLOGIES, INC.</t>
  </si>
  <si>
    <t>SFT</t>
  </si>
  <si>
    <t>SHIFT4 PAYMENTS, INC.</t>
  </si>
  <si>
    <t>SHINECO, INC.</t>
  </si>
  <si>
    <t>SISI</t>
  </si>
  <si>
    <t>SHOALS TECHNOLOGIES GROUP, INC.</t>
  </si>
  <si>
    <t>SHLS</t>
  </si>
  <si>
    <t>SHOCKWAVE MEDICAL, INC.</t>
  </si>
  <si>
    <t>SWAV</t>
  </si>
  <si>
    <t>SHOE CARNIVAL INC</t>
  </si>
  <si>
    <t>SCVL</t>
  </si>
  <si>
    <t>SHOPIFY INC.</t>
  </si>
  <si>
    <t>SHOP</t>
  </si>
  <si>
    <t>SHORE BANCSHARES INC</t>
  </si>
  <si>
    <t>SHBI</t>
  </si>
  <si>
    <t>SHOTSPOTTER, INC</t>
  </si>
  <si>
    <t>SSTI</t>
  </si>
  <si>
    <t>SHUTTERSTOCK, INC.</t>
  </si>
  <si>
    <t>SSTK</t>
  </si>
  <si>
    <t>SHYFT GROUP, INC.</t>
  </si>
  <si>
    <t>SHYF</t>
  </si>
  <si>
    <t>SI-BONE, INC.</t>
  </si>
  <si>
    <t>SIBN</t>
  </si>
  <si>
    <t>SIEBERT FINANCIAL CORP</t>
  </si>
  <si>
    <t>SIEB</t>
  </si>
  <si>
    <t>SIENTRA, INC.</t>
  </si>
  <si>
    <t>SIEN</t>
  </si>
  <si>
    <t>SIERRA BANCORP</t>
  </si>
  <si>
    <t>BSRR</t>
  </si>
  <si>
    <t>SIERRA WIRELESS INC</t>
  </si>
  <si>
    <t>SWIR</t>
  </si>
  <si>
    <t>SIFCO INDUSTRIES INC</t>
  </si>
  <si>
    <t>SIF</t>
  </si>
  <si>
    <t>SIGA TECHNOLOGIES INC</t>
  </si>
  <si>
    <t>SIGA</t>
  </si>
  <si>
    <t>SIGHT SCIENCES, INC.</t>
  </si>
  <si>
    <t>SGHT</t>
  </si>
  <si>
    <t>SIGILON THERAPEUTICS, INC.</t>
  </si>
  <si>
    <t>SGTX</t>
  </si>
  <si>
    <t>SIGMATRON INTERNATIONAL INC</t>
  </si>
  <si>
    <t>SGMA</t>
  </si>
  <si>
    <t>SIGNET JEWELERS LTD</t>
  </si>
  <si>
    <t>SIG</t>
  </si>
  <si>
    <t>SIGNIFY HEALTH, INC.</t>
  </si>
  <si>
    <t>SGFY</t>
  </si>
  <si>
    <t>SILGAN HOLDINGS INC</t>
  </si>
  <si>
    <t>SLGN</t>
  </si>
  <si>
    <t>SILICOM LTD.</t>
  </si>
  <si>
    <t>SILC</t>
  </si>
  <si>
    <t>SILICON LABORATORIES INC.</t>
  </si>
  <si>
    <t>SLAB</t>
  </si>
  <si>
    <t>SILICON MOTION TECHNOLOGY CORP</t>
  </si>
  <si>
    <t>SIMO</t>
  </si>
  <si>
    <t>SILK ROAD MEDICAL INC</t>
  </si>
  <si>
    <t>SILK</t>
  </si>
  <si>
    <t>SILVERBOW RESOURCES, INC.</t>
  </si>
  <si>
    <t>SBOW</t>
  </si>
  <si>
    <t>SILVERCREST ASSET MANAGEMENT GROUP INC.</t>
  </si>
  <si>
    <t>SAMG</t>
  </si>
  <si>
    <t>SILVERGATE CAPITAL CORP</t>
  </si>
  <si>
    <t>SI</t>
  </si>
  <si>
    <t>SILVERSUN TECHNOLOGIES, INC.</t>
  </si>
  <si>
    <t>SSNT</t>
  </si>
  <si>
    <t>SIMILARWEB LTD.</t>
  </si>
  <si>
    <t>SMWB</t>
  </si>
  <si>
    <t>SIMMONS FIRST NATIONAL CORP</t>
  </si>
  <si>
    <t>SFNC</t>
  </si>
  <si>
    <t>SIMON PROPERTY GROUP INC /DE/</t>
  </si>
  <si>
    <t>SPG</t>
  </si>
  <si>
    <t>SIMPLY GOOD FOODS CO</t>
  </si>
  <si>
    <t>SMPL</t>
  </si>
  <si>
    <t>SIMPSON MANUFACTURING CO., INC.</t>
  </si>
  <si>
    <t>SSD</t>
  </si>
  <si>
    <t>SIMULATIONS PLUS, INC.</t>
  </si>
  <si>
    <t>SLP</t>
  </si>
  <si>
    <t>SINCLAIR BROADCAST GROUP INC</t>
  </si>
  <si>
    <t>SBGI</t>
  </si>
  <si>
    <t>SINOVAC BIOTECH LTD</t>
  </si>
  <si>
    <t>SVA</t>
  </si>
  <si>
    <t>SINTX TECHNOLOGIES, INC.</t>
  </si>
  <si>
    <t>SINT</t>
  </si>
  <si>
    <t>SIRIUS XM HOLDINGS INC.</t>
  </si>
  <si>
    <t>SIRIUSPOINT LTD</t>
  </si>
  <si>
    <t>SPNT</t>
  </si>
  <si>
    <t>SITE CENTERS CORP.</t>
  </si>
  <si>
    <t>SITC</t>
  </si>
  <si>
    <t>SITEONE LANDSCAPE SUPPLY, INC.</t>
  </si>
  <si>
    <t>SITE</t>
  </si>
  <si>
    <t>SITIME CORP</t>
  </si>
  <si>
    <t>SITM</t>
  </si>
  <si>
    <t>SIX FLAGS ENTERTAINMENT CORP</t>
  </si>
  <si>
    <t>SIX</t>
  </si>
  <si>
    <t>SJW GROUP</t>
  </si>
  <si>
    <t>SJW</t>
  </si>
  <si>
    <t>SKECHERS USA INC</t>
  </si>
  <si>
    <t>SKX</t>
  </si>
  <si>
    <t>SKILLFUL CRAFTSMAN EDUCATION TECHNOLOGY LTD</t>
  </si>
  <si>
    <t>EDTK</t>
  </si>
  <si>
    <t>SKILLZ INC.</t>
  </si>
  <si>
    <t>SKLZ</t>
  </si>
  <si>
    <t>SKYLINE CHAMPION CORP</t>
  </si>
  <si>
    <t>SKY</t>
  </si>
  <si>
    <t>SKYWATER TECHNOLOGY, INC</t>
  </si>
  <si>
    <t>SKYT</t>
  </si>
  <si>
    <t>SKYWEST INC</t>
  </si>
  <si>
    <t>SKYW</t>
  </si>
  <si>
    <t>SKYWORKS SOLUTIONS INC</t>
  </si>
  <si>
    <t>SWKS</t>
  </si>
  <si>
    <t>SL GREEN REALTY CORP</t>
  </si>
  <si>
    <t>SLG</t>
  </si>
  <si>
    <t>SLEEP NUMBER CORP</t>
  </si>
  <si>
    <t>SNBR</t>
  </si>
  <si>
    <t>SLM CORP</t>
  </si>
  <si>
    <t>SLM</t>
  </si>
  <si>
    <t>SM ENERGY CO</t>
  </si>
  <si>
    <t>SM</t>
  </si>
  <si>
    <t>SMART GLOBAL HOLDINGS, INC.</t>
  </si>
  <si>
    <t>SGH</t>
  </si>
  <si>
    <t>SMART SAND, INC.</t>
  </si>
  <si>
    <t>SND</t>
  </si>
  <si>
    <t>SMARTFINANCIAL INC.</t>
  </si>
  <si>
    <t>SMBK</t>
  </si>
  <si>
    <t>SMARTRENT, INC.</t>
  </si>
  <si>
    <t>SMRT</t>
  </si>
  <si>
    <t>SMARTSHEET INC</t>
  </si>
  <si>
    <t>SMAR</t>
  </si>
  <si>
    <t>SMILEDIRECTCLUB, INC.</t>
  </si>
  <si>
    <t>SDC</t>
  </si>
  <si>
    <t>SMITH &amp; WESSON BRANDS, INC.</t>
  </si>
  <si>
    <t>SWBI</t>
  </si>
  <si>
    <t>SMITH A O CORP</t>
  </si>
  <si>
    <t>AOS</t>
  </si>
  <si>
    <t>SMITH MICRO SOFTWARE, INC.</t>
  </si>
  <si>
    <t>SMSI</t>
  </si>
  <si>
    <t>SMITH MIDLAND CORP</t>
  </si>
  <si>
    <t>SMID</t>
  </si>
  <si>
    <t>SNAP INC</t>
  </si>
  <si>
    <t>SNAP</t>
  </si>
  <si>
    <t>SNAP ONE HOLDINGS CORP.</t>
  </si>
  <si>
    <t>SNPO</t>
  </si>
  <si>
    <t>SNAP-ON INC</t>
  </si>
  <si>
    <t>SNA</t>
  </si>
  <si>
    <t>SNOWFLAKE INC.</t>
  </si>
  <si>
    <t>SNOW</t>
  </si>
  <si>
    <t>SO-YOUNG INTERNATIONAL INC.</t>
  </si>
  <si>
    <t>SY</t>
  </si>
  <si>
    <t>SOCKET MOBILE, INC.</t>
  </si>
  <si>
    <t>SCKT</t>
  </si>
  <si>
    <t>SOFI TECHNOLOGIES, INC.</t>
  </si>
  <si>
    <t>SOFI</t>
  </si>
  <si>
    <t>SOHU.COM LTD</t>
  </si>
  <si>
    <t>SOHU</t>
  </si>
  <si>
    <t>SOL-GEL TECHNOLOGIES LTD.</t>
  </si>
  <si>
    <t>SLGL</t>
  </si>
  <si>
    <t>SOLAREDGE TECHNOLOGIES, INC.</t>
  </si>
  <si>
    <t>SEDG</t>
  </si>
  <si>
    <t>SOLARIS OILFIELD INFRASTRUCTURE, INC.</t>
  </si>
  <si>
    <t>SOI</t>
  </si>
  <si>
    <t>SOLARWINDOW TECHNOLOGIES, INC.</t>
  </si>
  <si>
    <t>WNDW</t>
  </si>
  <si>
    <t>SOLARWINDS CORP</t>
  </si>
  <si>
    <t>SWI</t>
  </si>
  <si>
    <t>SOLID POWER, INC.</t>
  </si>
  <si>
    <t>SLDP</t>
  </si>
  <si>
    <t>SOLIGENIX, INC.</t>
  </si>
  <si>
    <t>SNGX</t>
  </si>
  <si>
    <t>SOMALOGIC, INC.</t>
  </si>
  <si>
    <t>SLGC</t>
  </si>
  <si>
    <t>SONENDO, INC.</t>
  </si>
  <si>
    <t>SONX</t>
  </si>
  <si>
    <t>SONIC AUTOMOTIVE INC</t>
  </si>
  <si>
    <t>SAH</t>
  </si>
  <si>
    <t>SONIC FOUNDRY INC</t>
  </si>
  <si>
    <t>SOFO</t>
  </si>
  <si>
    <t>SONIDA SENIOR LIVING, INC.</t>
  </si>
  <si>
    <t>SNDA</t>
  </si>
  <si>
    <t>SONO TEK CORP</t>
  </si>
  <si>
    <t>SOTK</t>
  </si>
  <si>
    <t>SONOCO PRODUCTS CO</t>
  </si>
  <si>
    <t>SON</t>
  </si>
  <si>
    <t>SONOS INC</t>
  </si>
  <si>
    <t>SONO</t>
  </si>
  <si>
    <t>SORRENTO THERAPEUTICS, INC.</t>
  </si>
  <si>
    <t>SRNE</t>
  </si>
  <si>
    <t>SOS LTD</t>
  </si>
  <si>
    <t>SOS</t>
  </si>
  <si>
    <t>SOTERA HEALTH CO</t>
  </si>
  <si>
    <t>SHC</t>
  </si>
  <si>
    <t>SOTHERLY HOTELS INC.</t>
  </si>
  <si>
    <t>SOHO</t>
  </si>
  <si>
    <t>SOUND FINANCIAL BANCORP, INC.</t>
  </si>
  <si>
    <t>SFBC</t>
  </si>
  <si>
    <t>SOUTH DAKOTA SOYBEAN PROCESSORS LLC</t>
  </si>
  <si>
    <t>SDSYA</t>
  </si>
  <si>
    <t>SOUTH JERSEY INDUSTRIES INC</t>
  </si>
  <si>
    <t>SJI</t>
  </si>
  <si>
    <t>SOUTH PLAINS FINANCIAL, INC.</t>
  </si>
  <si>
    <t>SPFI</t>
  </si>
  <si>
    <t>SOUTHERN CO</t>
  </si>
  <si>
    <t>SO</t>
  </si>
  <si>
    <t>SOUTHERN COPPER CORP/</t>
  </si>
  <si>
    <t>SCCO</t>
  </si>
  <si>
    <t>SOUTHERN FIRST BANCSHARES INC</t>
  </si>
  <si>
    <t>SFST</t>
  </si>
  <si>
    <t>SOUTHERN MISSOURI BANCORP, INC.</t>
  </si>
  <si>
    <t>SMBC</t>
  </si>
  <si>
    <t>SOUTHERN STATES BANCSHARES, INC.</t>
  </si>
  <si>
    <t>SSBK</t>
  </si>
  <si>
    <t>SOUTHSIDE BANCSHARES INC</t>
  </si>
  <si>
    <t>SBSI</t>
  </si>
  <si>
    <t>SOUTHSTATE CORP</t>
  </si>
  <si>
    <t>SSB</t>
  </si>
  <si>
    <t>SOUTHWEST AIRLINES CO</t>
  </si>
  <si>
    <t>LUV</t>
  </si>
  <si>
    <t>SOUTHWEST GAS HOLDINGS, INC.</t>
  </si>
  <si>
    <t>SWX</t>
  </si>
  <si>
    <t>SOUTHWESTERN ENERGY CO</t>
  </si>
  <si>
    <t>SWN</t>
  </si>
  <si>
    <t>SOVOS BRANDS, INC.</t>
  </si>
  <si>
    <t>SOVO</t>
  </si>
  <si>
    <t>SP PLUS CORP</t>
  </si>
  <si>
    <t>SP</t>
  </si>
  <si>
    <t>SPAR GROUP, INC.</t>
  </si>
  <si>
    <t>SGRP</t>
  </si>
  <si>
    <t>SPARK NETWORKS SE</t>
  </si>
  <si>
    <t>LOV</t>
  </si>
  <si>
    <t>SPARTANNASH CO</t>
  </si>
  <si>
    <t>SPTN</t>
  </si>
  <si>
    <t>SPECTRUM BRANDS HOLDINGS, INC.</t>
  </si>
  <si>
    <t>SPB</t>
  </si>
  <si>
    <t>SPECTRUM PHARMACEUTICALS INC</t>
  </si>
  <si>
    <t>SPPI</t>
  </si>
  <si>
    <t>SPERO THERAPEUTICS, INC.</t>
  </si>
  <si>
    <t>SPRO</t>
  </si>
  <si>
    <t>SPHERE 3D CORP</t>
  </si>
  <si>
    <t>ANY</t>
  </si>
  <si>
    <t>SPI ENERGY CO., LTD.</t>
  </si>
  <si>
    <t>SPI</t>
  </si>
  <si>
    <t>SPINDLETOP OIL &amp; GAS CO</t>
  </si>
  <si>
    <t>SPND</t>
  </si>
  <si>
    <t>SPIRE GLOBAL, INC.</t>
  </si>
  <si>
    <t>SPIR</t>
  </si>
  <si>
    <t>SPIRE INC</t>
  </si>
  <si>
    <t>SR</t>
  </si>
  <si>
    <t>SPIRIT AEROSYSTEMS HOLDINGS, INC.</t>
  </si>
  <si>
    <t>SPR</t>
  </si>
  <si>
    <t>SPIRIT AIRLINES, INC.</t>
  </si>
  <si>
    <t>SAVE</t>
  </si>
  <si>
    <t>SPIRIT REALTY CAPITAL, INC.</t>
  </si>
  <si>
    <t>SRC</t>
  </si>
  <si>
    <t>SPLUNK INC</t>
  </si>
  <si>
    <t>SPLK</t>
  </si>
  <si>
    <t>SPOK HOLDINGS, INC</t>
  </si>
  <si>
    <t>SPOK</t>
  </si>
  <si>
    <t>SPORTSMAN'S WAREHOUSE HOLDINGS, INC.</t>
  </si>
  <si>
    <t>SPWH</t>
  </si>
  <si>
    <t>SPRAGUE RESOURCES LP</t>
  </si>
  <si>
    <t>SRLP</t>
  </si>
  <si>
    <t>SPRINKLR, INC.</t>
  </si>
  <si>
    <t>CXM</t>
  </si>
  <si>
    <t>SPROUT SOCIAL, INC.</t>
  </si>
  <si>
    <t>SPT</t>
  </si>
  <si>
    <t>SPROUTS FARMERS MARKET, INC.</t>
  </si>
  <si>
    <t>SFM</t>
  </si>
  <si>
    <t>SPS COMMERCE INC</t>
  </si>
  <si>
    <t>SPSC</t>
  </si>
  <si>
    <t>SPX CORP</t>
  </si>
  <si>
    <t>SPXC</t>
  </si>
  <si>
    <t>SQUARESPACE, INC.</t>
  </si>
  <si>
    <t>SQSP</t>
  </si>
  <si>
    <t>SQZ BIOTECHNOLOGIES CO</t>
  </si>
  <si>
    <t>SQZ</t>
  </si>
  <si>
    <t>SRAX, INC.</t>
  </si>
  <si>
    <t>SRAX</t>
  </si>
  <si>
    <t>SS&amp;C TECHNOLOGIES HOLDINGS INC</t>
  </si>
  <si>
    <t>SSNC</t>
  </si>
  <si>
    <t>SSR MINING INC.</t>
  </si>
  <si>
    <t>SSRM</t>
  </si>
  <si>
    <t>ST JOE CO</t>
  </si>
  <si>
    <t>JOE</t>
  </si>
  <si>
    <t>STAAR SURGICAL CO</t>
  </si>
  <si>
    <t>STAA</t>
  </si>
  <si>
    <t>STABILIS SOLUTIONS, INC.</t>
  </si>
  <si>
    <t>SLNG</t>
  </si>
  <si>
    <t>STAFFING 360 SOLUTIONS, INC.</t>
  </si>
  <si>
    <t>STAF</t>
  </si>
  <si>
    <t>STAG INDUSTRIAL, INC.</t>
  </si>
  <si>
    <t>STAG</t>
  </si>
  <si>
    <t>STAGWELL INC</t>
  </si>
  <si>
    <t>STGW</t>
  </si>
  <si>
    <t>STANDARD MOTOR PRODUCTS, INC.</t>
  </si>
  <si>
    <t>SMP</t>
  </si>
  <si>
    <t>STANDEX INTERNATIONAL CORP/DE/</t>
  </si>
  <si>
    <t>SXI</t>
  </si>
  <si>
    <t>STANLEY BLACK &amp; DECKER, INC.</t>
  </si>
  <si>
    <t>SWK</t>
  </si>
  <si>
    <t>STAR BULK CARRIERS CORP.</t>
  </si>
  <si>
    <t>SBLK</t>
  </si>
  <si>
    <t>STAR GROUP, L.P.</t>
  </si>
  <si>
    <t>SGU</t>
  </si>
  <si>
    <t>STARRETT L S CO</t>
  </si>
  <si>
    <t>SCX</t>
  </si>
  <si>
    <t>STARTEK, INC.</t>
  </si>
  <si>
    <t>SRT</t>
  </si>
  <si>
    <t>STARWOOD PROPERTY TRUST, INC.</t>
  </si>
  <si>
    <t>STWD</t>
  </si>
  <si>
    <t>STATE STREET CORP</t>
  </si>
  <si>
    <t>STT</t>
  </si>
  <si>
    <t>STEALTHGAS INC.</t>
  </si>
  <si>
    <t>GASS</t>
  </si>
  <si>
    <t>STEEL CONNECT, INC.</t>
  </si>
  <si>
    <t>STCN</t>
  </si>
  <si>
    <t>STEEL DYNAMICS INC</t>
  </si>
  <si>
    <t>STLD</t>
  </si>
  <si>
    <t>STEEL PARTNERS HOLDINGS L.P.</t>
  </si>
  <si>
    <t>SPLP</t>
  </si>
  <si>
    <t>STEELCASE INC</t>
  </si>
  <si>
    <t>SCS</t>
  </si>
  <si>
    <t>STEM, INC.</t>
  </si>
  <si>
    <t>STEM</t>
  </si>
  <si>
    <t>STEPAN CO</t>
  </si>
  <si>
    <t>SCL</t>
  </si>
  <si>
    <t>STEPSTONE GROUP INC.</t>
  </si>
  <si>
    <t>STEP</t>
  </si>
  <si>
    <t>STEREOTAXIS, INC.</t>
  </si>
  <si>
    <t>STXS</t>
  </si>
  <si>
    <t>STERICYCLE INC</t>
  </si>
  <si>
    <t>SRCL</t>
  </si>
  <si>
    <t>STERIS PLC</t>
  </si>
  <si>
    <t>STE</t>
  </si>
  <si>
    <t>STERLING BANCORP, INC.</t>
  </si>
  <si>
    <t>SBT</t>
  </si>
  <si>
    <t>STERLING CHECK CORP.</t>
  </si>
  <si>
    <t>STER</t>
  </si>
  <si>
    <t>STERLING CONSTRUCTION CO INC</t>
  </si>
  <si>
    <t>STRL</t>
  </si>
  <si>
    <t>STEVEN MADDEN, LTD.</t>
  </si>
  <si>
    <t>SHOO</t>
  </si>
  <si>
    <t>STEWART INFORMATION SERVICES CORP</t>
  </si>
  <si>
    <t>STC</t>
  </si>
  <si>
    <t>STIFEL FINANCIAL CORP</t>
  </si>
  <si>
    <t>SF</t>
  </si>
  <si>
    <t>STITCH FIX, INC.</t>
  </si>
  <si>
    <t>SFIX</t>
  </si>
  <si>
    <t>STMICROELECTRONICS N.V.</t>
  </si>
  <si>
    <t>STM</t>
  </si>
  <si>
    <t>STOCK YARDS BANCORP, INC.</t>
  </si>
  <si>
    <t>SYBT</t>
  </si>
  <si>
    <t>STONEMOR INC.</t>
  </si>
  <si>
    <t>STON</t>
  </si>
  <si>
    <t>STONERIDGE INC</t>
  </si>
  <si>
    <t>SRI</t>
  </si>
  <si>
    <t>STONEX GROUP INC.</t>
  </si>
  <si>
    <t>SNEX</t>
  </si>
  <si>
    <t>STORE CAPITAL CORP</t>
  </si>
  <si>
    <t>STOR</t>
  </si>
  <si>
    <t>STRAN &amp; COMPANY, INC.</t>
  </si>
  <si>
    <t>STRN</t>
  </si>
  <si>
    <t>STRATA SKIN SCIENCES, INC.</t>
  </si>
  <si>
    <t>SSKN</t>
  </si>
  <si>
    <t>STRATASYS LTD.</t>
  </si>
  <si>
    <t>SSYS</t>
  </si>
  <si>
    <t>STRATEGIC EDUCATION, INC.</t>
  </si>
  <si>
    <t>STRA</t>
  </si>
  <si>
    <t>STRATTEC SECURITY CORP</t>
  </si>
  <si>
    <t>STRT</t>
  </si>
  <si>
    <t>STRATUS PROPERTIES INC</t>
  </si>
  <si>
    <t>STRS</t>
  </si>
  <si>
    <t>STREAMLINE HEALTH SOLUTIONS INC.</t>
  </si>
  <si>
    <t>STRM</t>
  </si>
  <si>
    <t>STRIDE, INC.</t>
  </si>
  <si>
    <t>LRN</t>
  </si>
  <si>
    <t>STRYKER CORP</t>
  </si>
  <si>
    <t>SYK</t>
  </si>
  <si>
    <t>STUDIO CITY INTERNATIONAL HOLDINGS LTD</t>
  </si>
  <si>
    <t>MSC</t>
  </si>
  <si>
    <t>STURM RUGER &amp; CO INC</t>
  </si>
  <si>
    <t>RGR</t>
  </si>
  <si>
    <t>SUBURBAN PROPANE PARTNERS LP</t>
  </si>
  <si>
    <t>SPH</t>
  </si>
  <si>
    <t>SUMMIT FINANCIAL GROUP, INC.</t>
  </si>
  <si>
    <t>SMMF</t>
  </si>
  <si>
    <t>SUMMIT HOTEL PROPERTIES, INC.</t>
  </si>
  <si>
    <t>INN</t>
  </si>
  <si>
    <t>SUMMIT MATERIALS, INC.</t>
  </si>
  <si>
    <t>SUM</t>
  </si>
  <si>
    <t>SUMMIT MIDSTREAM PARTNERS, LP</t>
  </si>
  <si>
    <t>SMLP</t>
  </si>
  <si>
    <t>SUMMIT THERAPEUTICS INC.</t>
  </si>
  <si>
    <t>SMMT</t>
  </si>
  <si>
    <t>SUMO LOGIC, INC.</t>
  </si>
  <si>
    <t>SUMO</t>
  </si>
  <si>
    <t>SUN COMMUNITIES INC</t>
  </si>
  <si>
    <t>SUI</t>
  </si>
  <si>
    <t>SUN COUNTRY AIRLINES HOLDINGS, INC.</t>
  </si>
  <si>
    <t>SNCY</t>
  </si>
  <si>
    <t>SUNCOKE ENERGY, INC.</t>
  </si>
  <si>
    <t>SXC</t>
  </si>
  <si>
    <t>SUNESIS PHARMACEUTICALS INC</t>
  </si>
  <si>
    <t>VIRX</t>
  </si>
  <si>
    <t>SUNLANDS TECHNOLOGY GROUP</t>
  </si>
  <si>
    <t>STG</t>
  </si>
  <si>
    <t>SUNNOVA ENERGY INTERNATIONAL INC.</t>
  </si>
  <si>
    <t>NOVA</t>
  </si>
  <si>
    <t>SUNOCO LP</t>
  </si>
  <si>
    <t>SUN</t>
  </si>
  <si>
    <t>SUNOPTA INC.</t>
  </si>
  <si>
    <t>STKL</t>
  </si>
  <si>
    <t>SUNPOWER CORP</t>
  </si>
  <si>
    <t>SPWR</t>
  </si>
  <si>
    <t>SUNRISE REAL ESTATE GROUP INC</t>
  </si>
  <si>
    <t>SRRE</t>
  </si>
  <si>
    <t>SUNRUN INC.</t>
  </si>
  <si>
    <t>RUN</t>
  </si>
  <si>
    <t>SUNSTONE HOTEL INVESTORS, INC.</t>
  </si>
  <si>
    <t>SHO</t>
  </si>
  <si>
    <t>SUNWORKS, INC.</t>
  </si>
  <si>
    <t>SUNW</t>
  </si>
  <si>
    <t>SUPER LEAGUE GAMING, INC.</t>
  </si>
  <si>
    <t>SLGG</t>
  </si>
  <si>
    <t>SUPER MICRO COMPUTER, INC.</t>
  </si>
  <si>
    <t>SMCI</t>
  </si>
  <si>
    <t>SUPERIOR DRILLING PRODUCTS, INC.</t>
  </si>
  <si>
    <t>SDPI</t>
  </si>
  <si>
    <t>SUPERIOR GROUP OF COMPANIES, INC.</t>
  </si>
  <si>
    <t>SGC</t>
  </si>
  <si>
    <t>SUPERIOR INDUSTRIES INTERNATIONAL INC</t>
  </si>
  <si>
    <t>SUP</t>
  </si>
  <si>
    <t>SUPERNUS PHARMACEUTICALS, INC.</t>
  </si>
  <si>
    <t>SUPN</t>
  </si>
  <si>
    <t>SURFACE ONCOLOGY, INC.</t>
  </si>
  <si>
    <t>SURF</t>
  </si>
  <si>
    <t>SURGALIGN HOLDINGS, INC.</t>
  </si>
  <si>
    <t>SRGA</t>
  </si>
  <si>
    <t>SURGE COMPONENTS INC</t>
  </si>
  <si>
    <t>SPRS</t>
  </si>
  <si>
    <t>SURGERY PARTNERS, INC.</t>
  </si>
  <si>
    <t>SGRY</t>
  </si>
  <si>
    <t>SURMODICS INC</t>
  </si>
  <si>
    <t>SRDX</t>
  </si>
  <si>
    <t>SUTRO BIOPHARMA, INC.</t>
  </si>
  <si>
    <t>STRO</t>
  </si>
  <si>
    <t>SVB FINANCIAL GROUP</t>
  </si>
  <si>
    <t>SIVB</t>
  </si>
  <si>
    <t>SWITCH, INC.</t>
  </si>
  <si>
    <t>SWCH</t>
  </si>
  <si>
    <t>SWK HOLDINGS CORP</t>
  </si>
  <si>
    <t>SWKH</t>
  </si>
  <si>
    <t>SYLVAMO CORP</t>
  </si>
  <si>
    <t>SLVM</t>
  </si>
  <si>
    <t>SYNALLOY CORP</t>
  </si>
  <si>
    <t>SYNL</t>
  </si>
  <si>
    <t>SYNAPTICS INC</t>
  </si>
  <si>
    <t>SYNA</t>
  </si>
  <si>
    <t>SYNCHRONOSS TECHNOLOGIES INC</t>
  </si>
  <si>
    <t>SNCR</t>
  </si>
  <si>
    <t>SYNCHRONY FINANCIAL</t>
  </si>
  <si>
    <t>SYF</t>
  </si>
  <si>
    <t>SYNDAX PHARMACEUTICALS INC</t>
  </si>
  <si>
    <t>SNDX</t>
  </si>
  <si>
    <t>SYNEOS HEALTH, INC.</t>
  </si>
  <si>
    <t>SYNH</t>
  </si>
  <si>
    <t>SYNLOGIC, INC.</t>
  </si>
  <si>
    <t>SYBX</t>
  </si>
  <si>
    <t>SYNOPSYS INC</t>
  </si>
  <si>
    <t>SNPS</t>
  </si>
  <si>
    <t>SYNOVUS FINANCIAL CORP</t>
  </si>
  <si>
    <t>SNV</t>
  </si>
  <si>
    <t>SYPRIS SOLUTIONS INC</t>
  </si>
  <si>
    <t>SYPR</t>
  </si>
  <si>
    <t>SYROS PHARMACEUTICALS, INC.</t>
  </si>
  <si>
    <t>SYRS</t>
  </si>
  <si>
    <t>SYSCO CORP</t>
  </si>
  <si>
    <t>SYY</t>
  </si>
  <si>
    <t>T-MOBILE US, INC.</t>
  </si>
  <si>
    <t>TMUS</t>
  </si>
  <si>
    <t>T2 BIOSYSTEMS, INC.</t>
  </si>
  <si>
    <t>TTOO</t>
  </si>
  <si>
    <t>TABOOLA.COM LTD.</t>
  </si>
  <si>
    <t>TBLA</t>
  </si>
  <si>
    <t>TABULA RASA HEALTHCARE, INC.</t>
  </si>
  <si>
    <t>TRHC</t>
  </si>
  <si>
    <t>TACTILE SYSTEMS TECHNOLOGY INC</t>
  </si>
  <si>
    <t>TCMD</t>
  </si>
  <si>
    <t>TAITRON COMPONENTS INC</t>
  </si>
  <si>
    <t>TAIT</t>
  </si>
  <si>
    <t>TAKE TWO INTERACTIVE SOFTWARE INC</t>
  </si>
  <si>
    <t>TTWO</t>
  </si>
  <si>
    <t>TAKUNG ART CO., LTD</t>
  </si>
  <si>
    <t>TKAT</t>
  </si>
  <si>
    <t>TAL EDUCATION GROUP</t>
  </si>
  <si>
    <t>TAL</t>
  </si>
  <si>
    <t>TALKSPACE, INC.</t>
  </si>
  <si>
    <t>TALK</t>
  </si>
  <si>
    <t>TALOS ENERGY INC.</t>
  </si>
  <si>
    <t>TALO</t>
  </si>
  <si>
    <t>TANDEM DIABETES CARE INC</t>
  </si>
  <si>
    <t>TNDM</t>
  </si>
  <si>
    <t>TANDY LEATHER FACTORY INC</t>
  </si>
  <si>
    <t>TLFA</t>
  </si>
  <si>
    <t>TANGO THERAPEUTICS, INC.</t>
  </si>
  <si>
    <t>TNGX</t>
  </si>
  <si>
    <t>TANTECH HOLDINGS LTD</t>
  </si>
  <si>
    <t>TANH</t>
  </si>
  <si>
    <t>TAOPING INC.</t>
  </si>
  <si>
    <t>TAOP</t>
  </si>
  <si>
    <t>TAPESTRY, INC.</t>
  </si>
  <si>
    <t>TPR</t>
  </si>
  <si>
    <t>TARENA INTERNATIONAL, INC.</t>
  </si>
  <si>
    <t>TEDU</t>
  </si>
  <si>
    <t>TARGA RESOURCES CORP.</t>
  </si>
  <si>
    <t>TRGP</t>
  </si>
  <si>
    <t>TARGET CORP</t>
  </si>
  <si>
    <t>TARGET HOSPITALITY CORP.</t>
  </si>
  <si>
    <t>TH</t>
  </si>
  <si>
    <t>TARO PHARMACEUTICAL INDUSTRIES LTD</t>
  </si>
  <si>
    <t>TARO</t>
  </si>
  <si>
    <t>TASKUS, INC.</t>
  </si>
  <si>
    <t>TASK</t>
  </si>
  <si>
    <t>TAT TECHNOLOGIES LTD</t>
  </si>
  <si>
    <t>TATT</t>
  </si>
  <si>
    <t>TATTOOED CHEF, INC.</t>
  </si>
  <si>
    <t>TTCF</t>
  </si>
  <si>
    <t>TAYLOR DEVICES INC</t>
  </si>
  <si>
    <t>TAYD</t>
  </si>
  <si>
    <t>TAYLOR MORRISON HOME CORP</t>
  </si>
  <si>
    <t>TMHC</t>
  </si>
  <si>
    <t>TC BANCSHARES, INC.</t>
  </si>
  <si>
    <t>TCBC</t>
  </si>
  <si>
    <t>TD HOLDINGS, INC.</t>
  </si>
  <si>
    <t>GLG</t>
  </si>
  <si>
    <t>TD SYNNEX CORP</t>
  </si>
  <si>
    <t>SNX</t>
  </si>
  <si>
    <t>TDH HOLDINGS, INC.</t>
  </si>
  <si>
    <t>PETZ</t>
  </si>
  <si>
    <t>TE CONNECTIVITY LTD.</t>
  </si>
  <si>
    <t>TEL</t>
  </si>
  <si>
    <t>TEAM INC</t>
  </si>
  <si>
    <t>TISI</t>
  </si>
  <si>
    <t>TECH &amp; ENERGY TRANSITION CORP</t>
  </si>
  <si>
    <t>TETC</t>
  </si>
  <si>
    <t>TECHNIPFMC PLC</t>
  </si>
  <si>
    <t>FTI</t>
  </si>
  <si>
    <t>TECHPRECISION CORP</t>
  </si>
  <si>
    <t>TPCS</t>
  </si>
  <si>
    <t>TECHTARGET INC</t>
  </si>
  <si>
    <t>TTGT</t>
  </si>
  <si>
    <t>TECNOGLASS INC.</t>
  </si>
  <si>
    <t>TGLS</t>
  </si>
  <si>
    <t>TECOGEN INC.</t>
  </si>
  <si>
    <t>TGEN</t>
  </si>
  <si>
    <t>TECTONIC FINANCIAL, INC.</t>
  </si>
  <si>
    <t>TECTP</t>
  </si>
  <si>
    <t>TEEKAY CORP</t>
  </si>
  <si>
    <t>TK</t>
  </si>
  <si>
    <t>TEEKAY TANKERS LTD.</t>
  </si>
  <si>
    <t>TNK</t>
  </si>
  <si>
    <t>TEGNA INC</t>
  </si>
  <si>
    <t>TGNA</t>
  </si>
  <si>
    <t>TEJON RANCH CO</t>
  </si>
  <si>
    <t>TRC</t>
  </si>
  <si>
    <t>TELA BIO, INC.</t>
  </si>
  <si>
    <t>TELA</t>
  </si>
  <si>
    <t>TELADOC HEALTH, INC.</t>
  </si>
  <si>
    <t>TDOC</t>
  </si>
  <si>
    <t>TELEDYNE TECHNOLOGIES INC</t>
  </si>
  <si>
    <t>TDY</t>
  </si>
  <si>
    <t>TELEFLEX INC</t>
  </si>
  <si>
    <t>TFX</t>
  </si>
  <si>
    <t>TELEPHONE &amp; DATA SYSTEMS INC /DE/</t>
  </si>
  <si>
    <t>TDS</t>
  </si>
  <si>
    <t>TELLURIAN INC. /DE/</t>
  </si>
  <si>
    <t>TELL</t>
  </si>
  <si>
    <t>TELOS CORP</t>
  </si>
  <si>
    <t>TLS</t>
  </si>
  <si>
    <t>TEMPUR SEALY INTERNATIONAL, INC.</t>
  </si>
  <si>
    <t>TPX</t>
  </si>
  <si>
    <t>TENABLE HOLDINGS, INC.</t>
  </si>
  <si>
    <t>TENB</t>
  </si>
  <si>
    <t>TENET HEALTHCARE CORP</t>
  </si>
  <si>
    <t>THC</t>
  </si>
  <si>
    <t>TENNANT CO</t>
  </si>
  <si>
    <t>TNC</t>
  </si>
  <si>
    <t>TENNECO INC</t>
  </si>
  <si>
    <t>TEN</t>
  </si>
  <si>
    <t>TENZING ACQUISITION CORP.</t>
  </si>
  <si>
    <t>RVPH</t>
  </si>
  <si>
    <t>TERADATA CORP /DE/</t>
  </si>
  <si>
    <t>TDC</t>
  </si>
  <si>
    <t>TERADYNE, INC</t>
  </si>
  <si>
    <t>TER</t>
  </si>
  <si>
    <t>TEREX CORP</t>
  </si>
  <si>
    <t>TEX</t>
  </si>
  <si>
    <t>TERMINIX GLOBAL HOLDINGS INC</t>
  </si>
  <si>
    <t>TMX</t>
  </si>
  <si>
    <t>TERRENO REALTY CORP</t>
  </si>
  <si>
    <t>TRNO</t>
  </si>
  <si>
    <t>TERRITORIAL BANCORP INC.</t>
  </si>
  <si>
    <t>TBNK</t>
  </si>
  <si>
    <t>TESLA, INC.</t>
  </si>
  <si>
    <t>TESSCO TECHNOLOGIES INC</t>
  </si>
  <si>
    <t>TESS</t>
  </si>
  <si>
    <t>TETRA TECH INC</t>
  </si>
  <si>
    <t>TTEK</t>
  </si>
  <si>
    <t>TETRA TECHNOLOGIES INC</t>
  </si>
  <si>
    <t>TTI</t>
  </si>
  <si>
    <t>TEVA PHARMACEUTICAL INDUSTRIES LTD</t>
  </si>
  <si>
    <t>TEVA</t>
  </si>
  <si>
    <t>TEXAS CAPITAL BANCSHARES INC/TX</t>
  </si>
  <si>
    <t>TCBI</t>
  </si>
  <si>
    <t>TEXAS COMMUNITY BANCSHARES, INC.</t>
  </si>
  <si>
    <t>TCBS</t>
  </si>
  <si>
    <t>TEXAS INSTRUMENTS INC</t>
  </si>
  <si>
    <t>TXN</t>
  </si>
  <si>
    <t>TEXAS PACIFIC LAND CORP</t>
  </si>
  <si>
    <t>TPL</t>
  </si>
  <si>
    <t>TEXAS ROADHOUSE, INC.</t>
  </si>
  <si>
    <t>TXRH</t>
  </si>
  <si>
    <t>TEXTRON INC</t>
  </si>
  <si>
    <t>TXT</t>
  </si>
  <si>
    <t>TFF PHARMACEUTICALS, INC.</t>
  </si>
  <si>
    <t>TFFP</t>
  </si>
  <si>
    <t>TFS FINANCIAL CORP</t>
  </si>
  <si>
    <t>TFSL</t>
  </si>
  <si>
    <t>TG THERAPEUTICS, INC.</t>
  </si>
  <si>
    <t>TGTX</t>
  </si>
  <si>
    <t>THERAPEUTICSMD, INC.</t>
  </si>
  <si>
    <t>TXMD</t>
  </si>
  <si>
    <t>THERAVANCE BIOPHARMA, INC.</t>
  </si>
  <si>
    <t>TBPH</t>
  </si>
  <si>
    <t>THEREALREAL, INC.</t>
  </si>
  <si>
    <t>REAL</t>
  </si>
  <si>
    <t>THERMO FISHER SCIENTIFIC INC.</t>
  </si>
  <si>
    <t>TMO</t>
  </si>
  <si>
    <t>THERMON GROUP HOLDINGS, INC.</t>
  </si>
  <si>
    <t>THR</t>
  </si>
  <si>
    <t>THIRD COAST BANCSHARES, INC.</t>
  </si>
  <si>
    <t>TCBX</t>
  </si>
  <si>
    <t>THOR INDUSTRIES INC</t>
  </si>
  <si>
    <t>THO</t>
  </si>
  <si>
    <t>THORNE HEALTHTECH, INC.</t>
  </si>
  <si>
    <t>THRN</t>
  </si>
  <si>
    <t>THOUGHTWORKS HOLDING, INC.</t>
  </si>
  <si>
    <t>TWKS</t>
  </si>
  <si>
    <t>THREDUP INC.</t>
  </si>
  <si>
    <t>TDUP</t>
  </si>
  <si>
    <t>THRYV HOLDINGS, INC.</t>
  </si>
  <si>
    <t>THRY</t>
  </si>
  <si>
    <t>TIDEWATER INC</t>
  </si>
  <si>
    <t>TDW</t>
  </si>
  <si>
    <t>TILE SHOP HOLDINGS, INC.</t>
  </si>
  <si>
    <t>TTSH</t>
  </si>
  <si>
    <t>TILLY'S, INC.</t>
  </si>
  <si>
    <t>TLYS</t>
  </si>
  <si>
    <t>TILRAY, INC.</t>
  </si>
  <si>
    <t>TLRY</t>
  </si>
  <si>
    <t>TIMBER PHARMACEUTICALS, INC.</t>
  </si>
  <si>
    <t>TMBR</t>
  </si>
  <si>
    <t>TIMBERLAND BANCORP INC</t>
  </si>
  <si>
    <t>TSBK</t>
  </si>
  <si>
    <t>TIMKEN CO</t>
  </si>
  <si>
    <t>TKR</t>
  </si>
  <si>
    <t>TIMKENSTEEL CORP</t>
  </si>
  <si>
    <t>TMST</t>
  </si>
  <si>
    <t>TIPTREE INC.</t>
  </si>
  <si>
    <t>TIPT</t>
  </si>
  <si>
    <t>TITAN INTERNATIONAL INC</t>
  </si>
  <si>
    <t>TWI</t>
  </si>
  <si>
    <t>TITAN MACHINERY INC.</t>
  </si>
  <si>
    <t>TITN</t>
  </si>
  <si>
    <t>TJX COMPANIES INC /DE/</t>
  </si>
  <si>
    <t>TJX</t>
  </si>
  <si>
    <t>TOAST, INC.</t>
  </si>
  <si>
    <t>TOST</t>
  </si>
  <si>
    <t>TOLL BROTHERS, INC.</t>
  </si>
  <si>
    <t>TOL</t>
  </si>
  <si>
    <t>TOMI ENVIRONMENTAL SOLUTIONS, INC.</t>
  </si>
  <si>
    <t>TOMZ</t>
  </si>
  <si>
    <t>TOMPKINS FINANCIAL CORP</t>
  </si>
  <si>
    <t>TMP</t>
  </si>
  <si>
    <t>TOOTSIE ROLL INDUSTRIES INC</t>
  </si>
  <si>
    <t>TR</t>
  </si>
  <si>
    <t>TOP SHIPS INC.</t>
  </si>
  <si>
    <t>TOPS</t>
  </si>
  <si>
    <t>TOPBUILD CORP</t>
  </si>
  <si>
    <t>BLD</t>
  </si>
  <si>
    <t>TORO CO</t>
  </si>
  <si>
    <t>TTC</t>
  </si>
  <si>
    <t>TORRID HOLDINGS INC.</t>
  </si>
  <si>
    <t>CURV</t>
  </si>
  <si>
    <t>TOUGHBUILT INDUSTRIES, INC</t>
  </si>
  <si>
    <t>TBLT</t>
  </si>
  <si>
    <t>TOWER SEMICONDUCTOR LTD</t>
  </si>
  <si>
    <t>TSEM</t>
  </si>
  <si>
    <t>TOWNSQUARE MEDIA, INC.</t>
  </si>
  <si>
    <t>TSQ</t>
  </si>
  <si>
    <t>TPG RE FINANCE TRUST, INC.</t>
  </si>
  <si>
    <t>TRTX</t>
  </si>
  <si>
    <t>TPI COMPOSITES, INC</t>
  </si>
  <si>
    <t>TPIC</t>
  </si>
  <si>
    <t>TRACTOR SUPPLY CO /DE/</t>
  </si>
  <si>
    <t>TSCO</t>
  </si>
  <si>
    <t>TRADE DESK, INC.</t>
  </si>
  <si>
    <t>TTD</t>
  </si>
  <si>
    <t>TRADEWEB MARKETS INC.</t>
  </si>
  <si>
    <t>TW</t>
  </si>
  <si>
    <t>TRAEGER, INC.</t>
  </si>
  <si>
    <t>COOK</t>
  </si>
  <si>
    <t>TRANE TECHNOLOGIES PLC</t>
  </si>
  <si>
    <t>TT</t>
  </si>
  <si>
    <t>TRANSACT TECHNOLOGIES INC</t>
  </si>
  <si>
    <t>TACT</t>
  </si>
  <si>
    <t>TRANSCAT INC</t>
  </si>
  <si>
    <t>TRNS</t>
  </si>
  <si>
    <t>TRANSCONTINENTAL REALTY INVESTORS INC</t>
  </si>
  <si>
    <t>TCI</t>
  </si>
  <si>
    <t>TRANSDIGM GROUP INC</t>
  </si>
  <si>
    <t>TDG</t>
  </si>
  <si>
    <t>TRANSMEDICS GROUP, INC.</t>
  </si>
  <si>
    <t>TMDX</t>
  </si>
  <si>
    <t>TRANSOCEAN LTD.</t>
  </si>
  <si>
    <t>RIG</t>
  </si>
  <si>
    <t>TRANSUNION</t>
  </si>
  <si>
    <t>TRU</t>
  </si>
  <si>
    <t>TRAVEL &amp; LEISURE CO.</t>
  </si>
  <si>
    <t>TNL</t>
  </si>
  <si>
    <t>TRAVELCENTERS OF AMERICA INC. /MD/</t>
  </si>
  <si>
    <t>TA</t>
  </si>
  <si>
    <t>TRAVELERS COMPANIES, INC.</t>
  </si>
  <si>
    <t>TRV</t>
  </si>
  <si>
    <t>TRAVELZOO</t>
  </si>
  <si>
    <t>TZOO</t>
  </si>
  <si>
    <t>TRAVERE THERAPEUTICS, INC.</t>
  </si>
  <si>
    <t>TVTX</t>
  </si>
  <si>
    <t>TREACE MEDICAL CONCEPTS, INC.</t>
  </si>
  <si>
    <t>TMCI</t>
  </si>
  <si>
    <t>TREAN INSURANCE GROUP, INC.</t>
  </si>
  <si>
    <t>TIG</t>
  </si>
  <si>
    <t>TREEHOUSE FOODS, INC.</t>
  </si>
  <si>
    <t>THS</t>
  </si>
  <si>
    <t>TREVENA INC</t>
  </si>
  <si>
    <t>TRVN</t>
  </si>
  <si>
    <t>TREX CO INC</t>
  </si>
  <si>
    <t>TREX</t>
  </si>
  <si>
    <t>TRI POINTE HOMES, INC.</t>
  </si>
  <si>
    <t>TPH</t>
  </si>
  <si>
    <t>TRICO BANCSHARES /</t>
  </si>
  <si>
    <t>TCBK</t>
  </si>
  <si>
    <t>TRILOGY INTERNATIONAL PARTNERS INC.</t>
  </si>
  <si>
    <t>TLLYF</t>
  </si>
  <si>
    <t>TRIMAS CORP</t>
  </si>
  <si>
    <t>TRS</t>
  </si>
  <si>
    <t>TRIMBLE INC.</t>
  </si>
  <si>
    <t>TRMB</t>
  </si>
  <si>
    <t>TRINET GROUP, INC.</t>
  </si>
  <si>
    <t>TNET</t>
  </si>
  <si>
    <t>TRINITY INDUSTRIES INC</t>
  </si>
  <si>
    <t>TRN</t>
  </si>
  <si>
    <t>TRINITY PLACE HOLDINGS INC.</t>
  </si>
  <si>
    <t>TPHS</t>
  </si>
  <si>
    <t>TRINSEO PLC</t>
  </si>
  <si>
    <t>TSE</t>
  </si>
  <si>
    <t>TRIO-TECH INTERNATIONAL</t>
  </si>
  <si>
    <t>TRT</t>
  </si>
  <si>
    <t>TRIP.COM GROUP LTD</t>
  </si>
  <si>
    <t>TCOM</t>
  </si>
  <si>
    <t>TRIPADVISOR, INC.</t>
  </si>
  <si>
    <t>TRIP</t>
  </si>
  <si>
    <t>TRITON INTERNATIONAL LTD</t>
  </si>
  <si>
    <t>TRTN</t>
  </si>
  <si>
    <t>TRIUMPH BANCORP, INC.</t>
  </si>
  <si>
    <t>TBK</t>
  </si>
  <si>
    <t>TRIUMPH GROUP INC</t>
  </si>
  <si>
    <t>TGI</t>
  </si>
  <si>
    <t>TROIKA MEDIA GROUP, INC.</t>
  </si>
  <si>
    <t>TRKA</t>
  </si>
  <si>
    <t>TRONOX HOLDINGS PLC</t>
  </si>
  <si>
    <t>TROX</t>
  </si>
  <si>
    <t>TROOPS, INC. /CAYMAN ISLANDS/</t>
  </si>
  <si>
    <t>TROO</t>
  </si>
  <si>
    <t>TRUEBLUE, INC.</t>
  </si>
  <si>
    <t>TBI</t>
  </si>
  <si>
    <t>TRUECAR, INC.</t>
  </si>
  <si>
    <t>TRUE</t>
  </si>
  <si>
    <t>TRUIST FINANCIAL CORP</t>
  </si>
  <si>
    <t>TFC</t>
  </si>
  <si>
    <t>TRULIEVE CANNABIS CORP.</t>
  </si>
  <si>
    <t>TCNNF</t>
  </si>
  <si>
    <t>TRUPANION, INC.</t>
  </si>
  <si>
    <t>TRUP</t>
  </si>
  <si>
    <t>TRUSTCO BANK CORP N Y</t>
  </si>
  <si>
    <t>TRST</t>
  </si>
  <si>
    <t>TRUSTMARK CORP</t>
  </si>
  <si>
    <t>TRMK</t>
  </si>
  <si>
    <t>TSAKOS ENERGY NAVIGATION LTD</t>
  </si>
  <si>
    <t>TNP</t>
  </si>
  <si>
    <t>TSCAN THERAPEUTICS, INC.</t>
  </si>
  <si>
    <t>TCRX</t>
  </si>
  <si>
    <t>TSR INC</t>
  </si>
  <si>
    <t>TSRI</t>
  </si>
  <si>
    <t>TTEC HOLDINGS, INC.</t>
  </si>
  <si>
    <t>TTEC</t>
  </si>
  <si>
    <t>TTM TECHNOLOGIES INC</t>
  </si>
  <si>
    <t>TTMI</t>
  </si>
  <si>
    <t>TUANCHE LTD</t>
  </si>
  <si>
    <t>TC</t>
  </si>
  <si>
    <t>TUCOWS INC /PA/</t>
  </si>
  <si>
    <t>TCX</t>
  </si>
  <si>
    <t>TUESDAY MORNING CORP/DE</t>
  </si>
  <si>
    <t>TUEM</t>
  </si>
  <si>
    <t>TUFIN SOFTWARE TECHNOLOGIES LTD.</t>
  </si>
  <si>
    <t>TUFN</t>
  </si>
  <si>
    <t>TUNIU CORP</t>
  </si>
  <si>
    <t>TOUR</t>
  </si>
  <si>
    <t>TUPPERWARE BRANDS CORP</t>
  </si>
  <si>
    <t>TUP</t>
  </si>
  <si>
    <t>TURNING POINT BRANDS, INC.</t>
  </si>
  <si>
    <t>TPB</t>
  </si>
  <si>
    <t>TURNING POINT THERAPEUTICS, INC.</t>
  </si>
  <si>
    <t>TPTX</t>
  </si>
  <si>
    <t>TURTLE BEACH CORP</t>
  </si>
  <si>
    <t>HEAR</t>
  </si>
  <si>
    <t>TUSIMPLE HOLDINGS INC.</t>
  </si>
  <si>
    <t>TSP</t>
  </si>
  <si>
    <t>TUTOR PERINI CORP</t>
  </si>
  <si>
    <t>TPC</t>
  </si>
  <si>
    <t>TUYA INC.</t>
  </si>
  <si>
    <t>TUYA</t>
  </si>
  <si>
    <t>TWILIO INC</t>
  </si>
  <si>
    <t>TWLO</t>
  </si>
  <si>
    <t>TWIN DISC INC</t>
  </si>
  <si>
    <t>TWIN</t>
  </si>
  <si>
    <t>TWINLAB CONSOLIDATED HOLDINGS, INC.</t>
  </si>
  <si>
    <t>TLCC</t>
  </si>
  <si>
    <t>TWIST BIOSCIENCE CORP</t>
  </si>
  <si>
    <t>TWST</t>
  </si>
  <si>
    <t>TWITTER, INC.</t>
  </si>
  <si>
    <t>TWTR</t>
  </si>
  <si>
    <t>TWO HARBORS INVESTMENT CORP.</t>
  </si>
  <si>
    <t>TWO</t>
  </si>
  <si>
    <t>TYLER TECHNOLOGIES INC</t>
  </si>
  <si>
    <t>TYL</t>
  </si>
  <si>
    <t>TYSON FOODS, INC.</t>
  </si>
  <si>
    <t>TSN</t>
  </si>
  <si>
    <t>U S GLOBAL INVESTORS INC</t>
  </si>
  <si>
    <t>GROW</t>
  </si>
  <si>
    <t>U S PHYSICAL THERAPY INC /NV</t>
  </si>
  <si>
    <t>USPH</t>
  </si>
  <si>
    <t>U.S. SILICA HOLDINGS, INC.</t>
  </si>
  <si>
    <t>SLCA</t>
  </si>
  <si>
    <t>U.S. WELL SERVICES, INC.</t>
  </si>
  <si>
    <t>USWS</t>
  </si>
  <si>
    <t>UBER TECHNOLOGIES, INC</t>
  </si>
  <si>
    <t>UBER</t>
  </si>
  <si>
    <t>UBIQUITI INC.</t>
  </si>
  <si>
    <t>UI</t>
  </si>
  <si>
    <t>UCLOUDLINK GROUP INC.</t>
  </si>
  <si>
    <t>UCL</t>
  </si>
  <si>
    <t>UCOMMUNE INTERNATIONAL LTD</t>
  </si>
  <si>
    <t>UK</t>
  </si>
  <si>
    <t>UDEMY, INC.</t>
  </si>
  <si>
    <t>UDMY</t>
  </si>
  <si>
    <t>UDR, INC.</t>
  </si>
  <si>
    <t>UDR</t>
  </si>
  <si>
    <t>UFP INDUSTRIES INC</t>
  </si>
  <si>
    <t>UFPI</t>
  </si>
  <si>
    <t>UFP TECHNOLOGIES INC</t>
  </si>
  <si>
    <t>UFPT</t>
  </si>
  <si>
    <t>UGI CORP /PA/</t>
  </si>
  <si>
    <t>UGI</t>
  </si>
  <si>
    <t>UIPATH, INC.</t>
  </si>
  <si>
    <t>PATH</t>
  </si>
  <si>
    <t>ULTA BEAUTY, INC.</t>
  </si>
  <si>
    <t>ULTA</t>
  </si>
  <si>
    <t>ULTRA CLEAN HOLDINGS, INC.</t>
  </si>
  <si>
    <t>UCTT</t>
  </si>
  <si>
    <t>ULTRAGENYX PHARMACEUTICAL INC.</t>
  </si>
  <si>
    <t>RARE</t>
  </si>
  <si>
    <t>ULTRALIFE CORP</t>
  </si>
  <si>
    <t>ULBI</t>
  </si>
  <si>
    <t>UMB FINANCIAL CORP</t>
  </si>
  <si>
    <t>UMBF</t>
  </si>
  <si>
    <t>UMH PROPERTIES, INC.</t>
  </si>
  <si>
    <t>UMH</t>
  </si>
  <si>
    <t>UMPQUA HOLDINGS CORP</t>
  </si>
  <si>
    <t>UMPQ</t>
  </si>
  <si>
    <t>UNDER ARMOUR, INC.</t>
  </si>
  <si>
    <t>UAA</t>
  </si>
  <si>
    <t>UNICO AMERICAN CORP</t>
  </si>
  <si>
    <t>UNAM</t>
  </si>
  <si>
    <t>UNIFI INC</t>
  </si>
  <si>
    <t>UFI</t>
  </si>
  <si>
    <t>UNIFIRST CORP</t>
  </si>
  <si>
    <t>UNF</t>
  </si>
  <si>
    <t>UNION BANKSHARES INC</t>
  </si>
  <si>
    <t>UNB</t>
  </si>
  <si>
    <t>UNION PACIFIC CORP</t>
  </si>
  <si>
    <t>UNP</t>
  </si>
  <si>
    <t>UNIQUE FABRICATING, INC.</t>
  </si>
  <si>
    <t>UFAB</t>
  </si>
  <si>
    <t>UNIQURE N.V.</t>
  </si>
  <si>
    <t>QURE</t>
  </si>
  <si>
    <t>UNISYS CORP</t>
  </si>
  <si>
    <t>UIS</t>
  </si>
  <si>
    <t>UNITED AIRLINES HOLDINGS, INC.</t>
  </si>
  <si>
    <t>UAL</t>
  </si>
  <si>
    <t>UNITED BANCORP INC /OH/</t>
  </si>
  <si>
    <t>UBCP</t>
  </si>
  <si>
    <t>UNITED BANCSHARES INC/OH</t>
  </si>
  <si>
    <t>UBOH</t>
  </si>
  <si>
    <t>UNITED BANKSHARES INC/WV</t>
  </si>
  <si>
    <t>UBSI</t>
  </si>
  <si>
    <t>UNITED COMMUNITY BANKS INC</t>
  </si>
  <si>
    <t>UCBI</t>
  </si>
  <si>
    <t>UNITED FIRE GROUP INC</t>
  </si>
  <si>
    <t>UFCS</t>
  </si>
  <si>
    <t>UNITED GUARDIAN INC</t>
  </si>
  <si>
    <t>UG</t>
  </si>
  <si>
    <t>UNITED INSURANCE HOLDINGS CORP.</t>
  </si>
  <si>
    <t>UIHC</t>
  </si>
  <si>
    <t>UNITED NATURAL FOODS INC</t>
  </si>
  <si>
    <t>UNFI</t>
  </si>
  <si>
    <t>UNITED PARCEL SERVICE INC</t>
  </si>
  <si>
    <t>UPS</t>
  </si>
  <si>
    <t>UNITED RENTALS, INC.</t>
  </si>
  <si>
    <t>URI</t>
  </si>
  <si>
    <t>UNITED SECURITY BANCSHARES</t>
  </si>
  <si>
    <t>UBFO</t>
  </si>
  <si>
    <t>UNITED STATES ANTIMONY CORP</t>
  </si>
  <si>
    <t>UAMY</t>
  </si>
  <si>
    <t>UNITED STATES CELLULAR CORP</t>
  </si>
  <si>
    <t>USM</t>
  </si>
  <si>
    <t>UNITED STATES LIME &amp; MINERALS INC</t>
  </si>
  <si>
    <t>USLM</t>
  </si>
  <si>
    <t>UNITED STATES OIL FUND, LP</t>
  </si>
  <si>
    <t>USO</t>
  </si>
  <si>
    <t>UNITED STATES STEEL CORP</t>
  </si>
  <si>
    <t>X</t>
  </si>
  <si>
    <t>UNITED THERAPEUTICS CORP</t>
  </si>
  <si>
    <t>UTHR</t>
  </si>
  <si>
    <t>UNITEDHEALTH GROUP INC</t>
  </si>
  <si>
    <t>UNH</t>
  </si>
  <si>
    <t>UNITI GROUP INC.</t>
  </si>
  <si>
    <t>UNIT</t>
  </si>
  <si>
    <t>UNITIL CORP</t>
  </si>
  <si>
    <t>UTL</t>
  </si>
  <si>
    <t>UNITY BANCORP INC /NJ/</t>
  </si>
  <si>
    <t>UNTY</t>
  </si>
  <si>
    <t>UNITY SOFTWARE INC.</t>
  </si>
  <si>
    <t>U</t>
  </si>
  <si>
    <t>UNIVAR SOLUTIONS INC.</t>
  </si>
  <si>
    <t>UNVR</t>
  </si>
  <si>
    <t>UNIVERSAL CORP /VA/</t>
  </si>
  <si>
    <t>UVV</t>
  </si>
  <si>
    <t>UNIVERSAL DISPLAY CORP PA</t>
  </si>
  <si>
    <t>OLED</t>
  </si>
  <si>
    <t>UNIVERSAL ELECTRONICS INC</t>
  </si>
  <si>
    <t>UEIC</t>
  </si>
  <si>
    <t>UNIVERSAL HEALTH REALTY INCOME TRUST</t>
  </si>
  <si>
    <t>UHT</t>
  </si>
  <si>
    <t>UNIVERSAL HEALTH SERVICES INC</t>
  </si>
  <si>
    <t>UHS</t>
  </si>
  <si>
    <t>UNIVERSAL INSURANCE HOLDINGS, INC.</t>
  </si>
  <si>
    <t>UVE</t>
  </si>
  <si>
    <t>UNIVERSAL LOGISTICS HOLDINGS, INC.</t>
  </si>
  <si>
    <t>ULH</t>
  </si>
  <si>
    <t>UNIVERSAL STAINLESS &amp; ALLOY PRODUCTS INC</t>
  </si>
  <si>
    <t>USAP</t>
  </si>
  <si>
    <t>UNIVERSAL TECHNICAL INSTITUTE INC</t>
  </si>
  <si>
    <t>UTI</t>
  </si>
  <si>
    <t>UNIVERSE PHARMACEUTICALS INC</t>
  </si>
  <si>
    <t>UPC</t>
  </si>
  <si>
    <t>UNIVEST FINANCIAL CORP</t>
  </si>
  <si>
    <t>UVSP</t>
  </si>
  <si>
    <t>UNRIVALED BRANDS, INC.</t>
  </si>
  <si>
    <t>UNRV</t>
  </si>
  <si>
    <t>UNUM GROUP</t>
  </si>
  <si>
    <t>UNM</t>
  </si>
  <si>
    <t>UP FINTECH HOLDING LTD</t>
  </si>
  <si>
    <t>TIGR</t>
  </si>
  <si>
    <t>UPHEALTH, INC.</t>
  </si>
  <si>
    <t>UPH</t>
  </si>
  <si>
    <t>UPLAND SOFTWARE, INC.</t>
  </si>
  <si>
    <t>UPLD</t>
  </si>
  <si>
    <t>UPSTART HOLDINGS, INC.</t>
  </si>
  <si>
    <t>UPST</t>
  </si>
  <si>
    <t>UPWORK, INC</t>
  </si>
  <si>
    <t>UPWK</t>
  </si>
  <si>
    <t>UR-ENERGY INC</t>
  </si>
  <si>
    <t>URG</t>
  </si>
  <si>
    <t>URBAN EDGE PROPERTIES</t>
  </si>
  <si>
    <t>UE</t>
  </si>
  <si>
    <t>URBAN ONE, INC.</t>
  </si>
  <si>
    <t>UONE</t>
  </si>
  <si>
    <t>URBAN OUTFITTERS INC</t>
  </si>
  <si>
    <t>URBN</t>
  </si>
  <si>
    <t>UROGEN PHARMA LTD.</t>
  </si>
  <si>
    <t>URGN</t>
  </si>
  <si>
    <t>URSTADT BIDDLE PROPERTIES INC</t>
  </si>
  <si>
    <t>UBP</t>
  </si>
  <si>
    <t>US BANCORP DE</t>
  </si>
  <si>
    <t>USB</t>
  </si>
  <si>
    <t>US ENERGY CORP</t>
  </si>
  <si>
    <t>USEG</t>
  </si>
  <si>
    <t>US FOODS HOLDING CORP.</t>
  </si>
  <si>
    <t>USFD</t>
  </si>
  <si>
    <t>US XPRESS ENTERPRISES INC</t>
  </si>
  <si>
    <t>USX</t>
  </si>
  <si>
    <t>USA COMPRESSION PARTNERS, LP</t>
  </si>
  <si>
    <t>USAC</t>
  </si>
  <si>
    <t>USA TRUCK INC</t>
  </si>
  <si>
    <t>USAK</t>
  </si>
  <si>
    <t>USANA HEALTH SCIENCES INC</t>
  </si>
  <si>
    <t>USNA</t>
  </si>
  <si>
    <t>USCB FINANCIAL HOLDINGS, INC.</t>
  </si>
  <si>
    <t>USCB</t>
  </si>
  <si>
    <t>USD PARTNERS LP</t>
  </si>
  <si>
    <t>USDP</t>
  </si>
  <si>
    <t>USIO, INC.</t>
  </si>
  <si>
    <t>USIO</t>
  </si>
  <si>
    <t>UTAH MEDICAL PRODUCTS INC</t>
  </si>
  <si>
    <t>UTMD</t>
  </si>
  <si>
    <t>UTG INC</t>
  </si>
  <si>
    <t>UTGN</t>
  </si>
  <si>
    <t>UTSTARCOM HOLDINGS CORP.</t>
  </si>
  <si>
    <t>UTSI</t>
  </si>
  <si>
    <t>UWHARRIE CAPITAL CORP</t>
  </si>
  <si>
    <t>UWHR</t>
  </si>
  <si>
    <t>UWM HOLDINGS CORP</t>
  </si>
  <si>
    <t>UWMC</t>
  </si>
  <si>
    <t>V F CORP</t>
  </si>
  <si>
    <t>VFC</t>
  </si>
  <si>
    <t>VAALCO ENERGY INC /DE/</t>
  </si>
  <si>
    <t>EGY</t>
  </si>
  <si>
    <t>VACASA, INC.</t>
  </si>
  <si>
    <t>VCSA</t>
  </si>
  <si>
    <t>VACCITECH PLC</t>
  </si>
  <si>
    <t>VACC</t>
  </si>
  <si>
    <t>VAIL RESORTS INC</t>
  </si>
  <si>
    <t>MTN</t>
  </si>
  <si>
    <t>VALARIS LTD</t>
  </si>
  <si>
    <t>VAL</t>
  </si>
  <si>
    <t>VALENS SEMICONDUCTOR LTD.</t>
  </si>
  <si>
    <t>VLN</t>
  </si>
  <si>
    <t>VALERO ENERGY CORP/TX</t>
  </si>
  <si>
    <t>VLO</t>
  </si>
  <si>
    <t>VALHI INC /DE/</t>
  </si>
  <si>
    <t>VHI</t>
  </si>
  <si>
    <t>VALLEY NATIONAL BANCORP</t>
  </si>
  <si>
    <t>VLY</t>
  </si>
  <si>
    <t>VALMONT INDUSTRIES INC</t>
  </si>
  <si>
    <t>VMI</t>
  </si>
  <si>
    <t>VALUE LINE INC</t>
  </si>
  <si>
    <t>VALU</t>
  </si>
  <si>
    <t>VALVOLINE INC</t>
  </si>
  <si>
    <t>VVV</t>
  </si>
  <si>
    <t>VANDA PHARMACEUTICALS INC.</t>
  </si>
  <si>
    <t>VNDA</t>
  </si>
  <si>
    <t>VANTAGE DRILLING INTERNATIONAL</t>
  </si>
  <si>
    <t>VTDRF</t>
  </si>
  <si>
    <t>VAPOTHERM INC</t>
  </si>
  <si>
    <t>VAPO</t>
  </si>
  <si>
    <t>VAREX IMAGING CORP</t>
  </si>
  <si>
    <t>VREX</t>
  </si>
  <si>
    <t>VARONIS SYSTEMS INC</t>
  </si>
  <si>
    <t>VRNS</t>
  </si>
  <si>
    <t>VASCULAR BIOGENICS LTD.</t>
  </si>
  <si>
    <t>VBLT</t>
  </si>
  <si>
    <t>VASO CORP</t>
  </si>
  <si>
    <t>VASO</t>
  </si>
  <si>
    <t>VAXART, INC.</t>
  </si>
  <si>
    <t>VXRT</t>
  </si>
  <si>
    <t>VAXXINITY, INC.</t>
  </si>
  <si>
    <t>VAXX</t>
  </si>
  <si>
    <t>VBI VACCINES INC/BC</t>
  </si>
  <si>
    <t>VBIV</t>
  </si>
  <si>
    <t>VECTOR GROUP LTD</t>
  </si>
  <si>
    <t>VGR</t>
  </si>
  <si>
    <t>VECTRUS, INC.</t>
  </si>
  <si>
    <t>VEC</t>
  </si>
  <si>
    <t>VEECO INSTRUMENTS INC</t>
  </si>
  <si>
    <t>VECO</t>
  </si>
  <si>
    <t>VEEVA SYSTEMS INC</t>
  </si>
  <si>
    <t>VEEV</t>
  </si>
  <si>
    <t>VELO3D, INC.</t>
  </si>
  <si>
    <t>VLD</t>
  </si>
  <si>
    <t>VELOCITY FINANCIAL, INC.</t>
  </si>
  <si>
    <t>VEL</t>
  </si>
  <si>
    <t>VELODYNE LIDAR, INC.</t>
  </si>
  <si>
    <t>VLDR</t>
  </si>
  <si>
    <t>VENATOR MATERIALS PLC</t>
  </si>
  <si>
    <t>VNTR</t>
  </si>
  <si>
    <t>VENTAS, INC.</t>
  </si>
  <si>
    <t>VTR</t>
  </si>
  <si>
    <t>VENUS CONCEPT INC.</t>
  </si>
  <si>
    <t>VERO</t>
  </si>
  <si>
    <t>VERA BRADLEY, INC.</t>
  </si>
  <si>
    <t>VRA</t>
  </si>
  <si>
    <t>VERACYTE, INC.</t>
  </si>
  <si>
    <t>VCYT</t>
  </si>
  <si>
    <t>VERASTEM, INC.</t>
  </si>
  <si>
    <t>VSTM</t>
  </si>
  <si>
    <t>VERB TECHNOLOGY COMPANY, INC.</t>
  </si>
  <si>
    <t>VERB</t>
  </si>
  <si>
    <t>VERICEL CORP</t>
  </si>
  <si>
    <t>VCEL</t>
  </si>
  <si>
    <t>VERICITY, INC.</t>
  </si>
  <si>
    <t>VERY</t>
  </si>
  <si>
    <t>VERINT SYSTEMS INC</t>
  </si>
  <si>
    <t>VRNT</t>
  </si>
  <si>
    <t>VERIS RESIDENTIAL, INC.</t>
  </si>
  <si>
    <t>VRE</t>
  </si>
  <si>
    <t>VERISIGN INC/CA</t>
  </si>
  <si>
    <t>VRSN</t>
  </si>
  <si>
    <t>VERISK ANALYTICS, INC.</t>
  </si>
  <si>
    <t>VRSK</t>
  </si>
  <si>
    <t>VERITEX HOLDINGS, INC.</t>
  </si>
  <si>
    <t>VBTX</t>
  </si>
  <si>
    <t>VERITIV CORP</t>
  </si>
  <si>
    <t>VRTV</t>
  </si>
  <si>
    <t>VERITONE, INC.</t>
  </si>
  <si>
    <t>VERI</t>
  </si>
  <si>
    <t>VERIZON COMMUNICATIONS INC</t>
  </si>
  <si>
    <t>VZ</t>
  </si>
  <si>
    <t>VERRA MOBILITY CORP</t>
  </si>
  <si>
    <t>VRRM</t>
  </si>
  <si>
    <t>VERTEX ENERGY INC.</t>
  </si>
  <si>
    <t>VTNR</t>
  </si>
  <si>
    <t>VERTEX PHARMACEUTICALS INC / MA</t>
  </si>
  <si>
    <t>VRTX</t>
  </si>
  <si>
    <t>VERTEX, INC.</t>
  </si>
  <si>
    <t>VERX</t>
  </si>
  <si>
    <t>VERTIV HOLDINGS CO</t>
  </si>
  <si>
    <t>VRT</t>
  </si>
  <si>
    <t>VERU INC.</t>
  </si>
  <si>
    <t>VERU</t>
  </si>
  <si>
    <t>VIA RENEWABLES, INC.</t>
  </si>
  <si>
    <t>VIA</t>
  </si>
  <si>
    <t>VIAD CORP</t>
  </si>
  <si>
    <t>VVI</t>
  </si>
  <si>
    <t>VIANT TECHNOLOGY INC.</t>
  </si>
  <si>
    <t>DSP</t>
  </si>
  <si>
    <t>VIASAT INC</t>
  </si>
  <si>
    <t>VSAT</t>
  </si>
  <si>
    <t>VIATRIS INC</t>
  </si>
  <si>
    <t>VTRS</t>
  </si>
  <si>
    <t>VIAVI SOLUTIONS INC.</t>
  </si>
  <si>
    <t>VIAV</t>
  </si>
  <si>
    <t>VICI PROPERTIES INC.</t>
  </si>
  <si>
    <t>VICI</t>
  </si>
  <si>
    <t>VICOR CORP</t>
  </si>
  <si>
    <t>VICR</t>
  </si>
  <si>
    <t>VICTORIA'S SECRET &amp; CO.</t>
  </si>
  <si>
    <t>VSCO</t>
  </si>
  <si>
    <t>VICTORY CAPITAL HOLDINGS, INC.</t>
  </si>
  <si>
    <t>VCTR</t>
  </si>
  <si>
    <t>VIEMED HEALTHCARE, INC.</t>
  </si>
  <si>
    <t>VMD</t>
  </si>
  <si>
    <t>VIEW, INC.</t>
  </si>
  <si>
    <t>VIEW</t>
  </si>
  <si>
    <t>VIEWRAY, INC.</t>
  </si>
  <si>
    <t>VRAY</t>
  </si>
  <si>
    <t>VIKING ENERGY GROUP, INC.</t>
  </si>
  <si>
    <t>VKIN</t>
  </si>
  <si>
    <t>VILLAGE BANK &amp; TRUST FINANCIAL CORP.</t>
  </si>
  <si>
    <t>VBFC</t>
  </si>
  <si>
    <t>VILLAGE FARMS INTERNATIONAL, INC.</t>
  </si>
  <si>
    <t>VFF</t>
  </si>
  <si>
    <t>VILLAGE SUPER MARKET INC</t>
  </si>
  <si>
    <t>VLGEA</t>
  </si>
  <si>
    <t>VIMEO, INC.</t>
  </si>
  <si>
    <t>VMEO</t>
  </si>
  <si>
    <t>VINCE HOLDING CORP.</t>
  </si>
  <si>
    <t>VNCE</t>
  </si>
  <si>
    <t>VINCO VENTURES, INC.</t>
  </si>
  <si>
    <t>BBIG</t>
  </si>
  <si>
    <t>VINTAGE WINE ESTATES, INC.</t>
  </si>
  <si>
    <t>VWE</t>
  </si>
  <si>
    <t>VIOMI TECHNOLOGY CO., LTD</t>
  </si>
  <si>
    <t>VIOT</t>
  </si>
  <si>
    <t>VIPER ENERGY PARTNERS LP</t>
  </si>
  <si>
    <t>VNOM</t>
  </si>
  <si>
    <t>VIPSHOP HOLDINGS LTD</t>
  </si>
  <si>
    <t>VIPS</t>
  </si>
  <si>
    <t>VIR BIOTECHNOLOGY, INC.</t>
  </si>
  <si>
    <t>VIR</t>
  </si>
  <si>
    <t>VIRCO MFG CORPORATION</t>
  </si>
  <si>
    <t>VIRC</t>
  </si>
  <si>
    <t>VIRGIN GALACTIC HOLDINGS, INC</t>
  </si>
  <si>
    <t>SPCE</t>
  </si>
  <si>
    <t>VIRGIN ORBIT HOLDINGS, INC.</t>
  </si>
  <si>
    <t>VORB</t>
  </si>
  <si>
    <t>VIRGINIA NATIONAL BANKSHARES CORP</t>
  </si>
  <si>
    <t>VABK</t>
  </si>
  <si>
    <t>VIRIDIAN THERAPEUTICS, INC.DE</t>
  </si>
  <si>
    <t>VRDN</t>
  </si>
  <si>
    <t>VIRNETX HOLDING CORP</t>
  </si>
  <si>
    <t>VHC</t>
  </si>
  <si>
    <t>VIRTRA, INC</t>
  </si>
  <si>
    <t>VTSI</t>
  </si>
  <si>
    <t>VIRTU FINANCIAL, INC.</t>
  </si>
  <si>
    <t>VIRT</t>
  </si>
  <si>
    <t>VIRTUS INVESTMENT PARTNERS, INC.</t>
  </si>
  <si>
    <t>VRTS</t>
  </si>
  <si>
    <t>VISHAY INTERTECHNOLOGY INC</t>
  </si>
  <si>
    <t>VSH</t>
  </si>
  <si>
    <t>VISHAY PRECISION GROUP, INC.</t>
  </si>
  <si>
    <t>VPG</t>
  </si>
  <si>
    <t>VISLINK TECHNOLOGIES, INC.</t>
  </si>
  <si>
    <t>VISL</t>
  </si>
  <si>
    <t>VISTA OUTDOOR INC.</t>
  </si>
  <si>
    <t>VSTO</t>
  </si>
  <si>
    <t>VISTAGEN THERAPEUTICS, INC.</t>
  </si>
  <si>
    <t>VTGN</t>
  </si>
  <si>
    <t>VISTEON CORP</t>
  </si>
  <si>
    <t>VC</t>
  </si>
  <si>
    <t>VISTRA CORP.</t>
  </si>
  <si>
    <t>VST</t>
  </si>
  <si>
    <t>VITA COCO COMPANY, INC.</t>
  </si>
  <si>
    <t>COCO</t>
  </si>
  <si>
    <t>VITAL FARMS, INC.</t>
  </si>
  <si>
    <t>VITL</t>
  </si>
  <si>
    <t>VIVAKOR, INC.</t>
  </si>
  <si>
    <t>VIVK</t>
  </si>
  <si>
    <t>VIVINT SMART HOME, INC.</t>
  </si>
  <si>
    <t>VVNT</t>
  </si>
  <si>
    <t>VIVOS THERAPEUTICS, INC.</t>
  </si>
  <si>
    <t>VVOS</t>
  </si>
  <si>
    <t>VIZIO HOLDING CORP.</t>
  </si>
  <si>
    <t>VZIO</t>
  </si>
  <si>
    <t>VMWARE, INC.</t>
  </si>
  <si>
    <t>VMW</t>
  </si>
  <si>
    <t>VOLTA INC.</t>
  </si>
  <si>
    <t>VLTA</t>
  </si>
  <si>
    <t>VONAGE HOLDINGS CORP</t>
  </si>
  <si>
    <t>VG</t>
  </si>
  <si>
    <t>VONTIER CORP</t>
  </si>
  <si>
    <t>VNT</t>
  </si>
  <si>
    <t>VORNADO REALTY TRUST</t>
  </si>
  <si>
    <t>VNO</t>
  </si>
  <si>
    <t>VOXX INTERNATIONAL CORP</t>
  </si>
  <si>
    <t>VOXX</t>
  </si>
  <si>
    <t>VOYA FINANCIAL, INC.</t>
  </si>
  <si>
    <t>VOYA</t>
  </si>
  <si>
    <t>VOYAGER THERAPEUTICS, INC.</t>
  </si>
  <si>
    <t>VYGR</t>
  </si>
  <si>
    <t>VROOM, INC.</t>
  </si>
  <si>
    <t>VRM</t>
  </si>
  <si>
    <t>VSE CORP</t>
  </si>
  <si>
    <t>VSEC</t>
  </si>
  <si>
    <t>VTV THERAPEUTICS INC.</t>
  </si>
  <si>
    <t>VTVT</t>
  </si>
  <si>
    <t>VULCAN MATERIALS CO</t>
  </si>
  <si>
    <t>VMC</t>
  </si>
  <si>
    <t>VUZIX CORP</t>
  </si>
  <si>
    <t>VUZI</t>
  </si>
  <si>
    <t>VYNE THERAPEUTICS INC.</t>
  </si>
  <si>
    <t>VYNE</t>
  </si>
  <si>
    <t>W&amp;T OFFSHORE INC</t>
  </si>
  <si>
    <t>WTI</t>
  </si>
  <si>
    <t>W. P. CAREY INC.</t>
  </si>
  <si>
    <t>WPC</t>
  </si>
  <si>
    <t>W.W. GRAINGER, INC.</t>
  </si>
  <si>
    <t>GWW</t>
  </si>
  <si>
    <t>WABASH NATIONAL CORP</t>
  </si>
  <si>
    <t>WNC</t>
  </si>
  <si>
    <t>WAH FU EDUCATION GROUP LTD</t>
  </si>
  <si>
    <t>WAFU</t>
  </si>
  <si>
    <t>WAITR HOLDINGS INC.</t>
  </si>
  <si>
    <t>WTRH</t>
  </si>
  <si>
    <t>WALGREENS BOOTS ALLIANCE, INC.</t>
  </si>
  <si>
    <t>WBA</t>
  </si>
  <si>
    <t>WALKER &amp; DUNLOP, INC.</t>
  </si>
  <si>
    <t>WD</t>
  </si>
  <si>
    <t>WALKME LTD.</t>
  </si>
  <si>
    <t>WKME</t>
  </si>
  <si>
    <t>WALMART INC.</t>
  </si>
  <si>
    <t>WALT DISNEY CO</t>
  </si>
  <si>
    <t>DIS</t>
  </si>
  <si>
    <t>WARBY PARKER INC.</t>
  </si>
  <si>
    <t>WRBY</t>
  </si>
  <si>
    <t>WARNER MUSIC GROUP CORP.</t>
  </si>
  <si>
    <t>WMG</t>
  </si>
  <si>
    <t>WARRIOR MET COAL, INC.</t>
  </si>
  <si>
    <t>HCC</t>
  </si>
  <si>
    <t>WASHINGTON FEDERAL INC</t>
  </si>
  <si>
    <t>WAFD</t>
  </si>
  <si>
    <t>WASHINGTON REAL ESTATE INVESTMENT TRUST</t>
  </si>
  <si>
    <t>WRE</t>
  </si>
  <si>
    <t>WASHINGTON TRUST BANCORP INC</t>
  </si>
  <si>
    <t>WASH</t>
  </si>
  <si>
    <t>WASTE CONNECTIONS, INC.</t>
  </si>
  <si>
    <t>WCN</t>
  </si>
  <si>
    <t>WASTE MANAGEMENT INC</t>
  </si>
  <si>
    <t>WM</t>
  </si>
  <si>
    <t>WATERMARK LODGING TRUST, INC.</t>
  </si>
  <si>
    <t>WRMK</t>
  </si>
  <si>
    <t>WATERS CORP /DE/</t>
  </si>
  <si>
    <t>WAT</t>
  </si>
  <si>
    <t>WATERSTONE FINANCIAL, INC.</t>
  </si>
  <si>
    <t>WSBF</t>
  </si>
  <si>
    <t>WATSCO INC</t>
  </si>
  <si>
    <t>WSO</t>
  </si>
  <si>
    <t>WATTS WATER TECHNOLOGIES INC</t>
  </si>
  <si>
    <t>WTS</t>
  </si>
  <si>
    <t>WAVE LIFE SCIENCES LTD.</t>
  </si>
  <si>
    <t>WVE</t>
  </si>
  <si>
    <t>WAYFAIR INC.</t>
  </si>
  <si>
    <t>W</t>
  </si>
  <si>
    <t>WAYSIDE TECHNOLOGY GROUP, INC.</t>
  </si>
  <si>
    <t>WSTG</t>
  </si>
  <si>
    <t>WD 40 CO</t>
  </si>
  <si>
    <t>WDFC</t>
  </si>
  <si>
    <t>WEATHERFORD INTERNATIONAL PLC</t>
  </si>
  <si>
    <t>WFRD</t>
  </si>
  <si>
    <t>WEAVE COMMUNICATIONS, INC.</t>
  </si>
  <si>
    <t>WEAV</t>
  </si>
  <si>
    <t>WEBER INC.</t>
  </si>
  <si>
    <t>WEBR</t>
  </si>
  <si>
    <t>WEBSTER FINANCIAL CORP</t>
  </si>
  <si>
    <t>WBS</t>
  </si>
  <si>
    <t>WEC ENERGY GROUP, INC.</t>
  </si>
  <si>
    <t>WEC</t>
  </si>
  <si>
    <t>WEIBO CORP</t>
  </si>
  <si>
    <t>WB</t>
  </si>
  <si>
    <t>WEIS MARKETS INC</t>
  </si>
  <si>
    <t>WMK</t>
  </si>
  <si>
    <t>WEJO GROUP LTD</t>
  </si>
  <si>
    <t>WEJO</t>
  </si>
  <si>
    <t>WELBILT, INC.</t>
  </si>
  <si>
    <t>WBT</t>
  </si>
  <si>
    <t>WELLS FARGO &amp; COMPANY/MN</t>
  </si>
  <si>
    <t>WFC</t>
  </si>
  <si>
    <t>WELLTOWER INC.</t>
  </si>
  <si>
    <t>WELL</t>
  </si>
  <si>
    <t>WENDY'S CO</t>
  </si>
  <si>
    <t>WEN</t>
  </si>
  <si>
    <t>WERNER ENTERPRISES INC</t>
  </si>
  <si>
    <t>WERN</t>
  </si>
  <si>
    <t>WESBANCO INC</t>
  </si>
  <si>
    <t>WSBC</t>
  </si>
  <si>
    <t>WESCO INTERNATIONAL INC</t>
  </si>
  <si>
    <t>WCC</t>
  </si>
  <si>
    <t>WEST BANCORPORATION INC</t>
  </si>
  <si>
    <t>WTBA</t>
  </si>
  <si>
    <t>WEST PHARMACEUTICAL SERVICES INC</t>
  </si>
  <si>
    <t>WST</t>
  </si>
  <si>
    <t>WESTAMERICA BANCORPORATION</t>
  </si>
  <si>
    <t>WABC</t>
  </si>
  <si>
    <t>WESTERN ALLIANCE BANCORPORATION</t>
  </si>
  <si>
    <t>WAL</t>
  </si>
  <si>
    <t>WESTERN ASSET MORTGAGE CAPITAL CORP</t>
  </si>
  <si>
    <t>WMC</t>
  </si>
  <si>
    <t>WESTERN CAPITAL RESOURCES, INC.</t>
  </si>
  <si>
    <t>WCRS</t>
  </si>
  <si>
    <t>WESTERN DIGITAL CORP</t>
  </si>
  <si>
    <t>WDC</t>
  </si>
  <si>
    <t>WESTERN MIDSTREAM PARTNERS, LP</t>
  </si>
  <si>
    <t>WES</t>
  </si>
  <si>
    <t>WESTERN NEW ENGLAND BANCORP, INC.</t>
  </si>
  <si>
    <t>WNEB</t>
  </si>
  <si>
    <t>WESTERN UNION CO</t>
  </si>
  <si>
    <t>WU</t>
  </si>
  <si>
    <t>WESTERN URANIUM &amp; VANADIUM CORP.</t>
  </si>
  <si>
    <t>WSTRF</t>
  </si>
  <si>
    <t>WESTINGHOUSE AIR BRAKE TECHNOLOGIES CORP</t>
  </si>
  <si>
    <t>WAB</t>
  </si>
  <si>
    <t>WESTLAKE CHEMICAL PARTNERS LP</t>
  </si>
  <si>
    <t>WLKP</t>
  </si>
  <si>
    <t>WESTLAKE CORP</t>
  </si>
  <si>
    <t>WLK</t>
  </si>
  <si>
    <t>WESTPORT FUEL SYSTEMS INC.</t>
  </si>
  <si>
    <t>WPRT</t>
  </si>
  <si>
    <t>WESTROCK CO</t>
  </si>
  <si>
    <t>WRK</t>
  </si>
  <si>
    <t>WESTWOOD HOLDINGS GROUP INC</t>
  </si>
  <si>
    <t>WHG</t>
  </si>
  <si>
    <t>WETRADE GROUP INC.</t>
  </si>
  <si>
    <t>WETG</t>
  </si>
  <si>
    <t>WEWORK INC.</t>
  </si>
  <si>
    <t>WE</t>
  </si>
  <si>
    <t>WEX INC.</t>
  </si>
  <si>
    <t>WEX</t>
  </si>
  <si>
    <t>WEYCO GROUP INC</t>
  </si>
  <si>
    <t>WEYS</t>
  </si>
  <si>
    <t>WEYERHAEUSER CO</t>
  </si>
  <si>
    <t>WY</t>
  </si>
  <si>
    <t>WHEELER REAL ESTATE INVESTMENT TRUST, INC.</t>
  </si>
  <si>
    <t>WHLR</t>
  </si>
  <si>
    <t>WHEELS UP EXPERIENCE INC.</t>
  </si>
  <si>
    <t>UP</t>
  </si>
  <si>
    <t>WHERE FOOD COMES FROM, INC.</t>
  </si>
  <si>
    <t>WFCF</t>
  </si>
  <si>
    <t>WHIRLPOOL CORP /DE/</t>
  </si>
  <si>
    <t>WHR</t>
  </si>
  <si>
    <t>WHITE MOUNTAINS INSURANCE GROUP LTD</t>
  </si>
  <si>
    <t>WTM</t>
  </si>
  <si>
    <t>WHITESTONE REIT</t>
  </si>
  <si>
    <t>WSR</t>
  </si>
  <si>
    <t>WIDEOPENWEST, INC.</t>
  </si>
  <si>
    <t>WOW</t>
  </si>
  <si>
    <t>WIDEPOINT CORP</t>
  </si>
  <si>
    <t>WYY</t>
  </si>
  <si>
    <t>WILHELMINA INTERNATIONAL, INC.</t>
  </si>
  <si>
    <t>WHLM</t>
  </si>
  <si>
    <t>WILLAMETTE VALLEY VINEYARDS INC</t>
  </si>
  <si>
    <t>WVVI</t>
  </si>
  <si>
    <t>WILLDAN GROUP, INC.</t>
  </si>
  <si>
    <t>WLDN</t>
  </si>
  <si>
    <t>WILLIAM PENN BANCORPORATION</t>
  </si>
  <si>
    <t>WMPN</t>
  </si>
  <si>
    <t>WILLIAMS COMPANIES, INC.</t>
  </si>
  <si>
    <t>WMB</t>
  </si>
  <si>
    <t>WILLIAMS INDUSTRIAL SERVICES GROUP INC.</t>
  </si>
  <si>
    <t>WLMS</t>
  </si>
  <si>
    <t>WILLIAMS SONOMA INC</t>
  </si>
  <si>
    <t>WSM</t>
  </si>
  <si>
    <t>WILLIS LEASE FINANCE CORP</t>
  </si>
  <si>
    <t>WLFC</t>
  </si>
  <si>
    <t>WILLSCOT MOBILE MINI HOLDINGS CORP.</t>
  </si>
  <si>
    <t>WSC</t>
  </si>
  <si>
    <t>WIMI HOLOGRAM CLOUD INC.</t>
  </si>
  <si>
    <t>WIMI</t>
  </si>
  <si>
    <t>WINC, INC.</t>
  </si>
  <si>
    <t>WBEV</t>
  </si>
  <si>
    <t>WINGSTOP INC.</t>
  </si>
  <si>
    <t>WING</t>
  </si>
  <si>
    <t>WINMARK CORP</t>
  </si>
  <si>
    <t>WINA</t>
  </si>
  <si>
    <t>WINNEBAGO INDUSTRIES INC</t>
  </si>
  <si>
    <t>WGO</t>
  </si>
  <si>
    <t>WINTRUST FINANCIAL CORP</t>
  </si>
  <si>
    <t>WTFC</t>
  </si>
  <si>
    <t>WIRELESS TELECOM GROUP INC</t>
  </si>
  <si>
    <t>WTT</t>
  </si>
  <si>
    <t>WISEKEY INTERNATIONAL HOLDING S.A.</t>
  </si>
  <si>
    <t>WKEY</t>
  </si>
  <si>
    <t>WIX.COM LTD.</t>
  </si>
  <si>
    <t>WIX</t>
  </si>
  <si>
    <t>WM TECHNOLOGY, INC.</t>
  </si>
  <si>
    <t>MAPS</t>
  </si>
  <si>
    <t>WOLVERINE WORLD WIDE INC /DE/</t>
  </si>
  <si>
    <t>WWW</t>
  </si>
  <si>
    <t>WOODWARD, INC.</t>
  </si>
  <si>
    <t>WWD</t>
  </si>
  <si>
    <t>WORKDAY, INC.</t>
  </si>
  <si>
    <t>WDAY</t>
  </si>
  <si>
    <t>WORKHORSE GROUP INC.</t>
  </si>
  <si>
    <t>WKHS</t>
  </si>
  <si>
    <t>WORKIVA INC</t>
  </si>
  <si>
    <t>WK</t>
  </si>
  <si>
    <t>WORLD ACCEPTANCE CORP</t>
  </si>
  <si>
    <t>WRLD</t>
  </si>
  <si>
    <t>WORLD FUEL SERVICES CORP</t>
  </si>
  <si>
    <t>INT</t>
  </si>
  <si>
    <t>WORLD WRESTLING ENTERTAINMENTINC</t>
  </si>
  <si>
    <t>WWE</t>
  </si>
  <si>
    <t>WORTHINGTON INDUSTRIES INC</t>
  </si>
  <si>
    <t>WOR</t>
  </si>
  <si>
    <t>WRAP TECHNOLOGIES, INC.</t>
  </si>
  <si>
    <t>WRAP</t>
  </si>
  <si>
    <t>WSFS FINANCIAL CORP</t>
  </si>
  <si>
    <t>WSFS</t>
  </si>
  <si>
    <t>WW INTERNATIONAL, INC.</t>
  </si>
  <si>
    <t>WW</t>
  </si>
  <si>
    <t>WYNDHAM HOTELS &amp; RESORTS, INC.</t>
  </si>
  <si>
    <t>WH</t>
  </si>
  <si>
    <t>WYNN RESORTS LTD</t>
  </si>
  <si>
    <t>WYNN</t>
  </si>
  <si>
    <t>X FINANCIAL</t>
  </si>
  <si>
    <t>XYF</t>
  </si>
  <si>
    <t>XBIOTECH INC.</t>
  </si>
  <si>
    <t>XBIT</t>
  </si>
  <si>
    <t>XCEL BRANDS, INC.</t>
  </si>
  <si>
    <t>XELB</t>
  </si>
  <si>
    <t>XCEL ENERGY INC</t>
  </si>
  <si>
    <t>XEL</t>
  </si>
  <si>
    <t>XENCOR INC</t>
  </si>
  <si>
    <t>XNCR</t>
  </si>
  <si>
    <t>XENIA HOTELS &amp; RESORTS, INC.</t>
  </si>
  <si>
    <t>XHR</t>
  </si>
  <si>
    <t>XENON PHARMACEUTICALS INC.</t>
  </si>
  <si>
    <t>XENE</t>
  </si>
  <si>
    <t>XERIS BIOPHARMA HOLDINGS, INC.</t>
  </si>
  <si>
    <t>XERS</t>
  </si>
  <si>
    <t>XEROX HOLDINGS CORP</t>
  </si>
  <si>
    <t>XRX</t>
  </si>
  <si>
    <t>XIAOBAI MAIMAI INC.</t>
  </si>
  <si>
    <t>AHG</t>
  </si>
  <si>
    <t>XINYUAN REAL ESTATE CO., LTD.</t>
  </si>
  <si>
    <t>XIN</t>
  </si>
  <si>
    <t>XL FLEET CORP.</t>
  </si>
  <si>
    <t>XL</t>
  </si>
  <si>
    <t>XOMA CORP</t>
  </si>
  <si>
    <t>XOMA</t>
  </si>
  <si>
    <t>XOMETRY, INC.</t>
  </si>
  <si>
    <t>XMTR</t>
  </si>
  <si>
    <t>XOS, INC.</t>
  </si>
  <si>
    <t>XOS</t>
  </si>
  <si>
    <t>XPEL, INC.</t>
  </si>
  <si>
    <t>XPEL</t>
  </si>
  <si>
    <t>XPERI HOLDING CORP</t>
  </si>
  <si>
    <t>XPER</t>
  </si>
  <si>
    <t>XPO LOGISTICS, INC.</t>
  </si>
  <si>
    <t>XPO</t>
  </si>
  <si>
    <t>XPONENTIAL FITNESS, INC.</t>
  </si>
  <si>
    <t>XPOF</t>
  </si>
  <si>
    <t>XPRESSPA GROUP, INC.</t>
  </si>
  <si>
    <t>XSPA</t>
  </si>
  <si>
    <t>XTANT MEDICAL HOLDINGS, INC.</t>
  </si>
  <si>
    <t>XTNT</t>
  </si>
  <si>
    <t>XUNLEI LTD</t>
  </si>
  <si>
    <t>XNET</t>
  </si>
  <si>
    <t>XYLEM INC.</t>
  </si>
  <si>
    <t>XYL</t>
  </si>
  <si>
    <t>Y-MABS THERAPEUTICS, INC.</t>
  </si>
  <si>
    <t>YMAB</t>
  </si>
  <si>
    <t>YALLA GROUP LTD</t>
  </si>
  <si>
    <t>YALA</t>
  </si>
  <si>
    <t>YANDEX N.V.</t>
  </si>
  <si>
    <t>YNDX</t>
  </si>
  <si>
    <t>YATSEN HOLDING LTD</t>
  </si>
  <si>
    <t>YSG</t>
  </si>
  <si>
    <t>YELLOW CORP</t>
  </si>
  <si>
    <t>YELL</t>
  </si>
  <si>
    <t>YELP INC</t>
  </si>
  <si>
    <t>YELP</t>
  </si>
  <si>
    <t>YETI HOLDINGS, INC.</t>
  </si>
  <si>
    <t>YETI</t>
  </si>
  <si>
    <t>YEXT, INC.</t>
  </si>
  <si>
    <t>YEXT</t>
  </si>
  <si>
    <t>YIELD10 BIOSCIENCE, INC.</t>
  </si>
  <si>
    <t>YTEN</t>
  </si>
  <si>
    <t>YIREN DIGITAL LTD.</t>
  </si>
  <si>
    <t>YRD</t>
  </si>
  <si>
    <t>YORK WATER CO</t>
  </si>
  <si>
    <t>YORW</t>
  </si>
  <si>
    <t>YOUDAO, INC.</t>
  </si>
  <si>
    <t>DAO</t>
  </si>
  <si>
    <t>YUM BRANDS INC</t>
  </si>
  <si>
    <t>YUM</t>
  </si>
  <si>
    <t>YUM CHINA HOLDINGS, INC.</t>
  </si>
  <si>
    <t>YUMC</t>
  </si>
  <si>
    <t>YUMANITY THERAPEUTICS, INC.</t>
  </si>
  <si>
    <t>YMTX</t>
  </si>
  <si>
    <t>YUNJI INC.</t>
  </si>
  <si>
    <t>YJ</t>
  </si>
  <si>
    <t>ZAI LAB LTD</t>
  </si>
  <si>
    <t>ZLAB</t>
  </si>
  <si>
    <t>ZEBRA TECHNOLOGIES CORP</t>
  </si>
  <si>
    <t>ZBRA</t>
  </si>
  <si>
    <t>ZEDGE, INC.</t>
  </si>
  <si>
    <t>ZDGE</t>
  </si>
  <si>
    <t>ZENDESK, INC.</t>
  </si>
  <si>
    <t>ZEN</t>
  </si>
  <si>
    <t>ZEPP HEALTH CORP</t>
  </si>
  <si>
    <t>ZEPP</t>
  </si>
  <si>
    <t>ZETA GLOBAL HOLDINGS CORP.</t>
  </si>
  <si>
    <t>ZETA</t>
  </si>
  <si>
    <t>ZEVIA PBC</t>
  </si>
  <si>
    <t>ZVIA</t>
  </si>
  <si>
    <t>ZHONGCHAO INC.</t>
  </si>
  <si>
    <t>ZCMD</t>
  </si>
  <si>
    <t>ZIFF DAVIS, INC.</t>
  </si>
  <si>
    <t>ZD</t>
  </si>
  <si>
    <t>ZILLOW GROUP, INC.</t>
  </si>
  <si>
    <t>ZG</t>
  </si>
  <si>
    <t>ZIMMER BIOMET HOLDINGS, INC.</t>
  </si>
  <si>
    <t>ZBH</t>
  </si>
  <si>
    <t>ZION OIL &amp; GAS INC</t>
  </si>
  <si>
    <t>ZNOG</t>
  </si>
  <si>
    <t>ZIONS BANCORPORATION, NATIONAL ASSOCIATION /UT/</t>
  </si>
  <si>
    <t>ZION</t>
  </si>
  <si>
    <t>ZIPRECRUITER, INC.</t>
  </si>
  <si>
    <t>ZIP</t>
  </si>
  <si>
    <t>ZK INTERNATIONAL GROUP CO., LTD.</t>
  </si>
  <si>
    <t>ZKIN</t>
  </si>
  <si>
    <t>ZOETIS INC.</t>
  </si>
  <si>
    <t>ZTS</t>
  </si>
  <si>
    <t>ZOOM VIDEO COMMUNICATIONS, INC.</t>
  </si>
  <si>
    <t>ZM</t>
  </si>
  <si>
    <t>ZOOMINFO TECHNOLOGIES INC.</t>
  </si>
  <si>
    <t>ZI</t>
  </si>
  <si>
    <t>ZOVIO INC</t>
  </si>
  <si>
    <t>ZVO</t>
  </si>
  <si>
    <t>ZSCALER, INC.</t>
  </si>
  <si>
    <t>ZS</t>
  </si>
  <si>
    <t>ZTO EXPRESS (CAYMAN) INC.</t>
  </si>
  <si>
    <t>ZTO</t>
  </si>
  <si>
    <t>ZUMIEZ INC</t>
  </si>
  <si>
    <t>ZUMZ</t>
  </si>
  <si>
    <t>ZUORA INC</t>
  </si>
  <si>
    <t>ZUO</t>
  </si>
  <si>
    <t>ZURN WATER SOLUTIONS CORP</t>
  </si>
  <si>
    <t>ZWS</t>
  </si>
  <si>
    <t>ZW DATA ACTION TECHNOLOGIES INC.</t>
  </si>
  <si>
    <t>CNET</t>
  </si>
  <si>
    <t>ZYMERGEN INC.</t>
  </si>
  <si>
    <t>ZY</t>
  </si>
  <si>
    <t>ZYMEWORKS INC.</t>
  </si>
  <si>
    <t>ZYME</t>
  </si>
  <si>
    <t>ZYNEX INC</t>
  </si>
  <si>
    <t>ZYXI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</si>
</sst>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-* #,##0_-;\-* #,##0_-;_-* &quot;-&quot;_-;_-@_-"/>
    <numFmt numFmtId="42" formatCode="_-&quot;£&quot;* #,##0_-;\-&quot;£&quot;* #,##0_-;_-&quot;£&quot;* &quot;-&quot;_-;_-@_-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yyyy/mm/dd;@"/>
    <numFmt numFmtId="179" formatCode="0_);\(0\)"/>
    <numFmt numFmtId="180" formatCode="&quot;$&quot;#,##0.00"/>
    <numFmt numFmtId="181" formatCode="0.0000"/>
    <numFmt numFmtId="182" formatCode="0.00_);\(0.00\)"/>
    <numFmt numFmtId="183" formatCode="0.0000%"/>
    <numFmt numFmtId="184" formatCode="0.0"/>
    <numFmt numFmtId="185" formatCode="0.000_);\(0.000\)"/>
    <numFmt numFmtId="186" formatCode="0.0%"/>
    <numFmt numFmtId="187" formatCode="0.000"/>
    <numFmt numFmtId="188" formatCode="#,##0.0000_);\(#,##0.0000\)"/>
    <numFmt numFmtId="189" formatCode="m/d/yyyy;@"/>
  </numFmts>
  <fonts count="49">
    <font>
      <sz val="10"/>
      <name val="Arial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b/>
      <sz val="11"/>
      <color indexed="8"/>
      <name val="Calibri"/>
      <charset val="134"/>
    </font>
    <font>
      <u/>
      <sz val="10"/>
      <color indexed="12"/>
      <name val="Arial"/>
      <charset val="134"/>
    </font>
    <font>
      <b/>
      <sz val="10"/>
      <name val="Arial"/>
      <charset val="134"/>
    </font>
    <font>
      <sz val="10"/>
      <color indexed="17"/>
      <name val="Arial"/>
      <charset val="134"/>
    </font>
    <font>
      <u/>
      <sz val="10"/>
      <name val="Arial"/>
      <charset val="134"/>
    </font>
    <font>
      <b/>
      <sz val="14"/>
      <color indexed="12"/>
      <name val="Arial"/>
      <charset val="134"/>
    </font>
    <font>
      <sz val="14"/>
      <name val="Arial"/>
      <charset val="134"/>
    </font>
    <font>
      <sz val="10"/>
      <color indexed="29"/>
      <name val="Arial"/>
      <charset val="134"/>
    </font>
    <font>
      <b/>
      <sz val="12"/>
      <name val="Arial"/>
      <charset val="134"/>
    </font>
    <font>
      <sz val="10"/>
      <color indexed="12"/>
      <name val="Arial"/>
      <charset val="134"/>
    </font>
    <font>
      <b/>
      <sz val="10"/>
      <color indexed="53"/>
      <name val="Arial"/>
      <charset val="134"/>
    </font>
    <font>
      <b/>
      <sz val="10"/>
      <color indexed="29"/>
      <name val="Arial"/>
      <charset val="134"/>
    </font>
    <font>
      <b/>
      <u/>
      <sz val="10"/>
      <color indexed="12"/>
      <name val="Arial"/>
      <charset val="134"/>
    </font>
    <font>
      <u/>
      <sz val="14"/>
      <color indexed="12"/>
      <name val="Arial"/>
      <charset val="134"/>
    </font>
    <font>
      <b/>
      <sz val="10"/>
      <color indexed="52"/>
      <name val="Arial"/>
      <charset val="134"/>
    </font>
    <font>
      <b/>
      <sz val="14"/>
      <name val="Arial"/>
      <charset val="134"/>
    </font>
    <font>
      <b/>
      <sz val="10"/>
      <color indexed="12"/>
      <name val="Arial"/>
      <charset val="134"/>
    </font>
    <font>
      <sz val="10"/>
      <color indexed="10"/>
      <name val="Arial"/>
      <charset val="134"/>
    </font>
    <font>
      <b/>
      <sz val="10"/>
      <color indexed="17"/>
      <name val="Arial"/>
      <charset val="134"/>
    </font>
    <font>
      <sz val="14"/>
      <color indexed="17"/>
      <name val="Arial"/>
      <charset val="134"/>
    </font>
    <font>
      <b/>
      <sz val="9"/>
      <name val="Arial"/>
      <charset val="134"/>
    </font>
    <font>
      <sz val="8"/>
      <name val="Arial"/>
      <charset val="134"/>
    </font>
    <font>
      <sz val="9"/>
      <name val="Times New Roman"/>
      <charset val="134"/>
    </font>
    <font>
      <u/>
      <sz val="10"/>
      <color rgb="FF800080"/>
      <name val="Arial"/>
      <charset val="134"/>
    </font>
    <font>
      <sz val="24"/>
      <name val="Arial"/>
      <charset val="134"/>
    </font>
    <font>
      <sz val="72"/>
      <name val="Marigold (W1)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EE7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30" fillId="12" borderId="2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3" borderId="28" applyNumberFormat="0" applyAlignment="0" applyProtection="0">
      <alignment vertical="center"/>
    </xf>
    <xf numFmtId="0" fontId="38" fillId="14" borderId="29" applyNumberFormat="0" applyAlignment="0" applyProtection="0">
      <alignment vertical="center"/>
    </xf>
    <xf numFmtId="0" fontId="39" fillId="14" borderId="28" applyNumberFormat="0" applyAlignment="0" applyProtection="0">
      <alignment vertical="center"/>
    </xf>
    <xf numFmtId="0" fontId="40" fillId="15" borderId="30" applyNumberFormat="0" applyAlignment="0" applyProtection="0">
      <alignment vertical="center"/>
    </xf>
    <xf numFmtId="0" fontId="41" fillId="0" borderId="31" applyNumberFormat="0" applyFill="0" applyAlignment="0" applyProtection="0">
      <alignment vertical="center"/>
    </xf>
    <xf numFmtId="0" fontId="42" fillId="0" borderId="32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176" fontId="48" fillId="0" borderId="0" applyFont="0" applyFill="0" applyBorder="0" applyAlignment="0" applyProtection="0"/>
    <xf numFmtId="0" fontId="48" fillId="0" borderId="0"/>
  </cellStyleXfs>
  <cellXfs count="23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1" fontId="0" fillId="0" borderId="0" xfId="1" applyNumberFormat="1" applyFont="1"/>
    <xf numFmtId="1" fontId="0" fillId="0" borderId="0" xfId="0" applyNumberFormat="1"/>
    <xf numFmtId="0" fontId="3" fillId="0" borderId="0" xfId="0" applyFont="1"/>
    <xf numFmtId="49" fontId="0" fillId="0" borderId="0" xfId="0" applyNumberFormat="1"/>
    <xf numFmtId="37" fontId="0" fillId="0" borderId="0" xfId="0" applyNumberFormat="1"/>
    <xf numFmtId="0" fontId="4" fillId="0" borderId="0" xfId="0" applyFont="1"/>
    <xf numFmtId="0" fontId="5" fillId="0" borderId="0" xfId="6" applyAlignment="1" applyProtection="1"/>
    <xf numFmtId="0" fontId="6" fillId="0" borderId="0" xfId="6" applyFont="1" applyAlignment="1" applyProtection="1"/>
    <xf numFmtId="37" fontId="7" fillId="2" borderId="1" xfId="0" applyNumberFormat="1" applyFont="1" applyFill="1" applyBorder="1" applyProtection="1">
      <protection locked="0"/>
    </xf>
    <xf numFmtId="0" fontId="8" fillId="0" borderId="0" xfId="6" applyFont="1" applyAlignment="1" applyProtection="1"/>
    <xf numFmtId="178" fontId="7" fillId="2" borderId="1" xfId="0" applyNumberFormat="1" applyFont="1" applyFill="1" applyBorder="1" applyProtection="1">
      <protection locked="0"/>
    </xf>
    <xf numFmtId="0" fontId="0" fillId="0" borderId="0" xfId="6" applyFont="1" applyAlignment="1" applyProtection="1"/>
    <xf numFmtId="179" fontId="7" fillId="2" borderId="1" xfId="0" applyNumberFormat="1" applyFont="1" applyFill="1" applyBorder="1" applyProtection="1">
      <protection locked="0"/>
    </xf>
    <xf numFmtId="0" fontId="0" fillId="0" borderId="0" xfId="0" applyFont="1"/>
    <xf numFmtId="0" fontId="6" fillId="0" borderId="0" xfId="0" applyFont="1"/>
    <xf numFmtId="0" fontId="7" fillId="2" borderId="2" xfId="0" applyFont="1" applyFill="1" applyBorder="1" applyAlignment="1" applyProtection="1">
      <alignment horizontal="left"/>
      <protection locked="0"/>
    </xf>
    <xf numFmtId="0" fontId="0" fillId="0" borderId="3" xfId="0" applyBorder="1" applyAlignment="1">
      <alignment horizontal="left"/>
    </xf>
    <xf numFmtId="0" fontId="7" fillId="2" borderId="1" xfId="1" applyNumberFormat="1" applyFont="1" applyFill="1" applyBorder="1" applyProtection="1">
      <protection locked="0"/>
    </xf>
    <xf numFmtId="3" fontId="7" fillId="2" borderId="1" xfId="1" applyNumberFormat="1" applyFont="1" applyFill="1" applyBorder="1" applyProtection="1">
      <protection locked="0"/>
    </xf>
    <xf numFmtId="37" fontId="7" fillId="2" borderId="4" xfId="0" applyNumberFormat="1" applyFont="1" applyFill="1" applyBorder="1" applyProtection="1">
      <protection locked="0"/>
    </xf>
    <xf numFmtId="0" fontId="8" fillId="0" borderId="0" xfId="0" applyFont="1"/>
    <xf numFmtId="0" fontId="7" fillId="2" borderId="3" xfId="0" applyFont="1" applyFill="1" applyBorder="1" applyAlignment="1" applyProtection="1">
      <alignment horizontal="left"/>
      <protection locked="0"/>
    </xf>
    <xf numFmtId="178" fontId="7" fillId="2" borderId="5" xfId="0" applyNumberFormat="1" applyFont="1" applyFill="1" applyBorder="1" applyAlignment="1" applyProtection="1">
      <alignment horizontal="right"/>
      <protection locked="0"/>
    </xf>
    <xf numFmtId="1" fontId="7" fillId="2" borderId="1" xfId="1" applyNumberFormat="1" applyFont="1" applyFill="1" applyBorder="1" applyProtection="1">
      <protection locked="0"/>
    </xf>
    <xf numFmtId="0" fontId="0" fillId="3" borderId="0" xfId="0" applyFill="1"/>
    <xf numFmtId="0" fontId="9" fillId="4" borderId="6" xfId="6" applyFont="1" applyFill="1" applyBorder="1" applyAlignment="1" applyProtection="1"/>
    <xf numFmtId="0" fontId="0" fillId="4" borderId="7" xfId="0" applyFill="1" applyBorder="1"/>
    <xf numFmtId="0" fontId="0" fillId="4" borderId="8" xfId="0" applyFill="1" applyBorder="1"/>
    <xf numFmtId="0" fontId="9" fillId="4" borderId="9" xfId="6" applyFont="1" applyFill="1" applyBorder="1" applyAlignment="1" applyProtection="1"/>
    <xf numFmtId="0" fontId="0" fillId="4" borderId="0" xfId="0" applyFill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6" fillId="5" borderId="9" xfId="0" applyFont="1" applyFill="1" applyBorder="1"/>
    <xf numFmtId="0" fontId="0" fillId="5" borderId="0" xfId="0" applyFill="1"/>
    <xf numFmtId="0" fontId="0" fillId="5" borderId="10" xfId="0" applyFill="1" applyBorder="1"/>
    <xf numFmtId="0" fontId="7" fillId="5" borderId="9" xfId="0" applyFont="1" applyFill="1" applyBorder="1"/>
    <xf numFmtId="0" fontId="7" fillId="5" borderId="0" xfId="0" applyFont="1" applyFill="1"/>
    <xf numFmtId="0" fontId="0" fillId="5" borderId="9" xfId="0" applyFill="1" applyBorder="1"/>
    <xf numFmtId="178" fontId="0" fillId="5" borderId="0" xfId="0" applyNumberFormat="1" applyFill="1" applyAlignment="1">
      <alignment horizontal="right"/>
    </xf>
    <xf numFmtId="10" fontId="0" fillId="5" borderId="0" xfId="0" applyNumberFormat="1" applyFill="1" applyAlignment="1">
      <alignment horizontal="right"/>
    </xf>
    <xf numFmtId="0" fontId="0" fillId="5" borderId="0" xfId="0" applyFont="1" applyFill="1" applyAlignment="1">
      <alignment horizontal="right"/>
    </xf>
    <xf numFmtId="10" fontId="0" fillId="5" borderId="0" xfId="0" applyNumberFormat="1" applyFill="1"/>
    <xf numFmtId="180" fontId="0" fillId="5" borderId="0" xfId="0" applyNumberFormat="1" applyFill="1"/>
    <xf numFmtId="178" fontId="0" fillId="5" borderId="0" xfId="0" applyNumberFormat="1" applyFill="1"/>
    <xf numFmtId="180" fontId="6" fillId="6" borderId="14" xfId="0" applyNumberFormat="1" applyFont="1" applyFill="1" applyBorder="1"/>
    <xf numFmtId="4" fontId="0" fillId="5" borderId="0" xfId="0" applyNumberFormat="1" applyFill="1"/>
    <xf numFmtId="2" fontId="0" fillId="5" borderId="0" xfId="0" applyNumberFormat="1" applyFill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7" borderId="0" xfId="0" applyFill="1"/>
    <xf numFmtId="0" fontId="10" fillId="0" borderId="0" xfId="0" applyFont="1"/>
    <xf numFmtId="0" fontId="11" fillId="0" borderId="0" xfId="0" applyFont="1"/>
    <xf numFmtId="0" fontId="9" fillId="4" borderId="0" xfId="6" applyFont="1" applyFill="1" applyBorder="1" applyAlignment="1" applyProtection="1"/>
    <xf numFmtId="0" fontId="12" fillId="4" borderId="0" xfId="0" applyFont="1" applyFill="1"/>
    <xf numFmtId="0" fontId="0" fillId="4" borderId="15" xfId="0" applyFill="1" applyBorder="1"/>
    <xf numFmtId="0" fontId="7" fillId="0" borderId="0" xfId="0" applyFont="1"/>
    <xf numFmtId="3" fontId="7" fillId="0" borderId="0" xfId="1" applyNumberFormat="1" applyFont="1" applyFill="1" applyBorder="1"/>
    <xf numFmtId="3" fontId="0" fillId="0" borderId="0" xfId="1" applyNumberFormat="1" applyFont="1" applyFill="1" applyBorder="1"/>
    <xf numFmtId="180" fontId="0" fillId="0" borderId="0" xfId="1" applyNumberFormat="1" applyFont="1" applyFill="1" applyBorder="1"/>
    <xf numFmtId="0" fontId="0" fillId="0" borderId="0" xfId="0" applyAlignment="1">
      <alignment horizontal="center"/>
    </xf>
    <xf numFmtId="0" fontId="0" fillId="0" borderId="12" xfId="0" applyBorder="1"/>
    <xf numFmtId="178" fontId="0" fillId="0" borderId="12" xfId="0" applyNumberFormat="1" applyBorder="1" applyAlignment="1">
      <alignment horizontal="center"/>
    </xf>
    <xf numFmtId="37" fontId="0" fillId="0" borderId="0" xfId="0" applyNumberFormat="1" applyFont="1"/>
    <xf numFmtId="0" fontId="13" fillId="0" borderId="0" xfId="6" applyFont="1" applyAlignment="1" applyProtection="1"/>
    <xf numFmtId="180" fontId="0" fillId="0" borderId="0" xfId="0" applyNumberFormat="1"/>
    <xf numFmtId="0" fontId="14" fillId="0" borderId="0" xfId="0" applyFont="1"/>
    <xf numFmtId="180" fontId="0" fillId="2" borderId="1" xfId="0" applyNumberFormat="1" applyFont="1" applyFill="1" applyBorder="1" applyProtection="1">
      <protection locked="0"/>
    </xf>
    <xf numFmtId="180" fontId="0" fillId="2" borderId="1" xfId="0" applyNumberFormat="1" applyFill="1" applyBorder="1" applyProtection="1">
      <protection locked="0"/>
    </xf>
    <xf numFmtId="0" fontId="0" fillId="0" borderId="0" xfId="0" applyAlignment="1">
      <alignment wrapText="1"/>
    </xf>
    <xf numFmtId="9" fontId="0" fillId="0" borderId="0" xfId="0" applyNumberFormat="1"/>
    <xf numFmtId="0" fontId="14" fillId="0" borderId="0" xfId="0" applyFont="1" applyAlignment="1">
      <alignment wrapText="1"/>
    </xf>
    <xf numFmtId="9" fontId="0" fillId="2" borderId="1" xfId="0" applyNumberFormat="1" applyFont="1" applyFill="1" applyBorder="1" applyProtection="1">
      <protection locked="0"/>
    </xf>
    <xf numFmtId="0" fontId="15" fillId="0" borderId="0" xfId="0" applyFont="1"/>
    <xf numFmtId="9" fontId="11" fillId="0" borderId="0" xfId="0" applyNumberFormat="1" applyFont="1"/>
    <xf numFmtId="0" fontId="5" fillId="0" borderId="0" xfId="6" applyFill="1" applyAlignment="1" applyProtection="1">
      <alignment horizontal="center"/>
    </xf>
    <xf numFmtId="0" fontId="16" fillId="0" borderId="0" xfId="6" applyFont="1" applyFill="1" applyAlignment="1" applyProtection="1"/>
    <xf numFmtId="0" fontId="10" fillId="4" borderId="0" xfId="0" applyFont="1" applyFill="1"/>
    <xf numFmtId="0" fontId="17" fillId="4" borderId="0" xfId="6" applyFont="1" applyFill="1" applyBorder="1" applyAlignment="1" applyProtection="1"/>
    <xf numFmtId="0" fontId="5" fillId="4" borderId="15" xfId="6" applyFill="1" applyBorder="1" applyAlignment="1" applyProtection="1"/>
    <xf numFmtId="0" fontId="18" fillId="0" borderId="0" xfId="0" applyFont="1"/>
    <xf numFmtId="0" fontId="8" fillId="0" borderId="0" xfId="6" applyFont="1" applyFill="1" applyBorder="1" applyAlignment="1" applyProtection="1"/>
    <xf numFmtId="49" fontId="19" fillId="4" borderId="0" xfId="0" applyNumberFormat="1" applyFont="1" applyFill="1"/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right"/>
    </xf>
    <xf numFmtId="0" fontId="6" fillId="4" borderId="15" xfId="0" applyFont="1" applyFill="1" applyBorder="1"/>
    <xf numFmtId="0" fontId="0" fillId="4" borderId="15" xfId="0" applyFill="1" applyBorder="1" applyAlignment="1">
      <alignment horizontal="left"/>
    </xf>
    <xf numFmtId="0" fontId="0" fillId="4" borderId="15" xfId="0" applyFill="1" applyBorder="1" applyAlignment="1">
      <alignment horizontal="right"/>
    </xf>
    <xf numFmtId="58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0" fontId="0" fillId="0" borderId="0" xfId="3" applyNumberFormat="1" applyFont="1" applyFill="1" applyBorder="1"/>
    <xf numFmtId="9" fontId="0" fillId="0" borderId="0" xfId="3" applyFont="1" applyFill="1" applyBorder="1"/>
    <xf numFmtId="181" fontId="0" fillId="0" borderId="0" xfId="0" applyNumberFormat="1"/>
    <xf numFmtId="58" fontId="0" fillId="0" borderId="0" xfId="0" applyNumberFormat="1" applyAlignment="1">
      <alignment horizontal="right"/>
    </xf>
    <xf numFmtId="0" fontId="20" fillId="0" borderId="0" xfId="6" applyFont="1" applyAlignment="1" applyProtection="1"/>
    <xf numFmtId="0" fontId="21" fillId="0" borderId="0" xfId="0" applyFont="1"/>
    <xf numFmtId="180" fontId="6" fillId="6" borderId="16" xfId="0" applyNumberFormat="1" applyFont="1" applyFill="1" applyBorder="1"/>
    <xf numFmtId="37" fontId="0" fillId="0" borderId="0" xfId="0" applyNumberFormat="1" applyAlignment="1">
      <alignment wrapText="1"/>
    </xf>
    <xf numFmtId="58" fontId="10" fillId="4" borderId="0" xfId="0" applyNumberFormat="1" applyFont="1" applyFill="1"/>
    <xf numFmtId="58" fontId="0" fillId="4" borderId="15" xfId="0" applyNumberFormat="1" applyFill="1" applyBorder="1"/>
    <xf numFmtId="0" fontId="8" fillId="0" borderId="0" xfId="6" applyFont="1" applyBorder="1" applyAlignment="1" applyProtection="1"/>
    <xf numFmtId="58" fontId="0" fillId="0" borderId="0" xfId="0" applyNumberFormat="1" applyAlignment="1">
      <alignment horizontal="center"/>
    </xf>
    <xf numFmtId="0" fontId="5" fillId="4" borderId="0" xfId="6" applyFill="1" applyBorder="1" applyAlignment="1" applyProtection="1"/>
    <xf numFmtId="0" fontId="9" fillId="4" borderId="0" xfId="0" applyFont="1" applyFill="1"/>
    <xf numFmtId="0" fontId="19" fillId="4" borderId="15" xfId="0" applyFont="1" applyFill="1" applyBorder="1"/>
    <xf numFmtId="0" fontId="19" fillId="5" borderId="15" xfId="0" applyFont="1" applyFill="1" applyBorder="1"/>
    <xf numFmtId="0" fontId="0" fillId="5" borderId="15" xfId="0" applyFill="1" applyBorder="1"/>
    <xf numFmtId="0" fontId="6" fillId="5" borderId="0" xfId="0" applyFont="1" applyFill="1"/>
    <xf numFmtId="0" fontId="6" fillId="6" borderId="17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8" xfId="0" applyFont="1" applyFill="1" applyBorder="1" applyAlignment="1">
      <alignment horizontal="left"/>
    </xf>
    <xf numFmtId="0" fontId="0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7" fillId="5" borderId="0" xfId="0" applyFont="1" applyFill="1" applyProtection="1">
      <protection locked="0"/>
    </xf>
    <xf numFmtId="0" fontId="6" fillId="5" borderId="0" xfId="0" applyFont="1" applyFill="1" applyAlignment="1">
      <alignment horizontal="left"/>
    </xf>
    <xf numFmtId="0" fontId="20" fillId="5" borderId="0" xfId="6" applyFont="1" applyFill="1" applyAlignment="1" applyProtection="1"/>
    <xf numFmtId="0" fontId="6" fillId="5" borderId="0" xfId="6" applyFont="1" applyFill="1" applyAlignment="1" applyProtection="1"/>
    <xf numFmtId="2" fontId="6" fillId="5" borderId="0" xfId="0" applyNumberFormat="1" applyFont="1" applyFill="1"/>
    <xf numFmtId="0" fontId="0" fillId="5" borderId="19" xfId="0" applyFill="1" applyBorder="1"/>
    <xf numFmtId="0" fontId="5" fillId="5" borderId="0" xfId="6" applyFill="1" applyAlignment="1" applyProtection="1"/>
    <xf numFmtId="10" fontId="0" fillId="2" borderId="1" xfId="0" applyNumberFormat="1" applyFill="1" applyBorder="1" applyAlignment="1" applyProtection="1">
      <alignment horizontal="center"/>
      <protection locked="0"/>
    </xf>
    <xf numFmtId="37" fontId="0" fillId="2" borderId="1" xfId="0" applyNumberFormat="1" applyFill="1" applyBorder="1" applyAlignment="1" applyProtection="1">
      <alignment horizontal="center"/>
      <protection locked="0"/>
    </xf>
    <xf numFmtId="178" fontId="0" fillId="2" borderId="1" xfId="0" applyNumberFormat="1" applyFill="1" applyBorder="1" applyAlignment="1" applyProtection="1">
      <alignment horizontal="center"/>
      <protection locked="0"/>
    </xf>
    <xf numFmtId="182" fontId="0" fillId="2" borderId="1" xfId="0" applyNumberFormat="1" applyFill="1" applyBorder="1" applyAlignment="1" applyProtection="1">
      <alignment horizontal="center"/>
      <protection locked="0"/>
    </xf>
    <xf numFmtId="183" fontId="0" fillId="2" borderId="1" xfId="0" applyNumberFormat="1" applyFill="1" applyBorder="1" applyAlignment="1" applyProtection="1">
      <alignment horizontal="center"/>
      <protection locked="0"/>
    </xf>
    <xf numFmtId="0" fontId="0" fillId="5" borderId="0" xfId="0" applyFill="1" applyAlignment="1">
      <alignment horizontal="center"/>
    </xf>
    <xf numFmtId="10" fontId="6" fillId="5" borderId="0" xfId="0" applyNumberFormat="1" applyFont="1" applyFill="1" applyAlignment="1">
      <alignment horizontal="center"/>
    </xf>
    <xf numFmtId="10" fontId="0" fillId="3" borderId="0" xfId="0" applyNumberFormat="1" applyFill="1"/>
    <xf numFmtId="177" fontId="0" fillId="2" borderId="1" xfId="2" applyFont="1" applyFill="1" applyBorder="1" applyAlignment="1" applyProtection="1">
      <alignment horizontal="right"/>
      <protection locked="0"/>
    </xf>
    <xf numFmtId="184" fontId="0" fillId="2" borderId="1" xfId="3" applyNumberFormat="1" applyFont="1" applyFill="1" applyBorder="1" applyAlignment="1" applyProtection="1">
      <alignment horizontal="right"/>
      <protection locked="0"/>
    </xf>
    <xf numFmtId="10" fontId="0" fillId="2" borderId="1" xfId="0" applyNumberFormat="1" applyFill="1" applyBorder="1" applyAlignment="1" applyProtection="1">
      <alignment horizontal="right"/>
      <protection locked="0"/>
    </xf>
    <xf numFmtId="177" fontId="6" fillId="6" borderId="1" xfId="2" applyFont="1" applyFill="1" applyBorder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0" fillId="4" borderId="0" xfId="0" applyFont="1" applyFill="1"/>
    <xf numFmtId="0" fontId="0" fillId="4" borderId="15" xfId="0" applyFont="1" applyFill="1" applyBorder="1"/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right"/>
    </xf>
    <xf numFmtId="180" fontId="6" fillId="6" borderId="1" xfId="0" applyNumberFormat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178" fontId="7" fillId="0" borderId="12" xfId="0" applyNumberFormat="1" applyFont="1" applyBorder="1" applyAlignment="1">
      <alignment horizontal="center"/>
    </xf>
    <xf numFmtId="58" fontId="7" fillId="0" borderId="0" xfId="0" applyNumberFormat="1" applyFont="1" applyAlignment="1">
      <alignment horizontal="center"/>
    </xf>
    <xf numFmtId="58" fontId="22" fillId="0" borderId="0" xfId="0" applyNumberFormat="1" applyFont="1" applyAlignment="1">
      <alignment horizontal="center"/>
    </xf>
    <xf numFmtId="185" fontId="22" fillId="0" borderId="0" xfId="0" applyNumberFormat="1" applyFont="1"/>
    <xf numFmtId="0" fontId="22" fillId="0" borderId="0" xfId="0" applyFont="1"/>
    <xf numFmtId="186" fontId="7" fillId="0" borderId="0" xfId="0" applyNumberFormat="1" applyFont="1"/>
    <xf numFmtId="178" fontId="0" fillId="0" borderId="12" xfId="0" applyNumberFormat="1" applyFont="1" applyBorder="1" applyAlignment="1">
      <alignment horizontal="center"/>
    </xf>
    <xf numFmtId="58" fontId="0" fillId="0" borderId="0" xfId="0" applyNumberFormat="1" applyFont="1" applyAlignment="1">
      <alignment horizontal="center"/>
    </xf>
    <xf numFmtId="185" fontId="6" fillId="0" borderId="0" xfId="0" applyNumberFormat="1" applyFont="1"/>
    <xf numFmtId="58" fontId="7" fillId="0" borderId="0" xfId="0" applyNumberFormat="1" applyFont="1"/>
    <xf numFmtId="186" fontId="0" fillId="2" borderId="1" xfId="0" applyNumberFormat="1" applyFill="1" applyBorder="1" applyProtection="1">
      <protection locked="0"/>
    </xf>
    <xf numFmtId="186" fontId="0" fillId="0" borderId="0" xfId="0" applyNumberFormat="1"/>
    <xf numFmtId="0" fontId="0" fillId="4" borderId="0" xfId="0" applyFill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9" xfId="0" applyBorder="1"/>
    <xf numFmtId="0" fontId="9" fillId="4" borderId="0" xfId="6" applyFont="1" applyFill="1" applyAlignment="1" applyProtection="1"/>
    <xf numFmtId="0" fontId="19" fillId="4" borderId="0" xfId="0" applyFont="1" applyFill="1"/>
    <xf numFmtId="185" fontId="7" fillId="0" borderId="0" xfId="0" applyNumberFormat="1" applyFont="1"/>
    <xf numFmtId="187" fontId="7" fillId="0" borderId="0" xfId="0" applyNumberFormat="1" applyFont="1"/>
    <xf numFmtId="186" fontId="7" fillId="0" borderId="0" xfId="3" applyNumberFormat="1" applyFont="1"/>
    <xf numFmtId="182" fontId="7" fillId="0" borderId="0" xfId="0" applyNumberFormat="1" applyFont="1"/>
    <xf numFmtId="2" fontId="7" fillId="0" borderId="0" xfId="0" applyNumberFormat="1" applyFont="1"/>
    <xf numFmtId="0" fontId="7" fillId="0" borderId="19" xfId="0" applyFont="1" applyBorder="1"/>
    <xf numFmtId="0" fontId="20" fillId="0" borderId="16" xfId="6" applyFont="1" applyBorder="1" applyAlignment="1" applyProtection="1"/>
    <xf numFmtId="0" fontId="2" fillId="8" borderId="20" xfId="0" applyFont="1" applyFill="1" applyBorder="1" applyAlignment="1">
      <alignment horizontal="center"/>
    </xf>
    <xf numFmtId="0" fontId="2" fillId="9" borderId="21" xfId="0" applyFont="1" applyFill="1" applyBorder="1" applyAlignment="1">
      <alignment horizontal="center"/>
    </xf>
    <xf numFmtId="0" fontId="2" fillId="10" borderId="22" xfId="0" applyFont="1" applyFill="1" applyBorder="1" applyAlignment="1">
      <alignment horizontal="center"/>
    </xf>
    <xf numFmtId="185" fontId="0" fillId="0" borderId="0" xfId="0" applyNumberFormat="1"/>
    <xf numFmtId="185" fontId="0" fillId="0" borderId="0" xfId="0" applyNumberFormat="1" applyFont="1"/>
    <xf numFmtId="187" fontId="0" fillId="0" borderId="0" xfId="0" applyNumberFormat="1" applyFont="1"/>
    <xf numFmtId="186" fontId="0" fillId="0" borderId="0" xfId="3" applyNumberFormat="1" applyFont="1"/>
    <xf numFmtId="186" fontId="0" fillId="0" borderId="0" xfId="0" applyNumberFormat="1" applyFont="1"/>
    <xf numFmtId="182" fontId="0" fillId="0" borderId="0" xfId="0" applyNumberFormat="1" applyFont="1"/>
    <xf numFmtId="2" fontId="0" fillId="0" borderId="0" xfId="0" applyNumberFormat="1" applyFont="1"/>
    <xf numFmtId="0" fontId="23" fillId="4" borderId="0" xfId="0" applyFont="1" applyFill="1"/>
    <xf numFmtId="0" fontId="7" fillId="4" borderId="0" xfId="0" applyFont="1" applyFill="1"/>
    <xf numFmtId="0" fontId="7" fillId="4" borderId="15" xfId="0" applyFont="1" applyFill="1" applyBorder="1"/>
    <xf numFmtId="0" fontId="7" fillId="0" borderId="0" xfId="1" applyNumberFormat="1" applyFont="1" applyBorder="1"/>
    <xf numFmtId="178" fontId="7" fillId="0" borderId="0" xfId="0" applyNumberFormat="1" applyFont="1" applyAlignment="1">
      <alignment horizontal="center"/>
    </xf>
    <xf numFmtId="0" fontId="20" fillId="0" borderId="19" xfId="6" applyFont="1" applyBorder="1" applyAlignment="1" applyProtection="1">
      <alignment shrinkToFit="1"/>
    </xf>
    <xf numFmtId="0" fontId="24" fillId="0" borderId="19" xfId="0" applyFont="1" applyBorder="1"/>
    <xf numFmtId="37" fontId="7" fillId="0" borderId="0" xfId="0" applyNumberFormat="1" applyFont="1"/>
    <xf numFmtId="37" fontId="7" fillId="0" borderId="23" xfId="0" applyNumberFormat="1" applyFont="1" applyBorder="1"/>
    <xf numFmtId="0" fontId="0" fillId="0" borderId="0" xfId="0" applyFont="1" applyAlignment="1">
      <alignment horizontal="center"/>
    </xf>
    <xf numFmtId="37" fontId="0" fillId="0" borderId="23" xfId="0" applyNumberFormat="1" applyFont="1" applyBorder="1"/>
    <xf numFmtId="3" fontId="7" fillId="0" borderId="0" xfId="0" applyNumberFormat="1" applyFont="1"/>
    <xf numFmtId="0" fontId="0" fillId="11" borderId="0" xfId="0" applyFont="1" applyFill="1"/>
    <xf numFmtId="0" fontId="0" fillId="0" borderId="19" xfId="0" applyFont="1" applyBorder="1"/>
    <xf numFmtId="3" fontId="0" fillId="0" borderId="0" xfId="0" applyNumberFormat="1" applyFont="1"/>
    <xf numFmtId="0" fontId="19" fillId="4" borderId="0" xfId="6" applyFont="1" applyFill="1" applyBorder="1" applyAlignment="1" applyProtection="1"/>
    <xf numFmtId="0" fontId="0" fillId="4" borderId="0" xfId="0" applyFill="1" applyAlignment="1">
      <alignment wrapText="1"/>
    </xf>
    <xf numFmtId="0" fontId="0" fillId="4" borderId="0" xfId="0" applyFont="1" applyFill="1" applyAlignment="1">
      <alignment horizontal="left"/>
    </xf>
    <xf numFmtId="0" fontId="5" fillId="4" borderId="15" xfId="6" applyFill="1" applyBorder="1" applyAlignment="1" applyProtection="1">
      <alignment horizontal="left"/>
    </xf>
    <xf numFmtId="37" fontId="7" fillId="2" borderId="2" xfId="0" applyNumberFormat="1" applyFont="1" applyFill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37" fontId="7" fillId="2" borderId="1" xfId="1" applyNumberFormat="1" applyFont="1" applyFill="1" applyBorder="1" applyProtection="1">
      <protection locked="0"/>
    </xf>
    <xf numFmtId="178" fontId="7" fillId="2" borderId="5" xfId="0" applyNumberFormat="1" applyFont="1" applyFill="1" applyBorder="1" applyAlignment="1" applyProtection="1">
      <alignment horizontal="center"/>
      <protection locked="0"/>
    </xf>
    <xf numFmtId="0" fontId="13" fillId="0" borderId="0" xfId="6" applyFont="1" applyBorder="1" applyAlignment="1" applyProtection="1"/>
    <xf numFmtId="37" fontId="21" fillId="0" borderId="0" xfId="0" applyNumberFormat="1" applyFont="1"/>
    <xf numFmtId="37" fontId="22" fillId="0" borderId="0" xfId="0" applyNumberFormat="1" applyFont="1"/>
    <xf numFmtId="0" fontId="0" fillId="0" borderId="0" xfId="6" applyFont="1" applyBorder="1" applyAlignment="1" applyProtection="1"/>
    <xf numFmtId="179" fontId="7" fillId="2" borderId="1" xfId="1" applyNumberFormat="1" applyFont="1" applyFill="1" applyBorder="1" applyProtection="1">
      <protection locked="0"/>
    </xf>
    <xf numFmtId="0" fontId="13" fillId="0" borderId="0" xfId="0" applyFont="1"/>
    <xf numFmtId="0" fontId="5" fillId="0" borderId="0" xfId="6" applyFill="1" applyBorder="1" applyAlignment="1" applyProtection="1"/>
    <xf numFmtId="0" fontId="0" fillId="0" borderId="0" xfId="1" applyNumberFormat="1" applyFont="1" applyBorder="1"/>
    <xf numFmtId="37" fontId="0" fillId="0" borderId="24" xfId="0" applyNumberFormat="1" applyBorder="1"/>
    <xf numFmtId="37" fontId="0" fillId="0" borderId="24" xfId="0" applyNumberFormat="1" applyFont="1" applyBorder="1"/>
    <xf numFmtId="37" fontId="0" fillId="0" borderId="17" xfId="0" applyNumberFormat="1" applyFont="1" applyBorder="1"/>
    <xf numFmtId="37" fontId="0" fillId="0" borderId="15" xfId="0" applyNumberFormat="1" applyFont="1" applyBorder="1"/>
    <xf numFmtId="37" fontId="0" fillId="0" borderId="17" xfId="0" applyNumberFormat="1" applyBorder="1"/>
    <xf numFmtId="37" fontId="0" fillId="0" borderId="15" xfId="0" applyNumberFormat="1" applyBorder="1"/>
    <xf numFmtId="37" fontId="0" fillId="0" borderId="23" xfId="0" applyNumberFormat="1" applyBorder="1"/>
    <xf numFmtId="0" fontId="5" fillId="0" borderId="0" xfId="6" applyBorder="1" applyAlignment="1" applyProtection="1"/>
    <xf numFmtId="188" fontId="7" fillId="0" borderId="0" xfId="0" applyNumberFormat="1" applyFont="1"/>
    <xf numFmtId="189" fontId="7" fillId="2" borderId="5" xfId="0" applyNumberFormat="1" applyFont="1" applyFill="1" applyBorder="1" applyAlignment="1" applyProtection="1">
      <alignment horizontal="right"/>
      <protection locked="0"/>
    </xf>
    <xf numFmtId="0" fontId="6" fillId="0" borderId="15" xfId="0" applyFont="1" applyBorder="1"/>
    <xf numFmtId="188" fontId="0" fillId="0" borderId="0" xfId="0" applyNumberFormat="1" applyFont="1"/>
    <xf numFmtId="2" fontId="25" fillId="4" borderId="24" xfId="0" applyNumberFormat="1" applyFont="1" applyFill="1" applyBorder="1" applyAlignment="1">
      <alignment wrapText="1"/>
    </xf>
    <xf numFmtId="2" fontId="25" fillId="4" borderId="0" xfId="0" applyNumberFormat="1" applyFont="1" applyFill="1" applyAlignment="1">
      <alignment wrapText="1"/>
    </xf>
    <xf numFmtId="0" fontId="12" fillId="3" borderId="0" xfId="0" applyFont="1" applyFill="1"/>
    <xf numFmtId="0" fontId="0" fillId="3" borderId="0" xfId="0" applyFont="1" applyFill="1"/>
    <xf numFmtId="0" fontId="0" fillId="5" borderId="0" xfId="0" applyFont="1" applyFill="1"/>
    <xf numFmtId="0" fontId="6" fillId="5" borderId="0" xfId="0" applyFont="1" applyFill="1" applyAlignment="1">
      <alignment horizontal="right"/>
    </xf>
    <xf numFmtId="0" fontId="26" fillId="5" borderId="0" xfId="0" applyFont="1" applyFill="1" applyAlignment="1">
      <alignment horizontal="center"/>
    </xf>
    <xf numFmtId="0" fontId="12" fillId="5" borderId="0" xfId="0" applyFont="1" applyFill="1"/>
    <xf numFmtId="0" fontId="12" fillId="5" borderId="0" xfId="0" applyFont="1" applyFill="1" applyAlignment="1">
      <alignment horizontal="center"/>
    </xf>
    <xf numFmtId="0" fontId="27" fillId="5" borderId="0" xfId="6" applyFont="1" applyFill="1" applyAlignment="1" applyProtection="1"/>
    <xf numFmtId="0" fontId="28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0" fillId="0" borderId="0" xfId="6" applyFont="1" applyAlignment="1" applyProtection="1" quotePrefix="1"/>
    <xf numFmtId="0" fontId="0" fillId="0" borderId="0" xfId="0" quotePrefix="1"/>
    <xf numFmtId="0" fontId="20" fillId="0" borderId="0" xfId="6" applyFont="1" applyAlignment="1" applyProtection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</cellStyles>
  <dxfs count="1">
    <dxf>
      <fill>
        <patternFill patternType="solid">
          <bgColor indexed="29"/>
        </patternFill>
      </fill>
    </dxf>
  </dxfs>
  <tableStyles count="0" defaultTableStyle="TableStyleMedium9" defaultPivotStyle="PivotStyleLight16"/>
  <colors>
    <mruColors>
      <color rgb="00F7EE7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254000</xdr:colOff>
      <xdr:row>17</xdr:row>
      <xdr:rowOff>0</xdr:rowOff>
    </xdr:from>
    <xdr:to>
      <xdr:col>7</xdr:col>
      <xdr:colOff>257214</xdr:colOff>
      <xdr:row>18</xdr:row>
      <xdr:rowOff>38466</xdr:rowOff>
    </xdr:to>
    <xdr:sp>
      <xdr:nvSpPr>
        <xdr:cNvPr id="82982" name="Text Box 38"/>
        <xdr:cNvSpPr txBox="1">
          <a:spLocks noChangeArrowheads="1"/>
        </xdr:cNvSpPr>
      </xdr:nvSpPr>
      <xdr:spPr>
        <a:xfrm>
          <a:off x="2138045" y="3114040"/>
          <a:ext cx="2515235" cy="228600"/>
        </a:xfrm>
        <a:prstGeom prst="rect">
          <a:avLst/>
        </a:prstGeom>
        <a:noFill/>
        <a:ln w="9525">
          <a:noFill/>
          <a:miter lim="800000"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 panose="020B0604020202090204"/>
            <a:ea typeface="Arial" panose="020B0604020202090204"/>
            <a:cs typeface="Arial" panose="020B0604020202090204"/>
          </a:endParaRPr>
        </a:p>
      </xdr:txBody>
    </xdr:sp>
    <xdr:clientData/>
  </xdr:twoCellAnchor>
  <xdr:twoCellAnchor>
    <xdr:from>
      <xdr:col>6</xdr:col>
      <xdr:colOff>379730</xdr:colOff>
      <xdr:row>9</xdr:row>
      <xdr:rowOff>66040</xdr:rowOff>
    </xdr:from>
    <xdr:to>
      <xdr:col>9</xdr:col>
      <xdr:colOff>389963</xdr:colOff>
      <xdr:row>11</xdr:row>
      <xdr:rowOff>30480</xdr:rowOff>
    </xdr:to>
    <xdr:sp>
      <xdr:nvSpPr>
        <xdr:cNvPr id="82978" name="Text Box 34"/>
        <xdr:cNvSpPr txBox="1">
          <a:spLocks noChangeArrowheads="1"/>
        </xdr:cNvSpPr>
      </xdr:nvSpPr>
      <xdr:spPr>
        <a:xfrm>
          <a:off x="4147820" y="1780540"/>
          <a:ext cx="1894205" cy="347980"/>
        </a:xfrm>
        <a:prstGeom prst="rect">
          <a:avLst/>
        </a:prstGeom>
        <a:noFill/>
        <a:ln w="9525">
          <a:noFill/>
          <a:miter lim="800000"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 panose="020B0604020202090204"/>
            <a:ea typeface="Arial" panose="020B0604020202090204"/>
            <a:cs typeface="Arial" panose="020B0604020202090204"/>
          </a:endParaRPr>
        </a:p>
      </xdr:txBody>
    </xdr:sp>
    <xdr:clientData/>
  </xdr:twoCellAnchor>
  <xdr:twoCellAnchor>
    <xdr:from>
      <xdr:col>2</xdr:col>
      <xdr:colOff>79375</xdr:colOff>
      <xdr:row>14</xdr:row>
      <xdr:rowOff>152400</xdr:rowOff>
    </xdr:from>
    <xdr:to>
      <xdr:col>5</xdr:col>
      <xdr:colOff>352411</xdr:colOff>
      <xdr:row>16</xdr:row>
      <xdr:rowOff>76200</xdr:rowOff>
    </xdr:to>
    <xdr:sp>
      <xdr:nvSpPr>
        <xdr:cNvPr id="1749" name="Text Box 55"/>
        <xdr:cNvSpPr txBox="1">
          <a:spLocks noChangeArrowheads="1"/>
        </xdr:cNvSpPr>
      </xdr:nvSpPr>
      <xdr:spPr>
        <a:xfrm>
          <a:off x="1335405" y="2694940"/>
          <a:ext cx="2156460" cy="30480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endParaRPr lang="en-US" sz="1800" b="0" i="0" u="none" strike="noStrike" baseline="0">
            <a:solidFill>
              <a:srgbClr val="FFCC00"/>
            </a:solidFill>
            <a:latin typeface="Berlin Sans FB"/>
            <a:ea typeface="Berlin Sans FB"/>
            <a:cs typeface="Berlin Sans FB"/>
          </a:endParaRPr>
        </a:p>
      </xdr:txBody>
    </xdr:sp>
    <xdr:clientData/>
  </xdr:twoCellAnchor>
  <xdr:twoCellAnchor>
    <xdr:from>
      <xdr:col>6</xdr:col>
      <xdr:colOff>79375</xdr:colOff>
      <xdr:row>14</xdr:row>
      <xdr:rowOff>152400</xdr:rowOff>
    </xdr:from>
    <xdr:to>
      <xdr:col>9</xdr:col>
      <xdr:colOff>98425</xdr:colOff>
      <xdr:row>16</xdr:row>
      <xdr:rowOff>76200</xdr:rowOff>
    </xdr:to>
    <xdr:sp>
      <xdr:nvSpPr>
        <xdr:cNvPr id="1750" name="Text Box 56"/>
        <xdr:cNvSpPr txBox="1">
          <a:spLocks noChangeArrowheads="1"/>
        </xdr:cNvSpPr>
      </xdr:nvSpPr>
      <xdr:spPr>
        <a:xfrm>
          <a:off x="3847465" y="2694940"/>
          <a:ext cx="1903095" cy="30480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endParaRPr lang="en-US" sz="1800" b="0" i="0" u="none" strike="noStrike" baseline="0">
            <a:solidFill>
              <a:schemeClr val="accent2">
                <a:lumMod val="75000"/>
              </a:schemeClr>
            </a:solidFill>
            <a:latin typeface="Berlin Sans FB"/>
            <a:ea typeface="Berlin Sans FB"/>
            <a:cs typeface="Berlin Sans FB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342900</xdr:colOff>
      <xdr:row>17</xdr:row>
      <xdr:rowOff>149225</xdr:rowOff>
    </xdr:from>
    <xdr:to>
      <xdr:col>5</xdr:col>
      <xdr:colOff>600132</xdr:colOff>
      <xdr:row>20</xdr:row>
      <xdr:rowOff>123825</xdr:rowOff>
    </xdr:to>
    <xdr:sp>
      <xdr:nvSpPr>
        <xdr:cNvPr id="10361" name="Text Box 11"/>
        <xdr:cNvSpPr txBox="1">
          <a:spLocks noChangeArrowheads="1"/>
        </xdr:cNvSpPr>
      </xdr:nvSpPr>
      <xdr:spPr>
        <a:xfrm>
          <a:off x="4099560" y="3572510"/>
          <a:ext cx="3598545" cy="47244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 panose="020B0604020202090204"/>
              <a:ea typeface="Arial" panose="020B0604020202090204"/>
              <a:cs typeface="Arial" panose="020B0604020202090204"/>
            </a:rPr>
            <a:t>Although not a necessary input for </a:t>
          </a:r>
          <a:r>
            <a:rPr lang="en-US" sz="900" b="1" i="0" u="none" strike="noStrike" baseline="0">
              <a:solidFill>
                <a:srgbClr val="339966"/>
              </a:solidFill>
              <a:latin typeface="Arial" panose="020B0604020202090204"/>
              <a:ea typeface="Arial" panose="020B0604020202090204"/>
              <a:cs typeface="Arial" panose="020B0604020202090204"/>
            </a:rPr>
            <a:t>eVal</a:t>
          </a:r>
          <a:r>
            <a:rPr lang="en-US" sz="900" b="0" i="0" u="none" strike="noStrike" baseline="0">
              <a:solidFill>
                <a:srgbClr val="000000"/>
              </a:solidFill>
              <a:latin typeface="Arial" panose="020B0604020202090204"/>
              <a:ea typeface="Arial" panose="020B0604020202090204"/>
              <a:cs typeface="Arial" panose="020B0604020202090204"/>
            </a:rPr>
            <a:t>, we recommend that</a:t>
          </a:r>
          <a:endParaRPr lang="en-US" sz="900" b="0" i="0" u="none" strike="noStrike" baseline="0">
            <a:solidFill>
              <a:srgbClr val="000000"/>
            </a:solidFill>
            <a:latin typeface="Arial" panose="020B0604020202090204"/>
            <a:ea typeface="Arial" panose="020B0604020202090204"/>
            <a:cs typeface="Arial" panose="020B0604020202090204"/>
          </a:endParaRP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 panose="020B0604020202090204"/>
              <a:ea typeface="Arial" panose="020B0604020202090204"/>
              <a:cs typeface="Arial" panose="020B0604020202090204"/>
            </a:rPr>
            <a:t>you find the analyst forecasts for your company and store them in the yellow-shaded cells for comparison purposes.</a:t>
          </a:r>
          <a:endParaRPr lang="en-US" sz="900" b="0" i="0" u="none" strike="noStrike" baseline="0">
            <a:solidFill>
              <a:srgbClr val="000000"/>
            </a:solidFill>
            <a:latin typeface="Arial" panose="020B0604020202090204"/>
            <a:ea typeface="Arial" panose="020B0604020202090204"/>
            <a:cs typeface="Arial" panose="020B060402020209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24"/>
  <sheetViews>
    <sheetView tabSelected="1" zoomScale="125" zoomScaleNormal="125" topLeftCell="A9" workbookViewId="0">
      <selection activeCell="D13" sqref="D13:H13"/>
    </sheetView>
  </sheetViews>
  <sheetFormatPr defaultColWidth="8.83035714285714" defaultRowHeight="15" customHeight="1"/>
  <cols>
    <col min="1" max="16384" width="8.83035714285714" style="228"/>
  </cols>
  <sheetData>
    <row r="1" customHeight="1" spans="1:1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29"/>
    </row>
    <row r="2" customHeight="1" spans="1:11">
      <c r="A2" s="229"/>
      <c r="B2" s="229"/>
      <c r="C2" s="229"/>
      <c r="D2" s="229"/>
      <c r="E2" s="229"/>
      <c r="F2" s="235"/>
      <c r="G2" s="229"/>
      <c r="H2" s="229"/>
      <c r="I2" s="229"/>
      <c r="J2" s="229"/>
      <c r="K2" s="229"/>
    </row>
    <row r="3" customHeight="1" spans="1:11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</row>
    <row r="4" customHeight="1" spans="1:11">
      <c r="A4" s="229"/>
      <c r="B4" s="229"/>
      <c r="C4" s="229"/>
      <c r="D4" s="229"/>
      <c r="E4" s="229"/>
      <c r="F4" s="236"/>
      <c r="G4" s="229"/>
      <c r="H4" s="229"/>
      <c r="I4" s="229"/>
      <c r="J4" s="229"/>
      <c r="K4" s="229"/>
    </row>
    <row r="5" customHeight="1" spans="1:11">
      <c r="A5" s="229"/>
      <c r="B5" s="229"/>
      <c r="C5" s="229"/>
      <c r="D5" s="229"/>
      <c r="E5" s="229"/>
      <c r="F5" s="229"/>
      <c r="G5" s="229"/>
      <c r="H5" s="229"/>
      <c r="I5" s="229"/>
      <c r="J5" s="229"/>
      <c r="K5" s="229"/>
    </row>
    <row r="6" customHeight="1" spans="1:11">
      <c r="A6" s="229"/>
      <c r="B6" s="229"/>
      <c r="C6" s="229"/>
      <c r="D6" s="229"/>
      <c r="E6" s="229"/>
      <c r="F6" s="229"/>
      <c r="G6" s="229"/>
      <c r="H6" s="229"/>
      <c r="I6" s="229"/>
      <c r="J6" s="229"/>
      <c r="K6" s="229"/>
    </row>
    <row r="7" customHeight="1" spans="1:11">
      <c r="A7" s="229"/>
      <c r="B7" s="229"/>
      <c r="C7" s="229"/>
      <c r="D7" s="229"/>
      <c r="E7" s="229"/>
      <c r="F7" s="229"/>
      <c r="G7" s="229"/>
      <c r="H7" s="229"/>
      <c r="I7" s="229"/>
      <c r="J7" s="229"/>
      <c r="K7" s="229"/>
    </row>
    <row r="8" customHeight="1" spans="1:11">
      <c r="A8" s="229"/>
      <c r="B8" s="229"/>
      <c r="C8" s="229"/>
      <c r="D8" s="229"/>
      <c r="E8" s="229"/>
      <c r="F8" s="229"/>
      <c r="G8" s="229"/>
      <c r="H8" s="229"/>
      <c r="I8" s="229"/>
      <c r="J8" s="229"/>
      <c r="K8" s="229"/>
    </row>
    <row r="9" customHeight="1" spans="1:11">
      <c r="A9" s="229"/>
      <c r="B9" s="229"/>
      <c r="C9" s="229"/>
      <c r="D9" s="229"/>
      <c r="E9" s="229"/>
      <c r="F9" s="229"/>
      <c r="G9" s="229"/>
      <c r="H9" s="229"/>
      <c r="I9" s="229"/>
      <c r="J9" s="229"/>
      <c r="K9" s="229"/>
    </row>
    <row r="10" ht="15.2" spans="1:11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</row>
    <row r="11" customHeight="1" spans="1:11">
      <c r="A11" s="229"/>
      <c r="B11" s="229"/>
      <c r="C11" s="229"/>
      <c r="D11" s="229"/>
      <c r="E11" s="229"/>
      <c r="F11" s="229"/>
      <c r="G11" s="229"/>
      <c r="H11" s="229"/>
      <c r="I11" s="229"/>
      <c r="J11" s="229"/>
      <c r="K11" s="229"/>
    </row>
    <row r="12" customHeight="1" spans="1:11">
      <c r="A12" s="229"/>
      <c r="B12" s="229"/>
      <c r="C12" s="229"/>
      <c r="D12" s="230"/>
      <c r="E12" s="143"/>
      <c r="F12" s="143"/>
      <c r="G12" s="143"/>
      <c r="H12" s="143"/>
      <c r="I12" s="229"/>
      <c r="J12" s="229"/>
      <c r="K12" s="229"/>
    </row>
    <row r="13" customHeight="1" spans="1:11">
      <c r="A13" s="229"/>
      <c r="B13" s="229"/>
      <c r="C13" s="229"/>
      <c r="D13" s="231"/>
      <c r="E13" s="131"/>
      <c r="F13" s="131"/>
      <c r="G13" s="131"/>
      <c r="H13" s="131"/>
      <c r="I13" s="229"/>
      <c r="J13" s="229"/>
      <c r="K13" s="229"/>
    </row>
    <row r="14" ht="5" customHeight="1" spans="1:11">
      <c r="A14" s="229"/>
      <c r="B14" s="229"/>
      <c r="C14" s="229"/>
      <c r="D14" s="229"/>
      <c r="E14" s="229"/>
      <c r="F14" s="229"/>
      <c r="G14" s="229"/>
      <c r="H14" s="229"/>
      <c r="I14" s="229"/>
      <c r="J14" s="229"/>
      <c r="K14" s="229"/>
    </row>
    <row r="15" s="227" customFormat="1" customHeight="1" spans="1:11">
      <c r="A15" s="113"/>
      <c r="B15" s="232"/>
      <c r="C15" s="232"/>
      <c r="D15" s="233"/>
      <c r="E15" s="233"/>
      <c r="F15" s="233"/>
      <c r="G15" s="233"/>
      <c r="H15" s="233"/>
      <c r="I15" s="232"/>
      <c r="J15" s="232"/>
      <c r="K15" s="232"/>
    </row>
    <row r="16" s="227" customFormat="1" customHeight="1" spans="1:11">
      <c r="A16" s="113"/>
      <c r="B16" s="113"/>
      <c r="C16" s="229"/>
      <c r="D16" s="229"/>
      <c r="E16" s="229"/>
      <c r="F16" s="229"/>
      <c r="G16" s="229"/>
      <c r="H16" s="229"/>
      <c r="I16" s="229"/>
      <c r="J16" s="229"/>
      <c r="K16" s="229"/>
    </row>
    <row r="17" s="227" customFormat="1" customHeight="1" spans="1:11">
      <c r="A17" s="113"/>
      <c r="B17" s="113"/>
      <c r="C17" s="229"/>
      <c r="D17" s="229"/>
      <c r="E17" s="229"/>
      <c r="F17" s="229"/>
      <c r="G17" s="229"/>
      <c r="H17" s="229"/>
      <c r="I17" s="229"/>
      <c r="J17" s="229"/>
      <c r="K17" s="229"/>
    </row>
    <row r="18" s="227" customFormat="1" customHeight="1" spans="1:11">
      <c r="A18" s="113"/>
      <c r="B18" s="113"/>
      <c r="C18" s="229"/>
      <c r="D18" s="229"/>
      <c r="E18" s="229"/>
      <c r="F18" s="229"/>
      <c r="G18" s="229"/>
      <c r="H18" s="229"/>
      <c r="I18" s="229"/>
      <c r="J18" s="229"/>
      <c r="K18" s="229"/>
    </row>
    <row r="19" s="227" customFormat="1" customHeight="1" spans="1:11">
      <c r="A19" s="113" t="s">
        <v>0</v>
      </c>
      <c r="B19" s="113"/>
      <c r="C19" s="229"/>
      <c r="D19" s="229"/>
      <c r="E19" s="229"/>
      <c r="F19" s="229"/>
      <c r="G19" s="229"/>
      <c r="H19" s="229"/>
      <c r="I19" s="229"/>
      <c r="J19" s="229"/>
      <c r="K19" s="229"/>
    </row>
    <row r="20" customHeight="1" spans="1:11">
      <c r="A20" s="234" t="s">
        <v>1</v>
      </c>
      <c r="B20" s="229"/>
      <c r="C20" s="229"/>
      <c r="D20" s="229"/>
      <c r="E20" s="229"/>
      <c r="F20" s="229"/>
      <c r="G20" s="229"/>
      <c r="H20" s="229"/>
      <c r="I20" s="229"/>
      <c r="J20" s="229"/>
      <c r="K20" s="229"/>
    </row>
    <row r="21" customHeight="1" spans="1:11">
      <c r="A21" s="234" t="s">
        <v>2</v>
      </c>
      <c r="B21" s="229"/>
      <c r="C21" s="229"/>
      <c r="D21" s="229"/>
      <c r="E21" s="229"/>
      <c r="F21" s="229"/>
      <c r="G21" s="229"/>
      <c r="H21" s="229"/>
      <c r="I21" s="229"/>
      <c r="J21" s="229"/>
      <c r="K21" s="229"/>
    </row>
    <row r="22" customHeight="1" spans="1:11">
      <c r="A22" s="234" t="s">
        <v>3</v>
      </c>
      <c r="B22" s="229"/>
      <c r="C22" s="229"/>
      <c r="D22" s="229"/>
      <c r="E22" s="229"/>
      <c r="F22" s="229"/>
      <c r="G22" s="229"/>
      <c r="H22" s="229"/>
      <c r="I22" s="229"/>
      <c r="J22" s="229"/>
      <c r="K22" s="229"/>
    </row>
    <row r="23" customHeight="1" spans="1:11">
      <c r="A23" s="125" t="s">
        <v>4</v>
      </c>
      <c r="B23" s="229"/>
      <c r="C23" s="229"/>
      <c r="D23" s="229"/>
      <c r="E23" s="229"/>
      <c r="F23" s="229"/>
      <c r="G23" s="229"/>
      <c r="H23" s="229"/>
      <c r="I23" s="229"/>
      <c r="J23" s="229"/>
      <c r="K23" s="229"/>
    </row>
    <row r="24" customHeight="1" spans="1:11">
      <c r="A24" s="234" t="s">
        <v>5</v>
      </c>
      <c r="B24" s="229"/>
      <c r="C24" s="229"/>
      <c r="D24" s="229"/>
      <c r="E24" s="229"/>
      <c r="F24" s="229"/>
      <c r="G24" s="229"/>
      <c r="H24" s="229"/>
      <c r="I24" s="229"/>
      <c r="J24" s="229"/>
      <c r="K24" s="229"/>
    </row>
  </sheetData>
  <mergeCells count="3">
    <mergeCell ref="D12:H12"/>
    <mergeCell ref="D13:H13"/>
    <mergeCell ref="D15:H15"/>
  </mergeCells>
  <hyperlinks>
    <hyperlink ref="A20" location="'Financial Statements'!A1" display="1) enter financial data on the Financial Statements sheet,"/>
    <hyperlink ref="A21" location="'Ratio Analysis'!A1" display="2) examine the Ratio Analysis and Cash Flow Analysis,"/>
    <hyperlink ref="A22" location="'Forecasting Assumptions'!A1" display="3) enter forecasts on the Forecasting Assumptions sheet to predict the future Financial Statements, "/>
    <hyperlink ref="A23" location="'Valuation Parameters'!A1" display="4) enter cost of capital assumptions on the Valuation Parameters Sheet to determine the company's value,"/>
    <hyperlink ref="A24" location="'Residual Income Valuations'!A1" display="5) evaluate the details of the resulting valuation using either the Residual Income or Discounted Cash Flow Valuations."/>
  </hyperlink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W137"/>
  <sheetViews>
    <sheetView zoomScale="125" zoomScaleNormal="125" workbookViewId="0">
      <pane xSplit="1" ySplit="8" topLeftCell="B12" activePane="bottomRight" state="frozen"/>
      <selection/>
      <selection pane="topRight"/>
      <selection pane="bottomLeft"/>
      <selection pane="bottomRight" activeCell="H12" sqref="H12"/>
    </sheetView>
  </sheetViews>
  <sheetFormatPr defaultColWidth="8.83035714285714" defaultRowHeight="15.2"/>
  <cols>
    <col min="1" max="1" width="29.6607142857143" customWidth="1"/>
    <col min="2" max="18" width="15.6607142857143" customWidth="1"/>
  </cols>
  <sheetData>
    <row r="1" ht="20.4" spans="1:18">
      <c r="A1" s="197" t="s">
        <v>6</v>
      </c>
      <c r="B1" s="164" t="s">
        <v>7</v>
      </c>
      <c r="C1" s="198" t="s">
        <v>8</v>
      </c>
      <c r="D1" s="74"/>
      <c r="E1" s="74"/>
      <c r="F1" s="74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ht="18" customHeight="1" spans="1:18">
      <c r="A2" s="199"/>
      <c r="B2" s="32"/>
      <c r="C2" s="74"/>
      <c r="D2" s="74"/>
      <c r="E2" s="74"/>
      <c r="F2" s="74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>
      <c r="A3" s="60"/>
      <c r="B3" s="60"/>
      <c r="C3" s="200" t="s">
        <v>9</v>
      </c>
      <c r="D3" s="159"/>
      <c r="E3" s="159"/>
      <c r="F3" s="159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1:9">
      <c r="A4" s="10" t="s">
        <v>10</v>
      </c>
      <c r="B4" s="201" t="str">
        <f>B82</f>
        <v>DOLLAR TREE 2021</v>
      </c>
      <c r="C4" s="202"/>
      <c r="D4" s="203" t="str">
        <f>D82</f>
        <v>DLTR</v>
      </c>
      <c r="E4" s="209">
        <f>F82</f>
        <v>5331</v>
      </c>
      <c r="F4" s="210" t="str">
        <f>IF(D4="","",HYPERLINK(CONCATENATE("http://www.sec.gov/cgi-bin/browse-edgar?type=10-K&amp;action=getcompany&amp;CIK=",D4),"Link to Form 10-Ks"))</f>
        <v>Link to Form 10-Ks</v>
      </c>
      <c r="I4" s="220"/>
    </row>
    <row r="5" spans="1:6">
      <c r="A5" s="10" t="s">
        <v>11</v>
      </c>
      <c r="B5" s="21">
        <f>B83</f>
        <v>225100.198</v>
      </c>
      <c r="C5" s="17" t="s">
        <v>12</v>
      </c>
      <c r="D5" s="17"/>
      <c r="F5" s="211" t="s">
        <v>13</v>
      </c>
    </row>
    <row r="6" spans="1:5">
      <c r="A6" s="144" t="str">
        <f ca="1">"Estimated Price/Share="&amp;DOLLAR('Valuation Parameters'!B24)</f>
        <v>Estimated Price/Share=£105.41</v>
      </c>
      <c r="B6" s="17"/>
      <c r="C6" s="17"/>
      <c r="D6" s="17"/>
      <c r="E6" s="212"/>
    </row>
    <row r="7" spans="1:23">
      <c r="A7" s="17"/>
      <c r="B7" s="145" t="s">
        <v>14</v>
      </c>
      <c r="C7" s="145" t="s">
        <v>14</v>
      </c>
      <c r="D7" s="145" t="s">
        <v>14</v>
      </c>
      <c r="E7" s="145" t="s">
        <v>14</v>
      </c>
      <c r="F7" s="145" t="s">
        <v>14</v>
      </c>
      <c r="G7" s="65" t="s">
        <v>15</v>
      </c>
      <c r="H7" s="65" t="s">
        <v>15</v>
      </c>
      <c r="I7" s="65" t="s">
        <v>15</v>
      </c>
      <c r="J7" s="65" t="s">
        <v>15</v>
      </c>
      <c r="K7" s="65" t="s">
        <v>15</v>
      </c>
      <c r="L7" s="65" t="s">
        <v>15</v>
      </c>
      <c r="M7" s="65" t="s">
        <v>15</v>
      </c>
      <c r="N7" s="65" t="s">
        <v>15</v>
      </c>
      <c r="O7" s="65" t="s">
        <v>15</v>
      </c>
      <c r="P7" s="65" t="s">
        <v>15</v>
      </c>
      <c r="Q7" s="65" t="s">
        <v>15</v>
      </c>
      <c r="R7" s="65" t="s">
        <v>15</v>
      </c>
      <c r="S7" s="65"/>
      <c r="T7" s="65"/>
      <c r="U7" s="65"/>
      <c r="V7" s="65"/>
      <c r="W7" s="65"/>
    </row>
    <row r="8" ht="15.95" spans="1:23">
      <c r="A8" s="12" t="s">
        <v>16</v>
      </c>
      <c r="B8" s="204">
        <f>B84</f>
        <v>41669</v>
      </c>
      <c r="C8" s="204">
        <f t="shared" ref="C8:F8" si="0">C84</f>
        <v>42034</v>
      </c>
      <c r="D8" s="204">
        <f t="shared" si="0"/>
        <v>42399</v>
      </c>
      <c r="E8" s="204">
        <f t="shared" si="0"/>
        <v>42765</v>
      </c>
      <c r="F8" s="204">
        <f t="shared" si="0"/>
        <v>43130</v>
      </c>
      <c r="G8" s="67">
        <f>DATE(YEAR(F8)+1,MONTH(F8),DAY(F8))</f>
        <v>43495</v>
      </c>
      <c r="H8" s="67">
        <f t="shared" ref="H8:R8" si="1">DATE(YEAR(G8)+1,MONTH(G8),DAY(G8))</f>
        <v>43860</v>
      </c>
      <c r="I8" s="67">
        <f t="shared" si="1"/>
        <v>44226</v>
      </c>
      <c r="J8" s="67">
        <f t="shared" si="1"/>
        <v>44591</v>
      </c>
      <c r="K8" s="67">
        <f t="shared" si="1"/>
        <v>44956</v>
      </c>
      <c r="L8" s="67">
        <f t="shared" si="1"/>
        <v>45321</v>
      </c>
      <c r="M8" s="67">
        <f t="shared" si="1"/>
        <v>45687</v>
      </c>
      <c r="N8" s="67">
        <f t="shared" si="1"/>
        <v>46052</v>
      </c>
      <c r="O8" s="67">
        <f t="shared" si="1"/>
        <v>46417</v>
      </c>
      <c r="P8" s="67">
        <f t="shared" si="1"/>
        <v>46782</v>
      </c>
      <c r="Q8" s="67">
        <f t="shared" si="1"/>
        <v>47148</v>
      </c>
      <c r="R8" s="67">
        <f t="shared" si="1"/>
        <v>47513</v>
      </c>
      <c r="S8" s="65"/>
      <c r="T8" s="65"/>
      <c r="U8" s="65"/>
      <c r="V8" s="65"/>
      <c r="W8" s="65"/>
    </row>
    <row r="9" spans="5:6">
      <c r="E9" s="61"/>
      <c r="F9" s="61"/>
    </row>
    <row r="10" spans="1:6">
      <c r="A10" s="17" t="s">
        <v>17</v>
      </c>
      <c r="B10" s="17"/>
      <c r="C10" s="17"/>
      <c r="D10" s="17"/>
      <c r="E10" s="61"/>
      <c r="F10" s="61"/>
    </row>
    <row r="11" spans="1:6">
      <c r="A11" s="17"/>
      <c r="B11" s="17"/>
      <c r="C11" s="17"/>
      <c r="D11" s="17"/>
      <c r="E11" s="61"/>
      <c r="F11" s="61"/>
    </row>
    <row r="12" spans="1:18">
      <c r="A12" s="14" t="s">
        <v>18</v>
      </c>
      <c r="B12" s="11">
        <f t="shared" ref="B12:F13" si="2">B85</f>
        <v>22245500</v>
      </c>
      <c r="C12" s="11">
        <f t="shared" si="2"/>
        <v>22823300</v>
      </c>
      <c r="D12" s="11">
        <f t="shared" si="2"/>
        <v>23610800</v>
      </c>
      <c r="E12" s="11">
        <f t="shared" si="2"/>
        <v>25509300</v>
      </c>
      <c r="F12" s="11">
        <f t="shared" si="2"/>
        <v>26321200</v>
      </c>
      <c r="G12" s="213">
        <f>F12*(1+'Forecasting Assumptions'!G14)</f>
        <v>27154567.6681011</v>
      </c>
      <c r="H12" s="7">
        <f>G12*(1+'Forecasting Assumptions'!H14)</f>
        <v>28009809.3471199</v>
      </c>
      <c r="I12" s="7">
        <f>H12*(1+'Forecasting Assumptions'!I14)</f>
        <v>28887333.4099429</v>
      </c>
      <c r="J12" s="7">
        <f>I12*(1+'Forecasting Assumptions'!J14)</f>
        <v>29787550.0527403</v>
      </c>
      <c r="K12" s="7">
        <f>J12*(1+'Forecasting Assumptions'!K14)</f>
        <v>30710871.0800839</v>
      </c>
      <c r="L12" s="7">
        <f>K12*(1+'Forecasting Assumptions'!L14)</f>
        <v>31657709.6819249</v>
      </c>
      <c r="M12" s="7">
        <f>L12*(1+'Forecasting Assumptions'!M14)</f>
        <v>32628480.2023973</v>
      </c>
      <c r="N12" s="7">
        <f>M12*(1+'Forecasting Assumptions'!N14)</f>
        <v>33623597.9004185</v>
      </c>
      <c r="O12" s="7">
        <f>N12*(1+'Forecasting Assumptions'!O14)</f>
        <v>34643478.7020705</v>
      </c>
      <c r="P12" s="7">
        <f>O12*(1+'Forecasting Assumptions'!P14)</f>
        <v>35688538.9447508</v>
      </c>
      <c r="Q12" s="7">
        <f>P12*(1+'Forecasting Assumptions'!Q14)</f>
        <v>36759195.1130933</v>
      </c>
      <c r="R12" s="7">
        <f>Q12*(1+'Forecasting Assumptions'!R14)</f>
        <v>37861970.9664861</v>
      </c>
    </row>
    <row r="13" spans="1:18">
      <c r="A13" s="14" t="s">
        <v>19</v>
      </c>
      <c r="B13" s="11">
        <f t="shared" si="2"/>
        <v>-15223600</v>
      </c>
      <c r="C13" s="11">
        <f t="shared" si="2"/>
        <v>-15875800</v>
      </c>
      <c r="D13" s="11">
        <f t="shared" si="2"/>
        <v>-16570100</v>
      </c>
      <c r="E13" s="11">
        <f t="shared" si="2"/>
        <v>-17721900</v>
      </c>
      <c r="F13" s="11">
        <f t="shared" si="2"/>
        <v>-18595300</v>
      </c>
      <c r="G13" s="213">
        <f>-G12*'Forecasting Assumptions'!G15</f>
        <v>-19184054.3804477</v>
      </c>
      <c r="H13" s="7">
        <f>-H12*'Forecasting Assumptions'!H15</f>
        <v>-19788262.2278809</v>
      </c>
      <c r="I13" s="7">
        <f>-I12*'Forecasting Assumptions'!I15</f>
        <v>-20408212.0480035</v>
      </c>
      <c r="J13" s="7">
        <f>-J12*'Forecasting Assumptions'!J15</f>
        <v>-21044193.6346262</v>
      </c>
      <c r="K13" s="7">
        <f>-K12*'Forecasting Assumptions'!K15</f>
        <v>-21696497.9178565</v>
      </c>
      <c r="L13" s="7">
        <f>-L12*'Forecasting Assumptions'!L15</f>
        <v>-22365416.8065399</v>
      </c>
      <c r="M13" s="7">
        <f>-M12*'Forecasting Assumptions'!M15</f>
        <v>-23051243.0249243</v>
      </c>
      <c r="N13" s="7">
        <f>-N12*'Forecasting Assumptions'!N15</f>
        <v>-23754269.9435304</v>
      </c>
      <c r="O13" s="7">
        <f>-O12*'Forecasting Assumptions'!O15</f>
        <v>-24474791.4042146</v>
      </c>
      <c r="P13" s="7">
        <f>-P12*'Forecasting Assumptions'!P15</f>
        <v>-25213101.5394178</v>
      </c>
      <c r="Q13" s="7">
        <f>-Q12*'Forecasting Assumptions'!Q15</f>
        <v>-25969494.5856003</v>
      </c>
      <c r="R13" s="7">
        <f>-R12*'Forecasting Assumptions'!R15</f>
        <v>-26748579.4231683</v>
      </c>
    </row>
    <row r="14" spans="1:18">
      <c r="A14" s="14" t="s">
        <v>20</v>
      </c>
      <c r="B14" s="189">
        <f>B12+B13</f>
        <v>7021900</v>
      </c>
      <c r="C14" s="189">
        <f>C12+C13</f>
        <v>6947500</v>
      </c>
      <c r="D14" s="189">
        <f>D12+D13</f>
        <v>7040700</v>
      </c>
      <c r="E14" s="189">
        <f>E12+E13</f>
        <v>7787400</v>
      </c>
      <c r="F14" s="189">
        <f>F12+F13</f>
        <v>7725900</v>
      </c>
      <c r="G14" s="7">
        <f t="shared" ref="G14:L14" si="3">G12+G13</f>
        <v>7970513.28765338</v>
      </c>
      <c r="H14" s="7">
        <f t="shared" si="3"/>
        <v>8221547.119239</v>
      </c>
      <c r="I14" s="7">
        <f t="shared" si="3"/>
        <v>8479121.36193933</v>
      </c>
      <c r="J14" s="7">
        <f t="shared" si="3"/>
        <v>8743356.41811416</v>
      </c>
      <c r="K14" s="7">
        <f t="shared" si="3"/>
        <v>9014373.16222741</v>
      </c>
      <c r="L14" s="7">
        <f t="shared" si="3"/>
        <v>9292292.875385</v>
      </c>
      <c r="M14" s="7">
        <f t="shared" ref="M14:R14" si="4">M12+M13</f>
        <v>9577237.17747295</v>
      </c>
      <c r="N14" s="7">
        <f t="shared" si="4"/>
        <v>9869327.95688811</v>
      </c>
      <c r="O14" s="7">
        <f t="shared" si="4"/>
        <v>10168687.297856</v>
      </c>
      <c r="P14" s="7">
        <f t="shared" si="4"/>
        <v>10475437.405333</v>
      </c>
      <c r="Q14" s="7">
        <f t="shared" si="4"/>
        <v>10789700.5274929</v>
      </c>
      <c r="R14" s="7">
        <f t="shared" si="4"/>
        <v>11113391.5433177</v>
      </c>
    </row>
    <row r="15" spans="1:18">
      <c r="A15" s="14" t="s">
        <v>21</v>
      </c>
      <c r="B15" s="11">
        <f t="shared" ref="B15:F16" si="5">B87</f>
        <v>0</v>
      </c>
      <c r="C15" s="11">
        <f t="shared" si="5"/>
        <v>0</v>
      </c>
      <c r="D15" s="11">
        <f t="shared" si="5"/>
        <v>0</v>
      </c>
      <c r="E15" s="11">
        <f t="shared" si="5"/>
        <v>0</v>
      </c>
      <c r="F15" s="11">
        <f t="shared" si="5"/>
        <v>0</v>
      </c>
      <c r="G15" s="214">
        <f>-G12*'Forecasting Assumptions'!G16</f>
        <v>0</v>
      </c>
      <c r="H15" s="68">
        <f>-H12*'Forecasting Assumptions'!H16</f>
        <v>0</v>
      </c>
      <c r="I15" s="68">
        <f>-I12*'Forecasting Assumptions'!I16</f>
        <v>0</v>
      </c>
      <c r="J15" s="68">
        <f>-J12*'Forecasting Assumptions'!J16</f>
        <v>0</v>
      </c>
      <c r="K15" s="68">
        <f>-K12*'Forecasting Assumptions'!K16</f>
        <v>0</v>
      </c>
      <c r="L15" s="68">
        <f>-L12*'Forecasting Assumptions'!L16</f>
        <v>0</v>
      </c>
      <c r="M15" s="68">
        <f>-M12*'Forecasting Assumptions'!M16</f>
        <v>0</v>
      </c>
      <c r="N15" s="68">
        <f>-N12*'Forecasting Assumptions'!N16</f>
        <v>0</v>
      </c>
      <c r="O15" s="68">
        <f>-O12*'Forecasting Assumptions'!O16</f>
        <v>0</v>
      </c>
      <c r="P15" s="68">
        <f>-P12*'Forecasting Assumptions'!P16</f>
        <v>0</v>
      </c>
      <c r="Q15" s="68">
        <f>-Q12*'Forecasting Assumptions'!Q16</f>
        <v>0</v>
      </c>
      <c r="R15" s="68">
        <f>-R12*'Forecasting Assumptions'!R16</f>
        <v>0</v>
      </c>
    </row>
    <row r="16" spans="1:18">
      <c r="A16" s="14" t="s">
        <v>22</v>
      </c>
      <c r="B16" s="11">
        <f t="shared" si="5"/>
        <v>-4953600</v>
      </c>
      <c r="C16" s="11">
        <f t="shared" si="5"/>
        <v>-7887000</v>
      </c>
      <c r="D16" s="11">
        <f t="shared" si="5"/>
        <v>-5778500</v>
      </c>
      <c r="E16" s="11">
        <f t="shared" si="5"/>
        <v>-5899500</v>
      </c>
      <c r="F16" s="11">
        <f t="shared" si="5"/>
        <v>-5914500</v>
      </c>
      <c r="G16" s="214">
        <f>-G12*'Forecasting Assumptions'!G17</f>
        <v>-6101761.71576463</v>
      </c>
      <c r="H16" s="68">
        <f>-H12*'Forecasting Assumptions'!H17</f>
        <v>-6293938.62679287</v>
      </c>
      <c r="I16" s="68">
        <f>-I12*'Forecasting Assumptions'!I17</f>
        <v>-6491122.4964328</v>
      </c>
      <c r="J16" s="68">
        <f>-J12*'Forecasting Assumptions'!J17</f>
        <v>-6693405.4977331</v>
      </c>
      <c r="K16" s="68">
        <f>-K12*'Forecasting Assumptions'!K17</f>
        <v>-6900880.16515798</v>
      </c>
      <c r="L16" s="68">
        <f>-L12*'Forecasting Assumptions'!L17</f>
        <v>-7113639.34447308</v>
      </c>
      <c r="M16" s="68">
        <f>-M12*'Forecasting Assumptions'!M17</f>
        <v>-7331776.14079444</v>
      </c>
      <c r="N16" s="68">
        <f>-N12*'Forecasting Assumptions'!N17</f>
        <v>-7555383.86479435</v>
      </c>
      <c r="O16" s="68">
        <f>-O12*'Forecasting Assumptions'!O17</f>
        <v>-7784555.97706017</v>
      </c>
      <c r="P16" s="68">
        <f>-P12*'Forecasting Assumptions'!P17</f>
        <v>-8019386.03060379</v>
      </c>
      <c r="Q16" s="68">
        <f>-Q12*'Forecasting Assumptions'!Q17</f>
        <v>-8259967.6115219</v>
      </c>
      <c r="R16" s="68">
        <f>-R12*'Forecasting Assumptions'!R17</f>
        <v>-8507766.63986756</v>
      </c>
    </row>
    <row r="17" spans="1:18">
      <c r="A17" s="14" t="s">
        <v>23</v>
      </c>
      <c r="B17" s="189">
        <f>B14+B15+B16</f>
        <v>2068300</v>
      </c>
      <c r="C17" s="189">
        <f>C14+C15+C16</f>
        <v>-939500</v>
      </c>
      <c r="D17" s="189">
        <f>D14+D15+D16</f>
        <v>1262200</v>
      </c>
      <c r="E17" s="189">
        <f>E14+E15+E16</f>
        <v>1887900</v>
      </c>
      <c r="F17" s="189">
        <f>F14+F15+F16</f>
        <v>1811400</v>
      </c>
      <c r="G17" s="68">
        <f t="shared" ref="G17:L17" si="6">G14+G15+G16</f>
        <v>1868751.57188875</v>
      </c>
      <c r="H17" s="68">
        <f t="shared" si="6"/>
        <v>1927608.49244612</v>
      </c>
      <c r="I17" s="68">
        <f t="shared" si="6"/>
        <v>1987998.86550653</v>
      </c>
      <c r="J17" s="68">
        <f t="shared" si="6"/>
        <v>2049950.92038105</v>
      </c>
      <c r="K17" s="68">
        <f t="shared" si="6"/>
        <v>2113492.99706943</v>
      </c>
      <c r="L17" s="68">
        <f t="shared" si="6"/>
        <v>2178653.53091192</v>
      </c>
      <c r="M17" s="68">
        <f t="shared" ref="M17:R17" si="7">M14+M15+M16</f>
        <v>2245461.03667851</v>
      </c>
      <c r="N17" s="68">
        <f t="shared" si="7"/>
        <v>2313944.09209375</v>
      </c>
      <c r="O17" s="68">
        <f t="shared" si="7"/>
        <v>2384131.3207958</v>
      </c>
      <c r="P17" s="68">
        <f t="shared" si="7"/>
        <v>2456051.37472917</v>
      </c>
      <c r="Q17" s="68">
        <f t="shared" si="7"/>
        <v>2529732.91597105</v>
      </c>
      <c r="R17" s="68">
        <f t="shared" si="7"/>
        <v>2605624.90345018</v>
      </c>
    </row>
    <row r="18" spans="1:18">
      <c r="A18" s="14" t="s">
        <v>24</v>
      </c>
      <c r="B18" s="11">
        <f>B89</f>
        <v>-69200</v>
      </c>
      <c r="C18" s="11">
        <f>C89</f>
        <v>0</v>
      </c>
      <c r="D18" s="11">
        <f>D89</f>
        <v>0</v>
      </c>
      <c r="E18" s="11">
        <f>E89</f>
        <v>0</v>
      </c>
      <c r="F18" s="11">
        <f>F89</f>
        <v>0</v>
      </c>
      <c r="G18" s="214">
        <f>-((F38+G38+F40+G40)/2)*'Forecasting Assumptions'!G18</f>
        <v>0</v>
      </c>
      <c r="H18" s="68">
        <f>-((G38+H38+G40+H40)/2)*'Forecasting Assumptions'!H18</f>
        <v>0</v>
      </c>
      <c r="I18" s="68">
        <f>-((H38+I38+H40+I40)/2)*'Forecasting Assumptions'!I18</f>
        <v>0</v>
      </c>
      <c r="J18" s="68">
        <f>-((I38+J38+I40+J40)/2)*'Forecasting Assumptions'!J18</f>
        <v>0</v>
      </c>
      <c r="K18" s="68">
        <f>-((J38+K38+J40+K40)/2)*'Forecasting Assumptions'!K18</f>
        <v>0</v>
      </c>
      <c r="L18" s="68">
        <f>-((K38+L38+K40+L40)/2)*'Forecasting Assumptions'!L18</f>
        <v>0</v>
      </c>
      <c r="M18" s="68">
        <f>-((L38+M38+L40+M40)/2)*'Forecasting Assumptions'!M18</f>
        <v>0</v>
      </c>
      <c r="N18" s="68">
        <f>-((M38+N38+M40+N40)/2)*'Forecasting Assumptions'!N18</f>
        <v>0</v>
      </c>
      <c r="O18" s="68">
        <f>-((N38+O38+N40+O40)/2)*'Forecasting Assumptions'!O18</f>
        <v>0</v>
      </c>
      <c r="P18" s="68">
        <f>-((O38+P38+O40+P40)/2)*'Forecasting Assumptions'!P18</f>
        <v>0</v>
      </c>
      <c r="Q18" s="68">
        <f>-((P38+Q38+P40+Q40)/2)*'Forecasting Assumptions'!Q18</f>
        <v>0</v>
      </c>
      <c r="R18" s="68">
        <f>-((Q38+R38+Q40+R40)/2)*'Forecasting Assumptions'!R18</f>
        <v>0</v>
      </c>
    </row>
    <row r="19" spans="1:18">
      <c r="A19" s="14" t="s">
        <v>25</v>
      </c>
      <c r="B19" s="189">
        <f>B17+B18</f>
        <v>1999100</v>
      </c>
      <c r="C19" s="189">
        <f>C17+C18</f>
        <v>-939500</v>
      </c>
      <c r="D19" s="189">
        <f>D17+D18</f>
        <v>1262200</v>
      </c>
      <c r="E19" s="189">
        <f>E17+E18</f>
        <v>1887900</v>
      </c>
      <c r="F19" s="189">
        <f>F17+F18</f>
        <v>1811400</v>
      </c>
      <c r="G19" s="68">
        <f t="shared" ref="G19:L19" si="8">G17+G18</f>
        <v>1868751.57188875</v>
      </c>
      <c r="H19" s="68">
        <f t="shared" si="8"/>
        <v>1927608.49244612</v>
      </c>
      <c r="I19" s="68">
        <f t="shared" si="8"/>
        <v>1987998.86550653</v>
      </c>
      <c r="J19" s="68">
        <f t="shared" si="8"/>
        <v>2049950.92038105</v>
      </c>
      <c r="K19" s="68">
        <f t="shared" si="8"/>
        <v>2113492.99706943</v>
      </c>
      <c r="L19" s="68">
        <f t="shared" si="8"/>
        <v>2178653.53091192</v>
      </c>
      <c r="M19" s="68">
        <f t="shared" ref="M19:R19" si="9">M17+M18</f>
        <v>2245461.03667851</v>
      </c>
      <c r="N19" s="68">
        <f t="shared" si="9"/>
        <v>2313944.09209375</v>
      </c>
      <c r="O19" s="68">
        <f t="shared" si="9"/>
        <v>2384131.3207958</v>
      </c>
      <c r="P19" s="68">
        <f t="shared" si="9"/>
        <v>2456051.37472917</v>
      </c>
      <c r="Q19" s="68">
        <f t="shared" si="9"/>
        <v>2529732.91597105</v>
      </c>
      <c r="R19" s="68">
        <f t="shared" si="9"/>
        <v>2605624.90345018</v>
      </c>
    </row>
    <row r="20" spans="1:18">
      <c r="A20" s="14" t="s">
        <v>26</v>
      </c>
      <c r="B20" s="11">
        <f t="shared" ref="B20:E21" si="10">B90</f>
        <v>-301800</v>
      </c>
      <c r="C20" s="11">
        <f t="shared" si="10"/>
        <v>-370000</v>
      </c>
      <c r="D20" s="11">
        <f t="shared" si="10"/>
        <v>-162100</v>
      </c>
      <c r="E20" s="11">
        <f t="shared" si="10"/>
        <v>-147300</v>
      </c>
      <c r="F20" s="11">
        <f>F90</f>
        <v>-178900</v>
      </c>
      <c r="G20" s="214">
        <f>-((F44+G44+F49+G49)/2)*'Forecasting Assumptions'!G19</f>
        <v>-186951.663769406</v>
      </c>
      <c r="H20" s="68">
        <f>-((G44+H44+G49+H49)/2)*'Forecasting Assumptions'!H19</f>
        <v>-192855.054046288</v>
      </c>
      <c r="I20" s="68">
        <f>-((H44+I44+H49+I49)/2)*'Forecasting Assumptions'!I19</f>
        <v>-198912.815392895</v>
      </c>
      <c r="J20" s="68">
        <f>-((I44+J44+I49+J49)/2)*'Forecasting Assumptions'!J19</f>
        <v>-205127.809532466</v>
      </c>
      <c r="K20" s="68">
        <f>-((J44+K44+J49+K49)/2)*'Forecasting Assumptions'!K19</f>
        <v>-211502.910185437</v>
      </c>
      <c r="L20" s="68">
        <f>-((K44+L44+K49+L49)/2)*'Forecasting Assumptions'!L19</f>
        <v>-218041.001538523</v>
      </c>
      <c r="M20" s="68">
        <f>-((L44+M44+L49+M49)/2)*'Forecasting Assumptions'!M19</f>
        <v>-224744.976656766</v>
      </c>
      <c r="N20" s="68">
        <f>-((M44+N44+M49+N49)/2)*'Forecasting Assumptions'!N19</f>
        <v>-231617.735838328</v>
      </c>
      <c r="O20" s="68">
        <f>-((N44+O44+N49+O49)/2)*'Forecasting Assumptions'!O19</f>
        <v>-238662.184911876</v>
      </c>
      <c r="P20" s="68">
        <f>-((O44+P44+O49+P49)/2)*'Forecasting Assumptions'!P19</f>
        <v>-245881.233476445</v>
      </c>
      <c r="Q20" s="68">
        <f>-((P44+Q44+P49+Q49)/2)*'Forecasting Assumptions'!Q19</f>
        <v>-253277.793083777</v>
      </c>
      <c r="R20" s="68">
        <f>-((Q44+R44+Q49+R49)/2)*'Forecasting Assumptions'!R19</f>
        <v>-260876.12687629</v>
      </c>
    </row>
    <row r="21" spans="1:18">
      <c r="A21" s="14" t="s">
        <v>27</v>
      </c>
      <c r="B21" s="11">
        <f t="shared" si="10"/>
        <v>6700</v>
      </c>
      <c r="C21" s="11">
        <f t="shared" si="10"/>
        <v>500</v>
      </c>
      <c r="D21" s="11">
        <f t="shared" si="10"/>
        <v>-1400</v>
      </c>
      <c r="E21" s="11">
        <f t="shared" si="10"/>
        <v>-800</v>
      </c>
      <c r="F21" s="11">
        <f>F91</f>
        <v>-300</v>
      </c>
      <c r="G21" s="214">
        <f>G12*'Forecasting Assumptions'!G20</f>
        <v>-309.498438537389</v>
      </c>
      <c r="H21" s="68">
        <f>H12*'Forecasting Assumptions'!H20</f>
        <v>-319.246189540597</v>
      </c>
      <c r="I21" s="68">
        <f>I12*'Forecasting Assumptions'!I20</f>
        <v>-329.247907503566</v>
      </c>
      <c r="J21" s="68">
        <f>J12*'Forecasting Assumptions'!J20</f>
        <v>-339.5082677014</v>
      </c>
      <c r="K21" s="68">
        <f>K12*'Forecasting Assumptions'!K20</f>
        <v>-350.031963741211</v>
      </c>
      <c r="L21" s="68">
        <f>L12*'Forecasting Assumptions'!L20</f>
        <v>-360.823705020192</v>
      </c>
      <c r="M21" s="68">
        <f>M12*'Forecasting Assumptions'!M20</f>
        <v>-371.888214090512</v>
      </c>
      <c r="N21" s="68">
        <f>N12*'Forecasting Assumptions'!N20</f>
        <v>-383.230223930731</v>
      </c>
      <c r="O21" s="68">
        <f>O12*'Forecasting Assumptions'!O20</f>
        <v>-394.854475123519</v>
      </c>
      <c r="P21" s="68">
        <f>P12*'Forecasting Assumptions'!P20</f>
        <v>-406.765712939578</v>
      </c>
      <c r="Q21" s="68">
        <f>Q12*'Forecasting Assumptions'!Q20</f>
        <v>-418.968684327766</v>
      </c>
      <c r="R21" s="68">
        <f>R12*'Forecasting Assumptions'!R20</f>
        <v>-431.537744857599</v>
      </c>
    </row>
    <row r="22" spans="1:18">
      <c r="A22" s="14" t="s">
        <v>28</v>
      </c>
      <c r="B22" s="189">
        <f>B19+B20+B21</f>
        <v>1704000</v>
      </c>
      <c r="C22" s="189">
        <f>C19+C20+C21</f>
        <v>-1309000</v>
      </c>
      <c r="D22" s="189">
        <f>D19+D20+D21</f>
        <v>1098700</v>
      </c>
      <c r="E22" s="189">
        <f>E19+E20+E21</f>
        <v>1739800</v>
      </c>
      <c r="F22" s="189">
        <f>F19+F20+F21</f>
        <v>1632200</v>
      </c>
      <c r="G22" s="68">
        <f t="shared" ref="G22:L22" si="11">G19+G20+G21</f>
        <v>1681490.40968081</v>
      </c>
      <c r="H22" s="68">
        <f t="shared" si="11"/>
        <v>1734434.1922103</v>
      </c>
      <c r="I22" s="68">
        <f t="shared" si="11"/>
        <v>1788756.80220613</v>
      </c>
      <c r="J22" s="68">
        <f t="shared" si="11"/>
        <v>1844483.60258088</v>
      </c>
      <c r="K22" s="68">
        <f t="shared" si="11"/>
        <v>1901640.05492026</v>
      </c>
      <c r="L22" s="68">
        <f t="shared" si="11"/>
        <v>1960251.70566837</v>
      </c>
      <c r="M22" s="68">
        <f t="shared" ref="M22:R22" si="12">M19+M20+M21</f>
        <v>2020344.17180765</v>
      </c>
      <c r="N22" s="68">
        <f t="shared" si="12"/>
        <v>2081943.12603149</v>
      </c>
      <c r="O22" s="68">
        <f t="shared" si="12"/>
        <v>2145074.28140881</v>
      </c>
      <c r="P22" s="68">
        <f t="shared" si="12"/>
        <v>2209763.37553979</v>
      </c>
      <c r="Q22" s="68">
        <f t="shared" si="12"/>
        <v>2276036.15420294</v>
      </c>
      <c r="R22" s="68">
        <f t="shared" si="12"/>
        <v>2344317.23882903</v>
      </c>
    </row>
    <row r="23" spans="1:18">
      <c r="A23" s="14" t="s">
        <v>29</v>
      </c>
      <c r="B23" s="11">
        <f>B92</f>
        <v>10300</v>
      </c>
      <c r="C23" s="11">
        <f>C92</f>
        <v>-281800</v>
      </c>
      <c r="D23" s="11">
        <f>D92</f>
        <v>-271700</v>
      </c>
      <c r="E23" s="11">
        <f>E92</f>
        <v>-397900</v>
      </c>
      <c r="F23" s="11">
        <f>F92</f>
        <v>-304300</v>
      </c>
      <c r="G23" s="214">
        <f>-G22*'Forecasting Assumptions'!G21</f>
        <v>-313489.481476456</v>
      </c>
      <c r="H23" s="68">
        <f>-H22*'Forecasting Assumptions'!H21</f>
        <v>-323360.081294935</v>
      </c>
      <c r="I23" s="68">
        <f>-I22*'Forecasting Assumptions'!I21</f>
        <v>-333487.743482003</v>
      </c>
      <c r="J23" s="68">
        <f>-J22*'Forecasting Assumptions'!J21</f>
        <v>-343877.196584587</v>
      </c>
      <c r="K23" s="68">
        <f>-K22*'Forecasting Assumptions'!K21</f>
        <v>-354533.187545787</v>
      </c>
      <c r="L23" s="68">
        <f>-L22*'Forecasting Assumptions'!L21</f>
        <v>-365460.479129326</v>
      </c>
      <c r="M23" s="68">
        <f>-M22*'Forecasting Assumptions'!M21</f>
        <v>-376663.847249766</v>
      </c>
      <c r="N23" s="68">
        <f>-N22*'Forecasting Assumptions'!N21</f>
        <v>-388148.078208175</v>
      </c>
      <c r="O23" s="68">
        <f>-O22*'Forecasting Assumptions'!O21</f>
        <v>-399917.965833047</v>
      </c>
      <c r="P23" s="68">
        <f>-P22*'Forecasting Assumptions'!P21</f>
        <v>-411978.30852638</v>
      </c>
      <c r="Q23" s="68">
        <f>-Q22*'Forecasting Assumptions'!Q21</f>
        <v>-424333.906214897</v>
      </c>
      <c r="R23" s="68">
        <f>-R22*'Forecasting Assumptions'!R21</f>
        <v>-437063.923401345</v>
      </c>
    </row>
    <row r="24" spans="1:18">
      <c r="A24" s="14" t="s">
        <v>30</v>
      </c>
      <c r="B24" s="11">
        <f>B94</f>
        <v>0</v>
      </c>
      <c r="C24" s="11">
        <f>C94</f>
        <v>0</v>
      </c>
      <c r="D24" s="11">
        <f>D94</f>
        <v>0</v>
      </c>
      <c r="E24" s="11">
        <f>E94</f>
        <v>0</v>
      </c>
      <c r="F24" s="11">
        <f>F94</f>
        <v>0</v>
      </c>
      <c r="G24" s="214">
        <f>G12*'Forecasting Assumptions'!G23</f>
        <v>0</v>
      </c>
      <c r="H24" s="68">
        <f>H12*'Forecasting Assumptions'!H23</f>
        <v>0</v>
      </c>
      <c r="I24" s="68">
        <f>I12*'Forecasting Assumptions'!I23</f>
        <v>0</v>
      </c>
      <c r="J24" s="68">
        <f>J12*'Forecasting Assumptions'!J23</f>
        <v>0</v>
      </c>
      <c r="K24" s="68">
        <f>K12*'Forecasting Assumptions'!K23</f>
        <v>0</v>
      </c>
      <c r="L24" s="68">
        <f>L12*'Forecasting Assumptions'!L23</f>
        <v>0</v>
      </c>
      <c r="M24" s="68">
        <f>M12*'Forecasting Assumptions'!M23</f>
        <v>0</v>
      </c>
      <c r="N24" s="68">
        <f>N12*'Forecasting Assumptions'!N23</f>
        <v>0</v>
      </c>
      <c r="O24" s="68">
        <f>O12*'Forecasting Assumptions'!O23</f>
        <v>0</v>
      </c>
      <c r="P24" s="68">
        <f>P12*'Forecasting Assumptions'!P23</f>
        <v>0</v>
      </c>
      <c r="Q24" s="68">
        <f>Q12*'Forecasting Assumptions'!Q23</f>
        <v>0</v>
      </c>
      <c r="R24" s="68">
        <f>R12*'Forecasting Assumptions'!R23</f>
        <v>0</v>
      </c>
    </row>
    <row r="25" spans="1:18">
      <c r="A25" s="14" t="s">
        <v>31</v>
      </c>
      <c r="B25" s="189">
        <f t="shared" ref="B25:G25" si="13">B22+B23+B24</f>
        <v>1714300</v>
      </c>
      <c r="C25" s="189">
        <f t="shared" si="13"/>
        <v>-1590800</v>
      </c>
      <c r="D25" s="189">
        <f t="shared" si="13"/>
        <v>827000</v>
      </c>
      <c r="E25" s="189">
        <f t="shared" si="13"/>
        <v>1341900</v>
      </c>
      <c r="F25" s="189">
        <f t="shared" si="13"/>
        <v>1327900</v>
      </c>
      <c r="G25" s="68">
        <f t="shared" si="13"/>
        <v>1368000.92820436</v>
      </c>
      <c r="H25" s="68">
        <f t="shared" ref="H25:R25" si="14">H22+H23+H24</f>
        <v>1411074.11091536</v>
      </c>
      <c r="I25" s="68">
        <f t="shared" si="14"/>
        <v>1455269.05872413</v>
      </c>
      <c r="J25" s="68">
        <f t="shared" si="14"/>
        <v>1500606.4059963</v>
      </c>
      <c r="K25" s="68">
        <f t="shared" si="14"/>
        <v>1547106.86737447</v>
      </c>
      <c r="L25" s="68">
        <f t="shared" si="14"/>
        <v>1594791.22653905</v>
      </c>
      <c r="M25" s="68">
        <f t="shared" si="14"/>
        <v>1643680.32455789</v>
      </c>
      <c r="N25" s="68">
        <f t="shared" si="14"/>
        <v>1693795.04782332</v>
      </c>
      <c r="O25" s="68">
        <f t="shared" si="14"/>
        <v>1745156.31557576</v>
      </c>
      <c r="P25" s="68">
        <f t="shared" si="14"/>
        <v>1797785.06701341</v>
      </c>
      <c r="Q25" s="68">
        <f t="shared" si="14"/>
        <v>1851702.24798805</v>
      </c>
      <c r="R25" s="68">
        <f t="shared" si="14"/>
        <v>1907253.31542769</v>
      </c>
    </row>
    <row r="26" spans="1:18">
      <c r="A26" s="14" t="s">
        <v>32</v>
      </c>
      <c r="B26" s="11">
        <f>B95</f>
        <v>0</v>
      </c>
      <c r="C26" s="11">
        <f>C95</f>
        <v>0</v>
      </c>
      <c r="D26" s="11">
        <f>D95</f>
        <v>0</v>
      </c>
      <c r="E26" s="11">
        <f>E95</f>
        <v>0</v>
      </c>
      <c r="F26" s="11">
        <f>F95</f>
        <v>0</v>
      </c>
      <c r="G26" s="214">
        <f>G12*'Forecasting Assumptions'!G24</f>
        <v>0</v>
      </c>
      <c r="H26" s="68">
        <f>H12*'Forecasting Assumptions'!H24</f>
        <v>0</v>
      </c>
      <c r="I26" s="68">
        <f>I12*'Forecasting Assumptions'!I24</f>
        <v>0</v>
      </c>
      <c r="J26" s="68">
        <f>J12*'Forecasting Assumptions'!J24</f>
        <v>0</v>
      </c>
      <c r="K26" s="68">
        <f>K12*'Forecasting Assumptions'!K24</f>
        <v>0</v>
      </c>
      <c r="L26" s="68">
        <f>L12*'Forecasting Assumptions'!L24</f>
        <v>0</v>
      </c>
      <c r="M26" s="68">
        <f>M12*'Forecasting Assumptions'!M24</f>
        <v>0</v>
      </c>
      <c r="N26" s="68">
        <f>N12*'Forecasting Assumptions'!N24</f>
        <v>0</v>
      </c>
      <c r="O26" s="68">
        <f>O12*'Forecasting Assumptions'!O24</f>
        <v>0</v>
      </c>
      <c r="P26" s="68">
        <f>P12*'Forecasting Assumptions'!P24</f>
        <v>0</v>
      </c>
      <c r="Q26" s="68">
        <f>Q12*'Forecasting Assumptions'!Q24</f>
        <v>0</v>
      </c>
      <c r="R26" s="68">
        <f>R12*'Forecasting Assumptions'!R24</f>
        <v>0</v>
      </c>
    </row>
    <row r="27" spans="1:18">
      <c r="A27" s="14" t="s">
        <v>33</v>
      </c>
      <c r="B27" s="11">
        <f>B93</f>
        <v>0</v>
      </c>
      <c r="C27" s="11">
        <f>C93</f>
        <v>0</v>
      </c>
      <c r="D27" s="11">
        <f>D93</f>
        <v>0</v>
      </c>
      <c r="E27" s="11">
        <f>E93</f>
        <v>0</v>
      </c>
      <c r="F27" s="11">
        <f>F93</f>
        <v>0</v>
      </c>
      <c r="G27" s="214">
        <f>-(G22+G23)*'Forecasting Assumptions'!G22</f>
        <v>0</v>
      </c>
      <c r="H27" s="68">
        <f>-(H22+H23)*'Forecasting Assumptions'!H22</f>
        <v>0</v>
      </c>
      <c r="I27" s="68">
        <f>-(I22+I23)*'Forecasting Assumptions'!I22</f>
        <v>0</v>
      </c>
      <c r="J27" s="68">
        <f>-(J22+J23)*'Forecasting Assumptions'!J22</f>
        <v>0</v>
      </c>
      <c r="K27" s="68">
        <f>-(K22+K23)*'Forecasting Assumptions'!K22</f>
        <v>0</v>
      </c>
      <c r="L27" s="68">
        <f>-(L22+L23)*'Forecasting Assumptions'!L22</f>
        <v>0</v>
      </c>
      <c r="M27" s="68">
        <f>-(M22+M23)*'Forecasting Assumptions'!M22</f>
        <v>0</v>
      </c>
      <c r="N27" s="68">
        <f>-(N22+N23)*'Forecasting Assumptions'!N22</f>
        <v>0</v>
      </c>
      <c r="O27" s="68">
        <f>-(O22+O23)*'Forecasting Assumptions'!O22</f>
        <v>0</v>
      </c>
      <c r="P27" s="68">
        <f>-(P22+P23)*'Forecasting Assumptions'!P22</f>
        <v>0</v>
      </c>
      <c r="Q27" s="68">
        <f>-(Q22+Q23)*'Forecasting Assumptions'!Q22</f>
        <v>0</v>
      </c>
      <c r="R27" s="68">
        <f>-(R22+R23)*'Forecasting Assumptions'!R22</f>
        <v>0</v>
      </c>
    </row>
    <row r="28" spans="1:18">
      <c r="A28" s="14" t="s">
        <v>34</v>
      </c>
      <c r="B28" s="11">
        <f>B96</f>
        <v>0</v>
      </c>
      <c r="C28" s="11">
        <f>C96</f>
        <v>0</v>
      </c>
      <c r="D28" s="11">
        <f>D96</f>
        <v>0</v>
      </c>
      <c r="E28" s="11">
        <f>E96</f>
        <v>0</v>
      </c>
      <c r="F28" s="11">
        <f>F96</f>
        <v>0</v>
      </c>
      <c r="G28" s="215">
        <f>-((G54+F54)/2)*'Forecasting Assumptions'!G25</f>
        <v>0</v>
      </c>
      <c r="H28" s="216">
        <f>-((H54+G54)/2)*'Forecasting Assumptions'!H25</f>
        <v>0</v>
      </c>
      <c r="I28" s="216">
        <f>-((I54+H54)/2)*'Forecasting Assumptions'!I25</f>
        <v>0</v>
      </c>
      <c r="J28" s="216">
        <f>-((J54+I54)/2)*'Forecasting Assumptions'!J25</f>
        <v>0</v>
      </c>
      <c r="K28" s="216">
        <f>-((K54+J54)/2)*'Forecasting Assumptions'!K25</f>
        <v>0</v>
      </c>
      <c r="L28" s="216">
        <f>-((L54+K54)/2)*'Forecasting Assumptions'!L25</f>
        <v>0</v>
      </c>
      <c r="M28" s="68">
        <f>-((M54+L54)/2)*'Forecasting Assumptions'!M25</f>
        <v>0</v>
      </c>
      <c r="N28" s="68">
        <f>-((N54+M54)/2)*'Forecasting Assumptions'!N25</f>
        <v>0</v>
      </c>
      <c r="O28" s="68">
        <f>-((O54+N54)/2)*'Forecasting Assumptions'!O25</f>
        <v>0</v>
      </c>
      <c r="P28" s="68">
        <f>-((P54+O54)/2)*'Forecasting Assumptions'!P25</f>
        <v>0</v>
      </c>
      <c r="Q28" s="68">
        <f>-((Q54+P54)/2)*'Forecasting Assumptions'!Q25</f>
        <v>0</v>
      </c>
      <c r="R28" s="68">
        <f>-((R54+Q54)/2)*'Forecasting Assumptions'!R25</f>
        <v>0</v>
      </c>
    </row>
    <row r="29" ht="15.95" spans="1:18">
      <c r="A29" s="14" t="s">
        <v>35</v>
      </c>
      <c r="B29" s="190">
        <f t="shared" ref="B29:G29" si="15">B25+B26+B27+B28</f>
        <v>1714300</v>
      </c>
      <c r="C29" s="190">
        <f t="shared" si="15"/>
        <v>-1590800</v>
      </c>
      <c r="D29" s="190">
        <f t="shared" si="15"/>
        <v>827000</v>
      </c>
      <c r="E29" s="190">
        <f t="shared" si="15"/>
        <v>1341900</v>
      </c>
      <c r="F29" s="190">
        <f t="shared" si="15"/>
        <v>1327900</v>
      </c>
      <c r="G29" s="192">
        <f t="shared" si="15"/>
        <v>1368000.92820436</v>
      </c>
      <c r="H29" s="192">
        <f t="shared" ref="H29:R29" si="16">H25+H26+H27+H28</f>
        <v>1411074.11091536</v>
      </c>
      <c r="I29" s="192">
        <f t="shared" si="16"/>
        <v>1455269.05872413</v>
      </c>
      <c r="J29" s="192">
        <f t="shared" si="16"/>
        <v>1500606.4059963</v>
      </c>
      <c r="K29" s="192">
        <f t="shared" si="16"/>
        <v>1547106.86737447</v>
      </c>
      <c r="L29" s="192">
        <f t="shared" si="16"/>
        <v>1594791.22653905</v>
      </c>
      <c r="M29" s="192">
        <f t="shared" si="16"/>
        <v>1643680.32455789</v>
      </c>
      <c r="N29" s="192">
        <f t="shared" si="16"/>
        <v>1693795.04782332</v>
      </c>
      <c r="O29" s="192">
        <f t="shared" si="16"/>
        <v>1745156.31557576</v>
      </c>
      <c r="P29" s="192">
        <f t="shared" si="16"/>
        <v>1797785.06701341</v>
      </c>
      <c r="Q29" s="192">
        <f t="shared" si="16"/>
        <v>1851702.24798805</v>
      </c>
      <c r="R29" s="192">
        <f t="shared" si="16"/>
        <v>1907253.31542769</v>
      </c>
    </row>
    <row r="30" ht="15.95" spans="1:17">
      <c r="A30" s="205"/>
      <c r="B30" s="206" t="str">
        <f>IF(B13&gt;0,"Error! -Exp?",IF(B15&gt;0,"Error! -Exp?",IF(B16&gt;0,"Error! -Exp?","")))</f>
        <v/>
      </c>
      <c r="C30" s="206" t="s">
        <v>36</v>
      </c>
      <c r="D30" s="206" t="s">
        <v>36</v>
      </c>
      <c r="E30" s="206" t="s">
        <v>36</v>
      </c>
      <c r="F30" s="206" t="s">
        <v>36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>
      <c r="A31" s="17" t="s">
        <v>37</v>
      </c>
      <c r="B31" s="207"/>
      <c r="C31" s="207"/>
      <c r="D31" s="207"/>
      <c r="E31" s="189"/>
      <c r="F31" s="189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>
      <c r="A32" s="17"/>
      <c r="B32" s="207"/>
      <c r="C32" s="207"/>
      <c r="D32" s="207"/>
      <c r="E32" s="189"/>
      <c r="F32" s="189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8">
      <c r="A33" s="14" t="s">
        <v>38</v>
      </c>
      <c r="B33" s="11">
        <f t="shared" ref="B33:F36" si="17">B97</f>
        <v>1097800</v>
      </c>
      <c r="C33" s="11">
        <f t="shared" si="17"/>
        <v>446700</v>
      </c>
      <c r="D33" s="11">
        <f t="shared" si="17"/>
        <v>586000</v>
      </c>
      <c r="E33" s="11">
        <f t="shared" si="17"/>
        <v>1463600</v>
      </c>
      <c r="F33" s="11">
        <f>F97</f>
        <v>1038300</v>
      </c>
      <c r="G33" s="213">
        <f>G12*'Forecasting Assumptions'!G29</f>
        <v>1071174.0957779</v>
      </c>
      <c r="H33" s="7">
        <f>H12*'Forecasting Assumptions'!H29</f>
        <v>1104911.06200001</v>
      </c>
      <c r="I33" s="7">
        <f>I12*'Forecasting Assumptions'!I29</f>
        <v>1139527.00786984</v>
      </c>
      <c r="J33" s="7">
        <f>J12*'Forecasting Assumptions'!J29</f>
        <v>1175038.11451455</v>
      </c>
      <c r="K33" s="7">
        <f>K12*'Forecasting Assumptions'!K29</f>
        <v>1211460.62650833</v>
      </c>
      <c r="L33" s="7">
        <f>L12*'Forecasting Assumptions'!L29</f>
        <v>1248810.84307488</v>
      </c>
      <c r="M33" s="7">
        <f>M12*'Forecasting Assumptions'!M29</f>
        <v>1287105.10896726</v>
      </c>
      <c r="N33" s="7">
        <f>N12*'Forecasting Assumptions'!N29</f>
        <v>1326359.80502426</v>
      </c>
      <c r="O33" s="7">
        <f>O12*'Forecasting Assumptions'!O29</f>
        <v>1366591.3384025</v>
      </c>
      <c r="P33" s="7">
        <f>P12*'Forecasting Assumptions'!P29</f>
        <v>1407816.13248388</v>
      </c>
      <c r="Q33" s="7">
        <f>Q12*'Forecasting Assumptions'!Q29</f>
        <v>1450050.6164584</v>
      </c>
      <c r="R33" s="7">
        <f>R12*'Forecasting Assumptions'!R29</f>
        <v>1493552.13495215</v>
      </c>
    </row>
    <row r="34" spans="1:18">
      <c r="A34" s="14" t="s">
        <v>39</v>
      </c>
      <c r="B34" s="11">
        <f t="shared" si="17"/>
        <v>0</v>
      </c>
      <c r="C34" s="11">
        <f t="shared" si="17"/>
        <v>100900</v>
      </c>
      <c r="D34" s="11">
        <f t="shared" si="17"/>
        <v>0</v>
      </c>
      <c r="E34" s="11">
        <f t="shared" si="17"/>
        <v>0</v>
      </c>
      <c r="F34" s="11">
        <f t="shared" si="17"/>
        <v>0</v>
      </c>
      <c r="G34" s="213">
        <f>G12*'Forecasting Assumptions'!G30</f>
        <v>0</v>
      </c>
      <c r="H34" s="7">
        <f>H12*'Forecasting Assumptions'!H30</f>
        <v>0</v>
      </c>
      <c r="I34" s="7">
        <f>I12*'Forecasting Assumptions'!I30</f>
        <v>0</v>
      </c>
      <c r="J34" s="7">
        <f>J12*'Forecasting Assumptions'!J30</f>
        <v>0</v>
      </c>
      <c r="K34" s="7">
        <f>K12*'Forecasting Assumptions'!K30</f>
        <v>0</v>
      </c>
      <c r="L34" s="7">
        <f>L12*'Forecasting Assumptions'!L30</f>
        <v>0</v>
      </c>
      <c r="M34" s="7">
        <f>M12*'Forecasting Assumptions'!M30</f>
        <v>0</v>
      </c>
      <c r="N34" s="7">
        <f>N12*'Forecasting Assumptions'!N30</f>
        <v>0</v>
      </c>
      <c r="O34" s="7">
        <f>O12*'Forecasting Assumptions'!O30</f>
        <v>0</v>
      </c>
      <c r="P34" s="7">
        <f>P12*'Forecasting Assumptions'!P30</f>
        <v>0</v>
      </c>
      <c r="Q34" s="7">
        <f>Q12*'Forecasting Assumptions'!Q30</f>
        <v>0</v>
      </c>
      <c r="R34" s="7">
        <f>R12*'Forecasting Assumptions'!R30</f>
        <v>0</v>
      </c>
    </row>
    <row r="35" spans="1:18">
      <c r="A35" s="14" t="s">
        <v>40</v>
      </c>
      <c r="B35" s="11">
        <f t="shared" si="17"/>
        <v>3169300</v>
      </c>
      <c r="C35" s="11">
        <f t="shared" si="17"/>
        <v>3536000</v>
      </c>
      <c r="D35" s="11">
        <f t="shared" si="17"/>
        <v>3522000</v>
      </c>
      <c r="E35" s="11">
        <f t="shared" si="17"/>
        <v>3427000</v>
      </c>
      <c r="F35" s="11">
        <f t="shared" si="17"/>
        <v>4367300</v>
      </c>
      <c r="G35" s="213">
        <f>-G13*'Forecasting Assumptions'!G31</f>
        <v>4505575.10208113</v>
      </c>
      <c r="H35" s="7">
        <f>-H13*'Forecasting Assumptions'!H31</f>
        <v>4647479.6119355</v>
      </c>
      <c r="I35" s="7">
        <f>-I13*'Forecasting Assumptions'!I31</f>
        <v>4793081.28813441</v>
      </c>
      <c r="J35" s="7">
        <f>-J13*'Forecasting Assumptions'!J31</f>
        <v>4942448.19177442</v>
      </c>
      <c r="K35" s="7">
        <f>-K13*'Forecasting Assumptions'!K31</f>
        <v>5095648.65082331</v>
      </c>
      <c r="L35" s="7">
        <f>-L13*'Forecasting Assumptions'!L31</f>
        <v>5252751.22311561</v>
      </c>
      <c r="M35" s="7">
        <f>-M13*'Forecasting Assumptions'!M31</f>
        <v>5413824.65799164</v>
      </c>
      <c r="N35" s="7">
        <f>-N13*'Forecasting Assumptions'!N31</f>
        <v>5578937.8565756</v>
      </c>
      <c r="O35" s="7">
        <f>-O13*'Forecasting Assumptions'!O31</f>
        <v>5748159.83068981</v>
      </c>
      <c r="P35" s="7">
        <f>-P13*'Forecasting Assumptions'!P31</f>
        <v>5921559.6604034</v>
      </c>
      <c r="Q35" s="7">
        <f>-Q13*'Forecasting Assumptions'!Q31</f>
        <v>6099206.4502155</v>
      </c>
      <c r="R35" s="7">
        <f>-R13*'Forecasting Assumptions'!R31</f>
        <v>6282182.64372197</v>
      </c>
    </row>
    <row r="36" spans="1:18">
      <c r="A36" s="14" t="s">
        <v>41</v>
      </c>
      <c r="B36" s="11">
        <f t="shared" si="17"/>
        <v>309200</v>
      </c>
      <c r="C36" s="11">
        <f t="shared" si="17"/>
        <v>209700</v>
      </c>
      <c r="D36" s="11">
        <f t="shared" si="17"/>
        <v>161400</v>
      </c>
      <c r="E36" s="11">
        <f t="shared" si="17"/>
        <v>160200</v>
      </c>
      <c r="F36" s="11">
        <f t="shared" si="17"/>
        <v>203600</v>
      </c>
      <c r="G36" s="213">
        <f>G12*'Forecasting Assumptions'!G32</f>
        <v>210046.273620708</v>
      </c>
      <c r="H36" s="7">
        <f>H12*'Forecasting Assumptions'!H32</f>
        <v>216661.747301552</v>
      </c>
      <c r="I36" s="7">
        <f>I12*'Forecasting Assumptions'!I32</f>
        <v>223449.57989242</v>
      </c>
      <c r="J36" s="7">
        <f>J12*'Forecasting Assumptions'!J32</f>
        <v>230412.944346684</v>
      </c>
      <c r="K36" s="7">
        <f>K12*'Forecasting Assumptions'!K32</f>
        <v>237555.026059035</v>
      </c>
      <c r="L36" s="7">
        <f>L12*'Forecasting Assumptions'!L32</f>
        <v>244879.02114037</v>
      </c>
      <c r="M36" s="7">
        <f>M12*'Forecasting Assumptions'!M32</f>
        <v>252388.134629427</v>
      </c>
      <c r="N36" s="7">
        <f>N12*'Forecasting Assumptions'!N32</f>
        <v>260085.578640989</v>
      </c>
      <c r="O36" s="7">
        <f>O12*'Forecasting Assumptions'!O32</f>
        <v>267974.570450495</v>
      </c>
      <c r="P36" s="7">
        <f>P12*'Forecasting Assumptions'!P32</f>
        <v>276058.330514994</v>
      </c>
      <c r="Q36" s="7">
        <f>Q12*'Forecasting Assumptions'!Q32</f>
        <v>284340.080430444</v>
      </c>
      <c r="R36" s="7">
        <f>R12*'Forecasting Assumptions'!R32</f>
        <v>292870.282843357</v>
      </c>
    </row>
    <row r="37" spans="1:18">
      <c r="A37" s="14" t="s">
        <v>42</v>
      </c>
      <c r="B37" s="189">
        <f t="shared" ref="B37:R37" si="18">SUM(B33:B36)</f>
        <v>4576300</v>
      </c>
      <c r="C37" s="189">
        <f t="shared" si="18"/>
        <v>4293300</v>
      </c>
      <c r="D37" s="189">
        <f t="shared" si="18"/>
        <v>4269400</v>
      </c>
      <c r="E37" s="189">
        <f t="shared" si="18"/>
        <v>5050800</v>
      </c>
      <c r="F37" s="189">
        <f t="shared" si="18"/>
        <v>5609200</v>
      </c>
      <c r="G37" s="7">
        <f t="shared" si="18"/>
        <v>5786795.47147974</v>
      </c>
      <c r="H37" s="7">
        <f t="shared" si="18"/>
        <v>5969052.42123706</v>
      </c>
      <c r="I37" s="7">
        <f t="shared" si="18"/>
        <v>6156057.87589668</v>
      </c>
      <c r="J37" s="7">
        <f t="shared" si="18"/>
        <v>6347899.25063565</v>
      </c>
      <c r="K37" s="7">
        <f t="shared" si="18"/>
        <v>6544664.30339067</v>
      </c>
      <c r="L37" s="7">
        <f t="shared" si="18"/>
        <v>6746441.08733087</v>
      </c>
      <c r="M37" s="7">
        <f t="shared" si="18"/>
        <v>6953317.90158833</v>
      </c>
      <c r="N37" s="7">
        <f t="shared" si="18"/>
        <v>7165383.24024085</v>
      </c>
      <c r="O37" s="7">
        <f t="shared" si="18"/>
        <v>7382725.73954281</v>
      </c>
      <c r="P37" s="7">
        <f t="shared" si="18"/>
        <v>7605434.12340228</v>
      </c>
      <c r="Q37" s="7">
        <f t="shared" si="18"/>
        <v>7833597.14710434</v>
      </c>
      <c r="R37" s="7">
        <f t="shared" si="18"/>
        <v>8068605.06151748</v>
      </c>
    </row>
    <row r="38" spans="1:18">
      <c r="A38" s="14" t="s">
        <v>43</v>
      </c>
      <c r="B38" s="11">
        <f t="shared" ref="B38:F41" si="19">B101</f>
        <v>3200700</v>
      </c>
      <c r="C38" s="11">
        <f t="shared" si="19"/>
        <v>3445300</v>
      </c>
      <c r="D38" s="11">
        <f t="shared" si="19"/>
        <v>3881800</v>
      </c>
      <c r="E38" s="11">
        <f t="shared" si="19"/>
        <v>4116300</v>
      </c>
      <c r="F38" s="11">
        <f t="shared" si="19"/>
        <v>4477300</v>
      </c>
      <c r="G38" s="213">
        <f>G12*'Forecasting Assumptions'!G37</f>
        <v>4619057.86287817</v>
      </c>
      <c r="H38" s="7">
        <f>H12*'Forecasting Assumptions'!H37</f>
        <v>4764536.54810038</v>
      </c>
      <c r="I38" s="7">
        <f>I12*'Forecasting Assumptions'!I37</f>
        <v>4913805.52088572</v>
      </c>
      <c r="J38" s="7">
        <f>J12*'Forecasting Assumptions'!J37</f>
        <v>5066934.55659826</v>
      </c>
      <c r="K38" s="7">
        <f>K12*'Forecasting Assumptions'!K37</f>
        <v>5223993.70419508</v>
      </c>
      <c r="L38" s="7">
        <f>L12*'Forecasting Assumptions'!L37</f>
        <v>5385053.24828968</v>
      </c>
      <c r="M38" s="7">
        <f>M12*'Forecasting Assumptions'!M37</f>
        <v>5550183.66982483</v>
      </c>
      <c r="N38" s="7">
        <f>N12*'Forecasting Assumptions'!N37</f>
        <v>5719455.6053502</v>
      </c>
      <c r="O38" s="7">
        <f>O12*'Forecasting Assumptions'!O37</f>
        <v>5892939.80490177</v>
      </c>
      <c r="P38" s="7">
        <f>P12*'Forecasting Assumptions'!P37</f>
        <v>6070707.08848125</v>
      </c>
      <c r="Q38" s="7">
        <f>Q12*'Forecasting Assumptions'!Q37</f>
        <v>6252828.30113568</v>
      </c>
      <c r="R38" s="7">
        <f>R12*'Forecasting Assumptions'!R37</f>
        <v>6440413.15016976</v>
      </c>
    </row>
    <row r="39" spans="1:18">
      <c r="A39" s="14" t="s">
        <v>44</v>
      </c>
      <c r="B39" s="11">
        <f t="shared" si="19"/>
        <v>0</v>
      </c>
      <c r="C39" s="11">
        <f t="shared" si="19"/>
        <v>0</v>
      </c>
      <c r="D39" s="11">
        <f t="shared" si="19"/>
        <v>0</v>
      </c>
      <c r="E39" s="11">
        <f t="shared" si="19"/>
        <v>0</v>
      </c>
      <c r="F39" s="11">
        <f t="shared" si="19"/>
        <v>0</v>
      </c>
      <c r="G39" s="213">
        <f>G12*'Forecasting Assumptions'!G38</f>
        <v>0</v>
      </c>
      <c r="H39" s="7">
        <f>H12*'Forecasting Assumptions'!H38</f>
        <v>0</v>
      </c>
      <c r="I39" s="7">
        <f>I12*'Forecasting Assumptions'!I38</f>
        <v>0</v>
      </c>
      <c r="J39" s="7">
        <f>J12*'Forecasting Assumptions'!J38</f>
        <v>0</v>
      </c>
      <c r="K39" s="7">
        <f>K12*'Forecasting Assumptions'!K38</f>
        <v>0</v>
      </c>
      <c r="L39" s="7">
        <f>L12*'Forecasting Assumptions'!L38</f>
        <v>0</v>
      </c>
      <c r="M39" s="7">
        <f>M12*'Forecasting Assumptions'!M38</f>
        <v>0</v>
      </c>
      <c r="N39" s="7">
        <f>N12*'Forecasting Assumptions'!N38</f>
        <v>0</v>
      </c>
      <c r="O39" s="7">
        <f>O12*'Forecasting Assumptions'!O38</f>
        <v>0</v>
      </c>
      <c r="P39" s="7">
        <f>P12*'Forecasting Assumptions'!P38</f>
        <v>0</v>
      </c>
      <c r="Q39" s="7">
        <f>Q12*'Forecasting Assumptions'!Q38</f>
        <v>0</v>
      </c>
      <c r="R39" s="7">
        <f>R12*'Forecasting Assumptions'!R38</f>
        <v>0</v>
      </c>
    </row>
    <row r="40" spans="1:18">
      <c r="A40" s="14" t="s">
        <v>45</v>
      </c>
      <c r="B40" s="11">
        <f t="shared" si="19"/>
        <v>5025200</v>
      </c>
      <c r="C40" s="11">
        <f t="shared" si="19"/>
        <v>5685300</v>
      </c>
      <c r="D40" s="11">
        <f t="shared" si="19"/>
        <v>5083300</v>
      </c>
      <c r="E40" s="11">
        <f t="shared" si="19"/>
        <v>5084400</v>
      </c>
      <c r="F40" s="11">
        <f t="shared" si="19"/>
        <v>5084400</v>
      </c>
      <c r="G40" s="213">
        <f>G12*'Forecasting Assumptions'!G39</f>
        <v>5245379.53633167</v>
      </c>
      <c r="H40" s="7">
        <f>H12*'Forecasting Assumptions'!H39</f>
        <v>5410584.42033404</v>
      </c>
      <c r="I40" s="7">
        <f>I12*'Forecasting Assumptions'!I39</f>
        <v>5580093.53637044</v>
      </c>
      <c r="J40" s="7">
        <f>J12*'Forecasting Assumptions'!J39</f>
        <v>5753986.12100333</v>
      </c>
      <c r="K40" s="7">
        <f>K12*'Forecasting Assumptions'!K39</f>
        <v>5932341.72148605</v>
      </c>
      <c r="L40" s="7">
        <f>L12*'Forecasting Assumptions'!L39</f>
        <v>6115240.15268221</v>
      </c>
      <c r="M40" s="7">
        <f>M12*'Forecasting Assumptions'!M39</f>
        <v>6302761.45240599</v>
      </c>
      <c r="N40" s="7">
        <f>N12*'Forecasting Assumptions'!N39</f>
        <v>6494985.83517802</v>
      </c>
      <c r="O40" s="7">
        <f>O12*'Forecasting Assumptions'!O39</f>
        <v>6691993.6443934</v>
      </c>
      <c r="P40" s="7">
        <f>P12*'Forecasting Assumptions'!P39</f>
        <v>6893865.30289997</v>
      </c>
      <c r="Q40" s="7">
        <f>Q12*'Forecasting Assumptions'!Q39</f>
        <v>7100681.26198697</v>
      </c>
      <c r="R40" s="7">
        <f>R12*'Forecasting Assumptions'!R39</f>
        <v>7313701.69984658</v>
      </c>
    </row>
    <row r="41" spans="1:18">
      <c r="A41" s="14" t="s">
        <v>46</v>
      </c>
      <c r="B41" s="11">
        <f t="shared" si="19"/>
        <v>3530600</v>
      </c>
      <c r="C41" s="11">
        <f t="shared" si="19"/>
        <v>77300</v>
      </c>
      <c r="D41" s="11">
        <f t="shared" si="19"/>
        <v>6340100</v>
      </c>
      <c r="E41" s="11">
        <f t="shared" si="19"/>
        <v>6444500</v>
      </c>
      <c r="F41" s="11">
        <f t="shared" si="19"/>
        <v>6550900</v>
      </c>
      <c r="G41" s="217">
        <f>G12*'Forecasting Assumptions'!G40</f>
        <v>6758311.07004861</v>
      </c>
      <c r="H41" s="218">
        <f>H12*'Forecasting Assumptions'!H40</f>
        <v>6971166.21020499</v>
      </c>
      <c r="I41" s="218">
        <f>I12*'Forecasting Assumptions'!I40</f>
        <v>7189567.05755037</v>
      </c>
      <c r="J41" s="218">
        <f>J12*'Forecasting Assumptions'!J40</f>
        <v>7413615.70295034</v>
      </c>
      <c r="K41" s="218">
        <f>K12*'Forecasting Assumptions'!K40</f>
        <v>7643414.63757434</v>
      </c>
      <c r="L41" s="218">
        <f>L12*'Forecasting Assumptions'!L40</f>
        <v>7879066.69738925</v>
      </c>
      <c r="M41" s="7">
        <f>M12*'Forecasting Assumptions'!M40</f>
        <v>8120675.00561845</v>
      </c>
      <c r="N41" s="7">
        <f>N12*'Forecasting Assumptions'!N40</f>
        <v>8368342.91315941</v>
      </c>
      <c r="O41" s="7">
        <f>O12*'Forecasting Assumptions'!O40</f>
        <v>8622173.93695553</v>
      </c>
      <c r="P41" s="7">
        <f>P12*'Forecasting Assumptions'!P40</f>
        <v>8882271.69631961</v>
      </c>
      <c r="Q41" s="7">
        <f>Q12*'Forecasting Assumptions'!Q40</f>
        <v>9148739.8472092</v>
      </c>
      <c r="R41" s="7">
        <f>R12*'Forecasting Assumptions'!R40</f>
        <v>9423202.04262548</v>
      </c>
    </row>
    <row r="42" ht="15.95" spans="1:18">
      <c r="A42" s="14" t="s">
        <v>47</v>
      </c>
      <c r="B42" s="190">
        <f>SUM(B37:B41)</f>
        <v>16332800</v>
      </c>
      <c r="C42" s="190">
        <f>SUM(C37:C41)</f>
        <v>13501200</v>
      </c>
      <c r="D42" s="190">
        <f>SUM(D37:D41)</f>
        <v>19574600</v>
      </c>
      <c r="E42" s="190">
        <f>SUM(E37:E41)</f>
        <v>20696000</v>
      </c>
      <c r="F42" s="190">
        <f>SUM(F37:F41)</f>
        <v>21721800</v>
      </c>
      <c r="G42" s="219">
        <f t="shared" ref="G42:L42" si="20">G37+G38+G39+G40+G41</f>
        <v>22409543.9407382</v>
      </c>
      <c r="H42" s="219">
        <f t="shared" si="20"/>
        <v>23115339.5998765</v>
      </c>
      <c r="I42" s="219">
        <f t="shared" si="20"/>
        <v>23839523.9907032</v>
      </c>
      <c r="J42" s="219">
        <f t="shared" si="20"/>
        <v>24582435.6311876</v>
      </c>
      <c r="K42" s="219">
        <f t="shared" si="20"/>
        <v>25344414.3666461</v>
      </c>
      <c r="L42" s="219">
        <f t="shared" si="20"/>
        <v>26125801.185692</v>
      </c>
      <c r="M42" s="219">
        <f t="shared" ref="M42:R42" si="21">M37+M38+M39+M40+M41</f>
        <v>26926938.0294376</v>
      </c>
      <c r="N42" s="219">
        <f t="shared" si="21"/>
        <v>27748167.5939285</v>
      </c>
      <c r="O42" s="219">
        <f t="shared" si="21"/>
        <v>28589833.1257935</v>
      </c>
      <c r="P42" s="219">
        <f t="shared" si="21"/>
        <v>29452278.2111031</v>
      </c>
      <c r="Q42" s="219">
        <f t="shared" si="21"/>
        <v>30335846.5574362</v>
      </c>
      <c r="R42" s="219">
        <f t="shared" si="21"/>
        <v>31245921.9541593</v>
      </c>
    </row>
    <row r="43" ht="15.95" spans="1:18">
      <c r="A43" s="205"/>
      <c r="B43" s="189"/>
      <c r="C43" s="189"/>
      <c r="D43" s="189"/>
      <c r="E43" s="189"/>
      <c r="F43" s="189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>
      <c r="A44" s="14" t="s">
        <v>48</v>
      </c>
      <c r="B44" s="11">
        <f t="shared" ref="B44:F47" si="22">B105</f>
        <v>915900</v>
      </c>
      <c r="C44" s="11">
        <f t="shared" si="22"/>
        <v>0</v>
      </c>
      <c r="D44" s="11">
        <f t="shared" si="22"/>
        <v>250000</v>
      </c>
      <c r="E44" s="11">
        <f t="shared" si="22"/>
        <v>0</v>
      </c>
      <c r="F44" s="11">
        <f t="shared" si="22"/>
        <v>0</v>
      </c>
      <c r="G44" s="213">
        <f>G42*'Forecasting Assumptions'!G45</f>
        <v>0</v>
      </c>
      <c r="H44" s="7">
        <f>H42*'Forecasting Assumptions'!H45</f>
        <v>0</v>
      </c>
      <c r="I44" s="7">
        <f>I42*'Forecasting Assumptions'!I45</f>
        <v>0</v>
      </c>
      <c r="J44" s="7">
        <f>J42*'Forecasting Assumptions'!J45</f>
        <v>0</v>
      </c>
      <c r="K44" s="7">
        <f>K42*'Forecasting Assumptions'!K45</f>
        <v>0</v>
      </c>
      <c r="L44" s="7">
        <f>L42*'Forecasting Assumptions'!L45</f>
        <v>0</v>
      </c>
      <c r="M44" s="7">
        <f>M42*'Forecasting Assumptions'!M45</f>
        <v>0</v>
      </c>
      <c r="N44" s="7">
        <f>N42*'Forecasting Assumptions'!N45</f>
        <v>0</v>
      </c>
      <c r="O44" s="7">
        <f>O42*'Forecasting Assumptions'!O45</f>
        <v>0</v>
      </c>
      <c r="P44" s="7">
        <f>P42*'Forecasting Assumptions'!P45</f>
        <v>0</v>
      </c>
      <c r="Q44" s="7">
        <f>Q42*'Forecasting Assumptions'!Q45</f>
        <v>0</v>
      </c>
      <c r="R44" s="7">
        <f>R42*'Forecasting Assumptions'!R45</f>
        <v>0</v>
      </c>
    </row>
    <row r="45" spans="1:18">
      <c r="A45" s="14" t="s">
        <v>49</v>
      </c>
      <c r="B45" s="11">
        <f t="shared" si="22"/>
        <v>1174800</v>
      </c>
      <c r="C45" s="11">
        <f t="shared" si="22"/>
        <v>1416400</v>
      </c>
      <c r="D45" s="11">
        <f t="shared" si="22"/>
        <v>1336500</v>
      </c>
      <c r="E45" s="11">
        <f t="shared" si="22"/>
        <v>1480500</v>
      </c>
      <c r="F45" s="11">
        <f t="shared" si="22"/>
        <v>1884200</v>
      </c>
      <c r="G45" s="213">
        <f>-G13*'Forecasting Assumptions'!G33</f>
        <v>1943856.52630716</v>
      </c>
      <c r="H45" s="7">
        <f>-H13*'Forecasting Assumptions'!H33</f>
        <v>2005078.90110798</v>
      </c>
      <c r="I45" s="7">
        <f>-I13*'Forecasting Assumptions'!I33</f>
        <v>2067896.3577274</v>
      </c>
      <c r="J45" s="7">
        <f>-J13*'Forecasting Assumptions'!J33</f>
        <v>2132338.26000993</v>
      </c>
      <c r="K45" s="7">
        <f>-K13*'Forecasting Assumptions'!K33</f>
        <v>2198434.0869373</v>
      </c>
      <c r="L45" s="7">
        <f>-L13*'Forecasting Assumptions'!L33</f>
        <v>2266213.41666349</v>
      </c>
      <c r="M45" s="7">
        <f>-M13*'Forecasting Assumptions'!M33</f>
        <v>2335705.90996447</v>
      </c>
      <c r="N45" s="7">
        <f>-N13*'Forecasting Assumptions'!N33</f>
        <v>2406941.29310094</v>
      </c>
      <c r="O45" s="7">
        <f>-O13*'Forecasting Assumptions'!O33</f>
        <v>2479949.34009245</v>
      </c>
      <c r="P45" s="7">
        <f>-P13*'Forecasting Assumptions'!P33</f>
        <v>2554759.85440251</v>
      </c>
      <c r="Q45" s="7">
        <f>-Q13*'Forecasting Assumptions'!Q33</f>
        <v>2631402.65003459</v>
      </c>
      <c r="R45" s="7">
        <f>-R13*'Forecasting Assumptions'!R33</f>
        <v>2710344.72953562</v>
      </c>
    </row>
    <row r="46" spans="1:18">
      <c r="A46" s="14" t="s">
        <v>50</v>
      </c>
      <c r="B46" s="11">
        <f t="shared" si="22"/>
        <v>31500</v>
      </c>
      <c r="C46" s="11">
        <f t="shared" si="22"/>
        <v>60000</v>
      </c>
      <c r="D46" s="11">
        <f t="shared" si="22"/>
        <v>62700</v>
      </c>
      <c r="E46" s="11">
        <f t="shared" si="22"/>
        <v>86300</v>
      </c>
      <c r="F46" s="11">
        <f t="shared" si="22"/>
        <v>82600</v>
      </c>
      <c r="G46" s="213">
        <f>G12*'Forecasting Assumptions'!G34</f>
        <v>85215.2367439611</v>
      </c>
      <c r="H46" s="7">
        <f>H12*'Forecasting Assumptions'!H34</f>
        <v>87899.1175201777</v>
      </c>
      <c r="I46" s="7">
        <f>I12*'Forecasting Assumptions'!I34</f>
        <v>90652.9238659818</v>
      </c>
      <c r="J46" s="7">
        <f>J12*'Forecasting Assumptions'!J34</f>
        <v>93477.9430404522</v>
      </c>
      <c r="K46" s="7">
        <f>K12*'Forecasting Assumptions'!K34</f>
        <v>96375.4673500802</v>
      </c>
      <c r="L46" s="7">
        <f>L12*'Forecasting Assumptions'!L34</f>
        <v>99346.7934488928</v>
      </c>
      <c r="M46" s="7">
        <f>M12*'Forecasting Assumptions'!M34</f>
        <v>102393.221612921</v>
      </c>
      <c r="N46" s="7">
        <f>N12*'Forecasting Assumptions'!N34</f>
        <v>105516.054988928</v>
      </c>
      <c r="O46" s="7">
        <f>O12*'Forecasting Assumptions'!O34</f>
        <v>108716.598817342</v>
      </c>
      <c r="P46" s="7">
        <f>P12*'Forecasting Assumptions'!P34</f>
        <v>111996.159629364</v>
      </c>
      <c r="Q46" s="7">
        <f>Q12*'Forecasting Assumptions'!Q34</f>
        <v>115356.044418245</v>
      </c>
      <c r="R46" s="7">
        <f>R12*'Forecasting Assumptions'!R34</f>
        <v>118816.725750792</v>
      </c>
    </row>
    <row r="47" spans="1:18">
      <c r="A47" s="14" t="s">
        <v>51</v>
      </c>
      <c r="B47" s="11">
        <f t="shared" si="22"/>
        <v>736900</v>
      </c>
      <c r="C47" s="11">
        <f t="shared" si="22"/>
        <v>619300</v>
      </c>
      <c r="D47" s="11">
        <f t="shared" si="22"/>
        <v>1897300</v>
      </c>
      <c r="E47" s="11">
        <f t="shared" si="22"/>
        <v>2163500</v>
      </c>
      <c r="F47" s="11">
        <f t="shared" si="22"/>
        <v>2209800</v>
      </c>
      <c r="G47" s="213">
        <f>G12*'Forecasting Assumptions'!G35</f>
        <v>2279765.49826641</v>
      </c>
      <c r="H47" s="7">
        <f>H12*'Forecasting Assumptions'!H35</f>
        <v>2351567.43215604</v>
      </c>
      <c r="I47" s="7">
        <f>I12*'Forecasting Assumptions'!I35</f>
        <v>2425240.08667127</v>
      </c>
      <c r="J47" s="7">
        <f>J12*'Forecasting Assumptions'!J35</f>
        <v>2500817.89988851</v>
      </c>
      <c r="K47" s="7">
        <f>K12*'Forecasting Assumptions'!K35</f>
        <v>2578335.44491776</v>
      </c>
      <c r="L47" s="7">
        <f>L12*'Forecasting Assumptions'!L35</f>
        <v>2657827.41117873</v>
      </c>
      <c r="M47" s="7">
        <f>M12*'Forecasting Assumptions'!M35</f>
        <v>2739328.58499071</v>
      </c>
      <c r="N47" s="7">
        <f>N12*'Forecasting Assumptions'!N35</f>
        <v>2822873.82947376</v>
      </c>
      <c r="O47" s="7">
        <f>O12*'Forecasting Assumptions'!O35</f>
        <v>2908498.06375984</v>
      </c>
      <c r="P47" s="7">
        <f>P12*'Forecasting Assumptions'!P35</f>
        <v>2996236.24151293</v>
      </c>
      <c r="Q47" s="7">
        <f>Q12*'Forecasting Assumptions'!Q35</f>
        <v>3086123.32875832</v>
      </c>
      <c r="R47" s="7">
        <f>R12*'Forecasting Assumptions'!R35</f>
        <v>3178707.02862107</v>
      </c>
    </row>
    <row r="48" spans="1:18">
      <c r="A48" s="14" t="s">
        <v>52</v>
      </c>
      <c r="B48" s="189">
        <f>SUM(B44:B47)</f>
        <v>2859100</v>
      </c>
      <c r="C48" s="189">
        <f>SUM(C44:C47)</f>
        <v>2095700</v>
      </c>
      <c r="D48" s="189">
        <f>SUM(D44:D47)</f>
        <v>3546500</v>
      </c>
      <c r="E48" s="189">
        <f>SUM(E44:E47)</f>
        <v>3730300</v>
      </c>
      <c r="F48" s="189">
        <f>SUM(F44:F47)</f>
        <v>4176600</v>
      </c>
      <c r="G48" s="7">
        <f t="shared" ref="G48:L48" si="23">G44+G45+G46+G47</f>
        <v>4308837.26131753</v>
      </c>
      <c r="H48" s="7">
        <f t="shared" si="23"/>
        <v>4444545.45078419</v>
      </c>
      <c r="I48" s="7">
        <f t="shared" si="23"/>
        <v>4583789.36826465</v>
      </c>
      <c r="J48" s="7">
        <f t="shared" si="23"/>
        <v>4726634.10293889</v>
      </c>
      <c r="K48" s="7">
        <f t="shared" si="23"/>
        <v>4873144.99920514</v>
      </c>
      <c r="L48" s="7">
        <f t="shared" si="23"/>
        <v>5023387.62129111</v>
      </c>
      <c r="M48" s="7">
        <f t="shared" ref="M48:R48" si="24">M44+M45+M46+M47</f>
        <v>5177427.7165681</v>
      </c>
      <c r="N48" s="7">
        <f t="shared" si="24"/>
        <v>5335331.17756363</v>
      </c>
      <c r="O48" s="7">
        <f t="shared" si="24"/>
        <v>5497164.00266963</v>
      </c>
      <c r="P48" s="7">
        <f t="shared" si="24"/>
        <v>5662992.25554481</v>
      </c>
      <c r="Q48" s="7">
        <f t="shared" si="24"/>
        <v>5832882.02321115</v>
      </c>
      <c r="R48" s="7">
        <f t="shared" si="24"/>
        <v>6007868.48390749</v>
      </c>
    </row>
    <row r="49" spans="1:18">
      <c r="A49" s="14" t="s">
        <v>53</v>
      </c>
      <c r="B49" s="11">
        <f t="shared" ref="B49:F51" si="25">B109</f>
        <v>4762100</v>
      </c>
      <c r="C49" s="11">
        <f t="shared" si="25"/>
        <v>4265300</v>
      </c>
      <c r="D49" s="11">
        <f t="shared" si="25"/>
        <v>3522200</v>
      </c>
      <c r="E49" s="11">
        <f t="shared" si="25"/>
        <v>3226200</v>
      </c>
      <c r="F49" s="11">
        <f t="shared" si="25"/>
        <v>3417000</v>
      </c>
      <c r="G49" s="213">
        <f>G42*'Forecasting Assumptions'!G46</f>
        <v>3525187.21494086</v>
      </c>
      <c r="H49" s="7">
        <f>H42*'Forecasting Assumptions'!H46</f>
        <v>3636214.0988674</v>
      </c>
      <c r="I49" s="7">
        <f>I42*'Forecasting Assumptions'!I46</f>
        <v>3750133.66646562</v>
      </c>
      <c r="J49" s="7">
        <f>J42*'Forecasting Assumptions'!J46</f>
        <v>3866999.16911895</v>
      </c>
      <c r="K49" s="7">
        <f>K42*'Forecasting Assumptions'!K46</f>
        <v>3986864.0670124</v>
      </c>
      <c r="L49" s="7">
        <f>L42*'Forecasting Assumptions'!L46</f>
        <v>4109782.00017999</v>
      </c>
      <c r="M49" s="7">
        <f>M42*'Forecasting Assumptions'!M46</f>
        <v>4235806.75849093</v>
      </c>
      <c r="N49" s="7">
        <f>N42*'Forecasting Assumptions'!N46</f>
        <v>4364992.25057102</v>
      </c>
      <c r="O49" s="7">
        <f>O42*'Forecasting Assumptions'!O46</f>
        <v>4497392.47165688</v>
      </c>
      <c r="P49" s="7">
        <f>P42*'Forecasting Assumptions'!P46</f>
        <v>4633061.4703818</v>
      </c>
      <c r="Q49" s="7">
        <f>Q42*'Forecasting Assumptions'!Q46</f>
        <v>4772053.31449325</v>
      </c>
      <c r="R49" s="7">
        <f>R42*'Forecasting Assumptions'!R46</f>
        <v>4915214.91392805</v>
      </c>
    </row>
    <row r="50" spans="1:18">
      <c r="A50" s="14" t="s">
        <v>54</v>
      </c>
      <c r="B50" s="11">
        <f t="shared" si="25"/>
        <v>544100</v>
      </c>
      <c r="C50" s="11">
        <f t="shared" si="25"/>
        <v>524100</v>
      </c>
      <c r="D50" s="11">
        <f t="shared" si="25"/>
        <v>5266400</v>
      </c>
      <c r="E50" s="11">
        <f t="shared" si="25"/>
        <v>5440700</v>
      </c>
      <c r="F50" s="11">
        <f t="shared" si="25"/>
        <v>5422500</v>
      </c>
      <c r="G50" s="213">
        <f>G12*'Forecasting Assumptions'!G42</f>
        <v>5594184.27656331</v>
      </c>
      <c r="H50" s="7">
        <f>H12*'Forecasting Assumptions'!H42</f>
        <v>5770374.87594629</v>
      </c>
      <c r="I50" s="7">
        <f>I12*'Forecasting Assumptions'!I42</f>
        <v>5951155.92812696</v>
      </c>
      <c r="J50" s="7">
        <f>J12*'Forecasting Assumptions'!J42</f>
        <v>6136611.93870281</v>
      </c>
      <c r="K50" s="7">
        <f>K12*'Forecasting Assumptions'!K42</f>
        <v>6326827.74462239</v>
      </c>
      <c r="L50" s="7">
        <f>L12*'Forecasting Assumptions'!L42</f>
        <v>6521888.46823997</v>
      </c>
      <c r="M50" s="7">
        <f>M12*'Forecasting Assumptions'!M42</f>
        <v>6721879.469686</v>
      </c>
      <c r="N50" s="7">
        <f>N12*'Forecasting Assumptions'!N42</f>
        <v>6926886.29754796</v>
      </c>
      <c r="O50" s="7">
        <f>O12*'Forecasting Assumptions'!O42</f>
        <v>7136994.6378576</v>
      </c>
      <c r="P50" s="7">
        <f>P12*'Forecasting Assumptions'!P42</f>
        <v>7352290.26138288</v>
      </c>
      <c r="Q50" s="7">
        <f>Q12*'Forecasting Assumptions'!Q42</f>
        <v>7572858.96922436</v>
      </c>
      <c r="R50" s="7">
        <f>R12*'Forecasting Assumptions'!R42</f>
        <v>7800044.7383011</v>
      </c>
    </row>
    <row r="51" spans="1:18">
      <c r="A51" s="14" t="s">
        <v>55</v>
      </c>
      <c r="B51" s="11">
        <f t="shared" si="25"/>
        <v>985200</v>
      </c>
      <c r="C51" s="11">
        <f t="shared" si="25"/>
        <v>973200</v>
      </c>
      <c r="D51" s="11">
        <f t="shared" si="25"/>
        <v>984700</v>
      </c>
      <c r="E51" s="11">
        <f t="shared" si="25"/>
        <v>1013500</v>
      </c>
      <c r="F51" s="11">
        <f t="shared" si="25"/>
        <v>987200</v>
      </c>
      <c r="G51" s="213">
        <f>G12*'Forecasting Assumptions'!G43</f>
        <v>1018456.19508037</v>
      </c>
      <c r="H51" s="7">
        <f>H12*'Forecasting Assumptions'!H43</f>
        <v>1050532.79438159</v>
      </c>
      <c r="I51" s="7">
        <f>I12*'Forecasting Assumptions'!I43</f>
        <v>1083445.11429173</v>
      </c>
      <c r="J51" s="7">
        <f>J12*'Forecasting Assumptions'!J43</f>
        <v>1117208.53958274</v>
      </c>
      <c r="K51" s="7">
        <f>K12*'Forecasting Assumptions'!K43</f>
        <v>1151838.51535108</v>
      </c>
      <c r="L51" s="7">
        <f>L12*'Forecasting Assumptions'!L43</f>
        <v>1187350.53865311</v>
      </c>
      <c r="M51" s="7">
        <f>M12*'Forecasting Assumptions'!M43</f>
        <v>1223760.14983384</v>
      </c>
      <c r="N51" s="7">
        <f>N12*'Forecasting Assumptions'!N43</f>
        <v>1261082.92354806</v>
      </c>
      <c r="O51" s="7">
        <f>O12*'Forecasting Assumptions'!O43</f>
        <v>1299334.45947313</v>
      </c>
      <c r="P51" s="7">
        <f>P12*'Forecasting Assumptions'!P43</f>
        <v>1338530.37271317</v>
      </c>
      <c r="Q51" s="7">
        <f>Q12*'Forecasting Assumptions'!Q43</f>
        <v>1378686.28389457</v>
      </c>
      <c r="R51" s="7">
        <f>R12*'Forecasting Assumptions'!R43</f>
        <v>1420046.8724114</v>
      </c>
    </row>
    <row r="52" spans="1:18">
      <c r="A52" s="14" t="s">
        <v>56</v>
      </c>
      <c r="B52" s="189">
        <f t="shared" ref="B52:G52" si="26">SUM(B48:B51)</f>
        <v>9150500</v>
      </c>
      <c r="C52" s="189">
        <f t="shared" si="26"/>
        <v>7858300</v>
      </c>
      <c r="D52" s="189">
        <f t="shared" si="26"/>
        <v>13319800</v>
      </c>
      <c r="E52" s="189">
        <f t="shared" si="26"/>
        <v>13410700</v>
      </c>
      <c r="F52" s="189">
        <f t="shared" si="26"/>
        <v>14003300</v>
      </c>
      <c r="G52" s="7">
        <f t="shared" si="26"/>
        <v>14446664.9479021</v>
      </c>
      <c r="H52" s="7">
        <f t="shared" ref="H52:R52" si="27">SUM(H48:H51)</f>
        <v>14901667.2199795</v>
      </c>
      <c r="I52" s="7">
        <f t="shared" si="27"/>
        <v>15368524.077149</v>
      </c>
      <c r="J52" s="7">
        <f t="shared" si="27"/>
        <v>15847453.7503434</v>
      </c>
      <c r="K52" s="7">
        <f t="shared" si="27"/>
        <v>16338675.326191</v>
      </c>
      <c r="L52" s="7">
        <f t="shared" si="27"/>
        <v>16842408.6283642</v>
      </c>
      <c r="M52" s="7">
        <f t="shared" si="27"/>
        <v>17358874.0945789</v>
      </c>
      <c r="N52" s="7">
        <f t="shared" si="27"/>
        <v>17888292.6492307</v>
      </c>
      <c r="O52" s="7">
        <f t="shared" si="27"/>
        <v>18430885.5716572</v>
      </c>
      <c r="P52" s="7">
        <f t="shared" si="27"/>
        <v>18986874.3600227</v>
      </c>
      <c r="Q52" s="7">
        <f t="shared" si="27"/>
        <v>19556480.5908233</v>
      </c>
      <c r="R52" s="7">
        <f t="shared" si="27"/>
        <v>20143175.008548</v>
      </c>
    </row>
    <row r="53" spans="1:18">
      <c r="A53" s="14" t="s">
        <v>57</v>
      </c>
      <c r="B53" s="11">
        <f>B112</f>
        <v>0</v>
      </c>
      <c r="C53" s="11">
        <f>C112</f>
        <v>0</v>
      </c>
      <c r="D53" s="11">
        <f>D112</f>
        <v>0</v>
      </c>
      <c r="E53" s="11">
        <f>E112</f>
        <v>0</v>
      </c>
      <c r="F53" s="11">
        <f>F112</f>
        <v>0</v>
      </c>
      <c r="G53" s="213">
        <f>G42*'Forecasting Assumptions'!G47</f>
        <v>0</v>
      </c>
      <c r="H53" s="7">
        <f>H42*'Forecasting Assumptions'!H47</f>
        <v>0</v>
      </c>
      <c r="I53" s="7">
        <f>I42*'Forecasting Assumptions'!I47</f>
        <v>0</v>
      </c>
      <c r="J53" s="7">
        <f>J42*'Forecasting Assumptions'!J47</f>
        <v>0</v>
      </c>
      <c r="K53" s="7">
        <f>K42*'Forecasting Assumptions'!K47</f>
        <v>0</v>
      </c>
      <c r="L53" s="7">
        <f>L42*'Forecasting Assumptions'!L47</f>
        <v>0</v>
      </c>
      <c r="M53" s="7">
        <f>M42*'Forecasting Assumptions'!M47</f>
        <v>0</v>
      </c>
      <c r="N53" s="7">
        <f>N42*'Forecasting Assumptions'!N47</f>
        <v>0</v>
      </c>
      <c r="O53" s="7">
        <f>O42*'Forecasting Assumptions'!O47</f>
        <v>0</v>
      </c>
      <c r="P53" s="7">
        <f>P42*'Forecasting Assumptions'!P47</f>
        <v>0</v>
      </c>
      <c r="Q53" s="7">
        <f>Q42*'Forecasting Assumptions'!Q47</f>
        <v>0</v>
      </c>
      <c r="R53" s="7">
        <f>R42*'Forecasting Assumptions'!R47</f>
        <v>0</v>
      </c>
    </row>
    <row r="54" spans="1:18">
      <c r="A54" s="14" t="s">
        <v>58</v>
      </c>
      <c r="B54" s="11">
        <f t="shared" ref="B54:F56" si="28">B113</f>
        <v>0</v>
      </c>
      <c r="C54" s="11">
        <f t="shared" si="28"/>
        <v>0</v>
      </c>
      <c r="D54" s="11">
        <f t="shared" si="28"/>
        <v>0</v>
      </c>
      <c r="E54" s="11">
        <f t="shared" si="28"/>
        <v>0</v>
      </c>
      <c r="F54" s="11">
        <f t="shared" si="28"/>
        <v>0</v>
      </c>
      <c r="G54" s="213">
        <f>G42*'Forecasting Assumptions'!G48</f>
        <v>0</v>
      </c>
      <c r="H54" s="7">
        <f>H42*'Forecasting Assumptions'!H48</f>
        <v>0</v>
      </c>
      <c r="I54" s="7">
        <f>I42*'Forecasting Assumptions'!I48</f>
        <v>0</v>
      </c>
      <c r="J54" s="7">
        <f>J42*'Forecasting Assumptions'!J48</f>
        <v>0</v>
      </c>
      <c r="K54" s="7">
        <f>K42*'Forecasting Assumptions'!K48</f>
        <v>0</v>
      </c>
      <c r="L54" s="7">
        <f>L42*'Forecasting Assumptions'!L48</f>
        <v>0</v>
      </c>
      <c r="M54" s="7">
        <f>M42*'Forecasting Assumptions'!M48</f>
        <v>0</v>
      </c>
      <c r="N54" s="7">
        <f>N42*'Forecasting Assumptions'!N48</f>
        <v>0</v>
      </c>
      <c r="O54" s="7">
        <f>O42*'Forecasting Assumptions'!O48</f>
        <v>0</v>
      </c>
      <c r="P54" s="7">
        <f>P42*'Forecasting Assumptions'!P48</f>
        <v>0</v>
      </c>
      <c r="Q54" s="7">
        <f>Q42*'Forecasting Assumptions'!Q48</f>
        <v>0</v>
      </c>
      <c r="R54" s="7">
        <f>R42*'Forecasting Assumptions'!R48</f>
        <v>0</v>
      </c>
    </row>
    <row r="55" spans="1:18">
      <c r="A55" s="14" t="s">
        <v>59</v>
      </c>
      <c r="B55" s="11">
        <f t="shared" si="28"/>
        <v>2515400</v>
      </c>
      <c r="C55" s="11">
        <f t="shared" si="28"/>
        <v>2566800</v>
      </c>
      <c r="D55" s="11">
        <f t="shared" si="28"/>
        <v>2417000</v>
      </c>
      <c r="E55" s="11">
        <f t="shared" si="28"/>
        <v>2105600</v>
      </c>
      <c r="F55" s="11">
        <f t="shared" si="28"/>
        <v>1210900</v>
      </c>
      <c r="G55" s="213">
        <f t="shared" ref="G55:L55" si="29">G57-G56</f>
        <v>87278.0646317722</v>
      </c>
      <c r="H55" s="7">
        <f t="shared" si="29"/>
        <v>-1073002.65922272</v>
      </c>
      <c r="I55" s="7">
        <f t="shared" si="29"/>
        <v>-2270944.1842896</v>
      </c>
      <c r="J55" s="7">
        <f t="shared" si="29"/>
        <v>-3507568.62299595</v>
      </c>
      <c r="K55" s="7">
        <f t="shared" si="29"/>
        <v>-4783918.33075948</v>
      </c>
      <c r="L55" s="7">
        <f t="shared" si="29"/>
        <v>-6101056.04042582</v>
      </c>
      <c r="M55" s="7">
        <f t="shared" ref="M55:R55" si="30">M57-M56</f>
        <v>-7460064.98745282</v>
      </c>
      <c r="N55" s="7">
        <f t="shared" si="30"/>
        <v>-8862049.02543705</v>
      </c>
      <c r="O55" s="7">
        <f t="shared" si="30"/>
        <v>-10308132.7315744</v>
      </c>
      <c r="P55" s="7">
        <f t="shared" si="30"/>
        <v>-11799461.5016436</v>
      </c>
      <c r="Q55" s="7">
        <f t="shared" si="30"/>
        <v>-13337201.6340992</v>
      </c>
      <c r="R55" s="7">
        <f t="shared" si="30"/>
        <v>-14921073.9705285</v>
      </c>
    </row>
    <row r="56" spans="1:18">
      <c r="A56" s="14" t="s">
        <v>60</v>
      </c>
      <c r="B56" s="11">
        <f t="shared" si="28"/>
        <v>4666900</v>
      </c>
      <c r="C56" s="11">
        <f t="shared" si="28"/>
        <v>3076100</v>
      </c>
      <c r="D56" s="11">
        <f t="shared" si="28"/>
        <v>3837800</v>
      </c>
      <c r="E56" s="11">
        <f t="shared" si="28"/>
        <v>5179700</v>
      </c>
      <c r="F56" s="11">
        <f t="shared" si="28"/>
        <v>6507600</v>
      </c>
      <c r="G56" s="213">
        <f t="shared" ref="G56:L56" si="31">G66</f>
        <v>7875600.92820435</v>
      </c>
      <c r="H56" s="7">
        <f t="shared" si="31"/>
        <v>9286675.03911972</v>
      </c>
      <c r="I56" s="7">
        <f t="shared" si="31"/>
        <v>10741944.0978438</v>
      </c>
      <c r="J56" s="7">
        <f t="shared" si="31"/>
        <v>12242550.5038401</v>
      </c>
      <c r="K56" s="7">
        <f t="shared" si="31"/>
        <v>13789657.3712146</v>
      </c>
      <c r="L56" s="7">
        <f t="shared" si="31"/>
        <v>15384448.5977537</v>
      </c>
      <c r="M56" s="7">
        <f t="shared" ref="M56:R56" si="32">M66</f>
        <v>17028128.9223115</v>
      </c>
      <c r="N56" s="7">
        <f t="shared" si="32"/>
        <v>18721923.9701349</v>
      </c>
      <c r="O56" s="7">
        <f t="shared" si="32"/>
        <v>20467080.2857106</v>
      </c>
      <c r="P56" s="7">
        <f t="shared" si="32"/>
        <v>22264865.352724</v>
      </c>
      <c r="Q56" s="7">
        <f t="shared" si="32"/>
        <v>24116567.6007121</v>
      </c>
      <c r="R56" s="7">
        <f t="shared" si="32"/>
        <v>26023820.9161398</v>
      </c>
    </row>
    <row r="57" spans="1:18">
      <c r="A57" s="14" t="s">
        <v>61</v>
      </c>
      <c r="B57" s="189">
        <f>SUM(B55:B56)</f>
        <v>7182300</v>
      </c>
      <c r="C57" s="189">
        <f>SUM(C55:C56)</f>
        <v>5642900</v>
      </c>
      <c r="D57" s="189">
        <f>SUM(D55:D56)</f>
        <v>6254800</v>
      </c>
      <c r="E57" s="189">
        <f>SUM(E55:E56)</f>
        <v>7285300</v>
      </c>
      <c r="F57" s="189">
        <f>SUM(F55:F56)</f>
        <v>7718500</v>
      </c>
      <c r="G57" s="7">
        <f>G58-G52-G53-G54</f>
        <v>7962878.99283613</v>
      </c>
      <c r="H57" s="7">
        <f t="shared" ref="H57:R57" si="33">H58-H52-H53-H54</f>
        <v>8213672.37989699</v>
      </c>
      <c r="I57" s="7">
        <f t="shared" si="33"/>
        <v>8470999.91355425</v>
      </c>
      <c r="J57" s="7">
        <f t="shared" si="33"/>
        <v>8734981.88084419</v>
      </c>
      <c r="K57" s="7">
        <f t="shared" si="33"/>
        <v>9005739.04045513</v>
      </c>
      <c r="L57" s="7">
        <f t="shared" si="33"/>
        <v>9283392.55732784</v>
      </c>
      <c r="M57" s="7">
        <f t="shared" si="33"/>
        <v>9568063.93485872</v>
      </c>
      <c r="N57" s="7">
        <f t="shared" si="33"/>
        <v>9859874.94469782</v>
      </c>
      <c r="O57" s="7">
        <f t="shared" si="33"/>
        <v>10158947.5541363</v>
      </c>
      <c r="P57" s="7">
        <f t="shared" si="33"/>
        <v>10465403.8510804</v>
      </c>
      <c r="Q57" s="7">
        <f t="shared" si="33"/>
        <v>10779365.9666129</v>
      </c>
      <c r="R57" s="7">
        <f t="shared" si="33"/>
        <v>11102746.9456112</v>
      </c>
    </row>
    <row r="58" ht="15.95" spans="1:18">
      <c r="A58" s="14" t="s">
        <v>62</v>
      </c>
      <c r="B58" s="190">
        <f>SUM(B52:B56)</f>
        <v>16332800</v>
      </c>
      <c r="C58" s="190">
        <f>SUM(C52:C56)</f>
        <v>13501200</v>
      </c>
      <c r="D58" s="190">
        <f>SUM(D52:D56)</f>
        <v>19574600</v>
      </c>
      <c r="E58" s="190">
        <f>SUM(E52:E56)</f>
        <v>20696000</v>
      </c>
      <c r="F58" s="190">
        <f>SUM(F52:F56)</f>
        <v>21721800</v>
      </c>
      <c r="G58" s="219">
        <f t="shared" ref="G58:L58" si="34">G42</f>
        <v>22409543.9407382</v>
      </c>
      <c r="H58" s="219">
        <f t="shared" si="34"/>
        <v>23115339.5998765</v>
      </c>
      <c r="I58" s="219">
        <f t="shared" si="34"/>
        <v>23839523.9907032</v>
      </c>
      <c r="J58" s="219">
        <f t="shared" si="34"/>
        <v>24582435.6311876</v>
      </c>
      <c r="K58" s="219">
        <f t="shared" si="34"/>
        <v>25344414.3666461</v>
      </c>
      <c r="L58" s="219">
        <f t="shared" si="34"/>
        <v>26125801.185692</v>
      </c>
      <c r="M58" s="219">
        <f t="shared" ref="M58:R58" si="35">M42</f>
        <v>26926938.0294376</v>
      </c>
      <c r="N58" s="219">
        <f t="shared" si="35"/>
        <v>27748167.5939285</v>
      </c>
      <c r="O58" s="219">
        <f t="shared" si="35"/>
        <v>28589833.1257935</v>
      </c>
      <c r="P58" s="219">
        <f t="shared" si="35"/>
        <v>29452278.2111031</v>
      </c>
      <c r="Q58" s="219">
        <f t="shared" si="35"/>
        <v>30335846.5574362</v>
      </c>
      <c r="R58" s="219">
        <f t="shared" si="35"/>
        <v>31245921.9541593</v>
      </c>
    </row>
    <row r="59" ht="15.95" spans="1:18">
      <c r="A59" s="208"/>
      <c r="B59" s="206" t="str">
        <f>IF(B58=B42," ","Error! A =L+E?")</f>
        <v> </v>
      </c>
      <c r="C59" s="206" t="str">
        <f>IF(C58=C42," ","Error! A =L+E?")</f>
        <v> </v>
      </c>
      <c r="D59" s="206" t="str">
        <f>IF(D58=D42," ","Error! A =L+E?")</f>
        <v> </v>
      </c>
      <c r="E59" s="206" t="str">
        <f>IF(E58=E42," ","Error! A =L+E?")</f>
        <v> </v>
      </c>
      <c r="F59" s="206" t="str">
        <f>IF(F58=F42," ","Error! A =L+E?")</f>
        <v> </v>
      </c>
      <c r="G59" s="206" t="str">
        <f t="shared" ref="G59:R59" si="36">IF(G58=G42," ","Error! A =L+E?")</f>
        <v> </v>
      </c>
      <c r="H59" s="206" t="str">
        <f t="shared" si="36"/>
        <v> </v>
      </c>
      <c r="I59" s="206" t="str">
        <f t="shared" si="36"/>
        <v> </v>
      </c>
      <c r="J59" s="206" t="str">
        <f t="shared" si="36"/>
        <v> </v>
      </c>
      <c r="K59" s="206" t="str">
        <f t="shared" si="36"/>
        <v> </v>
      </c>
      <c r="L59" s="206" t="str">
        <f t="shared" si="36"/>
        <v> </v>
      </c>
      <c r="M59" s="206" t="str">
        <f t="shared" si="36"/>
        <v> </v>
      </c>
      <c r="N59" s="206" t="str">
        <f t="shared" si="36"/>
        <v> </v>
      </c>
      <c r="O59" s="206" t="str">
        <f t="shared" si="36"/>
        <v> </v>
      </c>
      <c r="P59" s="206" t="str">
        <f t="shared" si="36"/>
        <v> </v>
      </c>
      <c r="Q59" s="206" t="str">
        <f t="shared" si="36"/>
        <v> </v>
      </c>
      <c r="R59" s="206" t="str">
        <f t="shared" si="36"/>
        <v> </v>
      </c>
    </row>
    <row r="60" spans="1:17">
      <c r="A60" s="17" t="s">
        <v>63</v>
      </c>
      <c r="B60" s="207"/>
      <c r="C60" s="207"/>
      <c r="D60" s="207"/>
      <c r="E60" s="189"/>
      <c r="F60" s="189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>
      <c r="A61" s="17"/>
      <c r="B61" s="207"/>
      <c r="C61" s="207"/>
      <c r="D61" s="207"/>
      <c r="E61" s="189"/>
      <c r="F61" s="189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8">
      <c r="A62" s="14" t="s">
        <v>64</v>
      </c>
      <c r="B62" s="189"/>
      <c r="C62" s="189">
        <f>B56</f>
        <v>4666900</v>
      </c>
      <c r="D62" s="189">
        <f>C56</f>
        <v>3076100</v>
      </c>
      <c r="E62" s="189">
        <f>D56</f>
        <v>3837800</v>
      </c>
      <c r="F62" s="189">
        <f>E56</f>
        <v>5179700</v>
      </c>
      <c r="G62" s="7">
        <f t="shared" ref="G62:L62" si="37">F56</f>
        <v>6507600</v>
      </c>
      <c r="H62" s="7">
        <f t="shared" si="37"/>
        <v>7875600.92820435</v>
      </c>
      <c r="I62" s="7">
        <f t="shared" si="37"/>
        <v>9286675.03911972</v>
      </c>
      <c r="J62" s="7">
        <f t="shared" si="37"/>
        <v>10741944.0978438</v>
      </c>
      <c r="K62" s="7">
        <f t="shared" si="37"/>
        <v>12242550.5038401</v>
      </c>
      <c r="L62" s="7">
        <f t="shared" si="37"/>
        <v>13789657.3712146</v>
      </c>
      <c r="M62" s="7">
        <f t="shared" ref="M62:R62" si="38">L56</f>
        <v>15384448.5977537</v>
      </c>
      <c r="N62" s="7">
        <f t="shared" si="38"/>
        <v>17028128.9223115</v>
      </c>
      <c r="O62" s="7">
        <f t="shared" si="38"/>
        <v>18721923.9701349</v>
      </c>
      <c r="P62" s="7">
        <f t="shared" si="38"/>
        <v>20467080.2857106</v>
      </c>
      <c r="Q62" s="7">
        <f t="shared" si="38"/>
        <v>22264865.352724</v>
      </c>
      <c r="R62" s="7">
        <f t="shared" si="38"/>
        <v>24116567.6007121</v>
      </c>
    </row>
    <row r="63" spans="1:18">
      <c r="A63" s="237" t="s">
        <v>65</v>
      </c>
      <c r="B63" s="189"/>
      <c r="C63" s="189">
        <f>C29</f>
        <v>-1590800</v>
      </c>
      <c r="D63" s="189">
        <f>D29</f>
        <v>827000</v>
      </c>
      <c r="E63" s="189">
        <f>E29</f>
        <v>1341900</v>
      </c>
      <c r="F63" s="189">
        <f>F29</f>
        <v>1327900</v>
      </c>
      <c r="G63" s="7">
        <f t="shared" ref="G63:L63" si="39">G29</f>
        <v>1368000.92820436</v>
      </c>
      <c r="H63" s="7">
        <f t="shared" si="39"/>
        <v>1411074.11091536</v>
      </c>
      <c r="I63" s="7">
        <f t="shared" si="39"/>
        <v>1455269.05872413</v>
      </c>
      <c r="J63" s="7">
        <f t="shared" si="39"/>
        <v>1500606.4059963</v>
      </c>
      <c r="K63" s="7">
        <f t="shared" si="39"/>
        <v>1547106.86737447</v>
      </c>
      <c r="L63" s="7">
        <f t="shared" si="39"/>
        <v>1594791.22653905</v>
      </c>
      <c r="M63" s="7">
        <f t="shared" ref="M63:R63" si="40">M29</f>
        <v>1643680.32455789</v>
      </c>
      <c r="N63" s="7">
        <f t="shared" si="40"/>
        <v>1693795.04782332</v>
      </c>
      <c r="O63" s="7">
        <f t="shared" si="40"/>
        <v>1745156.31557576</v>
      </c>
      <c r="P63" s="7">
        <f t="shared" si="40"/>
        <v>1797785.06701341</v>
      </c>
      <c r="Q63" s="7">
        <f t="shared" si="40"/>
        <v>1851702.24798805</v>
      </c>
      <c r="R63" s="7">
        <f t="shared" si="40"/>
        <v>1907253.31542769</v>
      </c>
    </row>
    <row r="64" spans="1:18">
      <c r="A64" s="237" t="s">
        <v>66</v>
      </c>
      <c r="B64" s="11">
        <f>-B116</f>
        <v>0</v>
      </c>
      <c r="C64" s="11">
        <f>-C116</f>
        <v>0</v>
      </c>
      <c r="D64" s="11">
        <f>-D116</f>
        <v>0</v>
      </c>
      <c r="E64" s="11">
        <f>-E116</f>
        <v>0</v>
      </c>
      <c r="F64" s="11">
        <f>-F116</f>
        <v>0</v>
      </c>
      <c r="G64" s="213">
        <f>-G29*'Forecasting Assumptions'!G49</f>
        <v>0</v>
      </c>
      <c r="H64" s="7">
        <f>-H29*'Forecasting Assumptions'!H49</f>
        <v>0</v>
      </c>
      <c r="I64" s="7">
        <f>-I29*'Forecasting Assumptions'!I49</f>
        <v>0</v>
      </c>
      <c r="J64" s="7">
        <f>-J29*'Forecasting Assumptions'!J49</f>
        <v>0</v>
      </c>
      <c r="K64" s="7">
        <f>-K29*'Forecasting Assumptions'!K49</f>
        <v>0</v>
      </c>
      <c r="L64" s="7">
        <f>-L29*'Forecasting Assumptions'!L49</f>
        <v>0</v>
      </c>
      <c r="M64" s="7">
        <f>-M29*'Forecasting Assumptions'!M49</f>
        <v>0</v>
      </c>
      <c r="N64" s="7">
        <f>-N29*'Forecasting Assumptions'!N49</f>
        <v>0</v>
      </c>
      <c r="O64" s="7">
        <f>-O29*'Forecasting Assumptions'!O49</f>
        <v>0</v>
      </c>
      <c r="P64" s="7">
        <f>-P29*'Forecasting Assumptions'!P49</f>
        <v>0</v>
      </c>
      <c r="Q64" s="7">
        <f>-Q29*'Forecasting Assumptions'!Q49</f>
        <v>0</v>
      </c>
      <c r="R64" s="7">
        <f>-R29*'Forecasting Assumptions'!R49</f>
        <v>0</v>
      </c>
    </row>
    <row r="65" spans="1:18">
      <c r="A65" s="237" t="s">
        <v>67</v>
      </c>
      <c r="B65" s="189"/>
      <c r="C65" s="189">
        <f>C66-C62-C63-C64</f>
        <v>0</v>
      </c>
      <c r="D65" s="189">
        <f>D66-D62-D63-D64</f>
        <v>-65300</v>
      </c>
      <c r="E65" s="189">
        <f>E66-E62-E63-E64</f>
        <v>0</v>
      </c>
      <c r="F65" s="189">
        <f>F66-F62-F63-F64</f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</row>
    <row r="66" ht="13.5" customHeight="1" spans="1:18">
      <c r="A66" s="237" t="s">
        <v>68</v>
      </c>
      <c r="B66" s="190"/>
      <c r="C66" s="190">
        <f>C56</f>
        <v>3076100</v>
      </c>
      <c r="D66" s="190">
        <f>D56</f>
        <v>3837800</v>
      </c>
      <c r="E66" s="190">
        <f>E56</f>
        <v>5179700</v>
      </c>
      <c r="F66" s="190">
        <f>F56</f>
        <v>6507600</v>
      </c>
      <c r="G66" s="219">
        <f>G62+G63+G64+G65</f>
        <v>7875600.92820435</v>
      </c>
      <c r="H66" s="219">
        <f t="shared" ref="H66:R66" si="41">H62+H63+H64+H65</f>
        <v>9286675.03911972</v>
      </c>
      <c r="I66" s="219">
        <f t="shared" si="41"/>
        <v>10741944.0978438</v>
      </c>
      <c r="J66" s="219">
        <f t="shared" si="41"/>
        <v>12242550.5038401</v>
      </c>
      <c r="K66" s="219">
        <f t="shared" si="41"/>
        <v>13789657.3712146</v>
      </c>
      <c r="L66" s="219">
        <f t="shared" si="41"/>
        <v>15384448.5977537</v>
      </c>
      <c r="M66" s="219">
        <f t="shared" si="41"/>
        <v>17028128.9223115</v>
      </c>
      <c r="N66" s="219">
        <f t="shared" si="41"/>
        <v>18721923.9701349</v>
      </c>
      <c r="O66" s="219">
        <f t="shared" si="41"/>
        <v>20467080.2857106</v>
      </c>
      <c r="P66" s="219">
        <f t="shared" si="41"/>
        <v>22264865.352724</v>
      </c>
      <c r="Q66" s="219">
        <f t="shared" si="41"/>
        <v>24116567.6007121</v>
      </c>
      <c r="R66" s="219">
        <f t="shared" si="41"/>
        <v>26023820.9161398</v>
      </c>
    </row>
    <row r="67" ht="15.95" spans="1:1">
      <c r="A67" s="205"/>
    </row>
    <row r="69" spans="1:1">
      <c r="A69" s="17" t="s">
        <v>69</v>
      </c>
    </row>
    <row r="70" spans="1:1">
      <c r="A70" s="17"/>
    </row>
    <row r="71" spans="1:18">
      <c r="A71" t="s">
        <v>70</v>
      </c>
      <c r="B71" s="189">
        <f t="shared" ref="B71:R71" si="42">B73-B72</f>
        <v>2017924.26056338</v>
      </c>
      <c r="C71" s="189">
        <f t="shared" si="42"/>
        <v>-1141146.82964095</v>
      </c>
      <c r="D71" s="189">
        <f t="shared" si="42"/>
        <v>949013.925548375</v>
      </c>
      <c r="E71" s="189">
        <f t="shared" si="42"/>
        <v>1455511.83469364</v>
      </c>
      <c r="F71" s="189">
        <f t="shared" si="42"/>
        <v>1473446.69158191</v>
      </c>
      <c r="G71" s="7">
        <f t="shared" si="42"/>
        <v>1520098.16770895</v>
      </c>
      <c r="H71" s="7">
        <f t="shared" si="42"/>
        <v>1567974.13926242</v>
      </c>
      <c r="I71" s="7">
        <f t="shared" si="42"/>
        <v>1617097.46673799</v>
      </c>
      <c r="J71" s="7">
        <f t="shared" si="42"/>
        <v>1667491.11269778</v>
      </c>
      <c r="K71" s="7">
        <f t="shared" si="42"/>
        <v>1719178.12974136</v>
      </c>
      <c r="L71" s="7">
        <f t="shared" si="42"/>
        <v>1772181.6480211</v>
      </c>
      <c r="M71" s="7">
        <f t="shared" si="42"/>
        <v>1826524.8622999</v>
      </c>
      <c r="N71" s="7">
        <f t="shared" si="42"/>
        <v>1882231.01854977</v>
      </c>
      <c r="O71" s="7">
        <f t="shared" si="42"/>
        <v>1939323.4000902</v>
      </c>
      <c r="P71" s="7">
        <f t="shared" si="42"/>
        <v>1997825.31326593</v>
      </c>
      <c r="Q71" s="7">
        <f t="shared" si="42"/>
        <v>2057760.07266391</v>
      </c>
      <c r="R71" s="7">
        <f t="shared" si="42"/>
        <v>2119492.87484383</v>
      </c>
    </row>
    <row r="72" spans="1:18">
      <c r="A72" t="s">
        <v>71</v>
      </c>
      <c r="B72" s="189">
        <f t="shared" ref="B72:R72" si="43">B20*(1-B74)+B28+B27</f>
        <v>-303624.26056338</v>
      </c>
      <c r="C72" s="189">
        <f t="shared" si="43"/>
        <v>-449653.170359053</v>
      </c>
      <c r="D72" s="189">
        <f t="shared" si="43"/>
        <v>-122013.925548375</v>
      </c>
      <c r="E72" s="189">
        <f t="shared" si="43"/>
        <v>-113611.834693643</v>
      </c>
      <c r="F72" s="189">
        <f t="shared" si="43"/>
        <v>-145546.691581914</v>
      </c>
      <c r="G72" s="7">
        <f t="shared" si="43"/>
        <v>-152097.239504592</v>
      </c>
      <c r="H72" s="7">
        <f t="shared" si="43"/>
        <v>-156900.028347056</v>
      </c>
      <c r="I72" s="7">
        <f t="shared" si="43"/>
        <v>-161828.408013861</v>
      </c>
      <c r="J72" s="7">
        <f t="shared" si="43"/>
        <v>-166884.706701484</v>
      </c>
      <c r="K72" s="7">
        <f t="shared" si="43"/>
        <v>-172071.262366893</v>
      </c>
      <c r="L72" s="7">
        <f t="shared" si="43"/>
        <v>-177390.421482052</v>
      </c>
      <c r="M72" s="7">
        <f t="shared" si="43"/>
        <v>-182844.537742017</v>
      </c>
      <c r="N72" s="7">
        <f t="shared" si="43"/>
        <v>-188435.970726453</v>
      </c>
      <c r="O72" s="7">
        <f t="shared" si="43"/>
        <v>-194167.084514446</v>
      </c>
      <c r="P72" s="7">
        <f t="shared" si="43"/>
        <v>-200040.246252525</v>
      </c>
      <c r="Q72" s="7">
        <f t="shared" si="43"/>
        <v>-206057.824675865</v>
      </c>
      <c r="R72" s="7">
        <f t="shared" si="43"/>
        <v>-212239.559416141</v>
      </c>
    </row>
    <row r="73" spans="1:18">
      <c r="A73" t="s">
        <v>72</v>
      </c>
      <c r="B73" s="189">
        <f>B29</f>
        <v>1714300</v>
      </c>
      <c r="C73" s="189">
        <f t="shared" ref="C73:R73" si="44">C29</f>
        <v>-1590800</v>
      </c>
      <c r="D73" s="189">
        <f t="shared" si="44"/>
        <v>827000</v>
      </c>
      <c r="E73" s="189">
        <f t="shared" si="44"/>
        <v>1341900</v>
      </c>
      <c r="F73" s="189">
        <f t="shared" si="44"/>
        <v>1327900</v>
      </c>
      <c r="G73" s="7">
        <f t="shared" si="44"/>
        <v>1368000.92820436</v>
      </c>
      <c r="H73" s="7">
        <f t="shared" si="44"/>
        <v>1411074.11091536</v>
      </c>
      <c r="I73" s="7">
        <f t="shared" si="44"/>
        <v>1455269.05872413</v>
      </c>
      <c r="J73" s="7">
        <f t="shared" si="44"/>
        <v>1500606.4059963</v>
      </c>
      <c r="K73" s="7">
        <f t="shared" si="44"/>
        <v>1547106.86737447</v>
      </c>
      <c r="L73" s="7">
        <f t="shared" si="44"/>
        <v>1594791.22653905</v>
      </c>
      <c r="M73" s="7">
        <f t="shared" si="44"/>
        <v>1643680.32455789</v>
      </c>
      <c r="N73" s="7">
        <f t="shared" si="44"/>
        <v>1693795.04782332</v>
      </c>
      <c r="O73" s="7">
        <f t="shared" si="44"/>
        <v>1745156.31557576</v>
      </c>
      <c r="P73" s="7">
        <f t="shared" si="44"/>
        <v>1797785.06701341</v>
      </c>
      <c r="Q73" s="7">
        <f t="shared" si="44"/>
        <v>1851702.24798805</v>
      </c>
      <c r="R73" s="7">
        <f t="shared" si="44"/>
        <v>1907253.31542769</v>
      </c>
    </row>
    <row r="74" spans="1:18">
      <c r="A74" t="s">
        <v>73</v>
      </c>
      <c r="B74" s="221">
        <f>-B23/B22</f>
        <v>-0.00604460093896714</v>
      </c>
      <c r="C74" s="221">
        <f t="shared" ref="C74:R74" si="45">-C23/C22</f>
        <v>-0.215278838808251</v>
      </c>
      <c r="D74" s="221">
        <f t="shared" si="45"/>
        <v>0.24729225448257</v>
      </c>
      <c r="E74" s="221">
        <f t="shared" si="45"/>
        <v>0.228704448787217</v>
      </c>
      <c r="F74" s="221">
        <f t="shared" si="45"/>
        <v>0.186435485847323</v>
      </c>
      <c r="G74" s="224">
        <f t="shared" si="45"/>
        <v>0.186435485847323</v>
      </c>
      <c r="H74" s="224">
        <f t="shared" si="45"/>
        <v>0.186435485847323</v>
      </c>
      <c r="I74" s="224">
        <f t="shared" si="45"/>
        <v>0.186435485847323</v>
      </c>
      <c r="J74" s="224">
        <f t="shared" si="45"/>
        <v>0.186435485847323</v>
      </c>
      <c r="K74" s="224">
        <f t="shared" si="45"/>
        <v>0.186435485847323</v>
      </c>
      <c r="L74" s="224">
        <f t="shared" si="45"/>
        <v>0.186435485847323</v>
      </c>
      <c r="M74" s="224">
        <f t="shared" si="45"/>
        <v>0.186435485847323</v>
      </c>
      <c r="N74" s="224">
        <f t="shared" si="45"/>
        <v>0.186435485847323</v>
      </c>
      <c r="O74" s="224">
        <f t="shared" si="45"/>
        <v>0.186435485847323</v>
      </c>
      <c r="P74" s="224">
        <f t="shared" si="45"/>
        <v>0.186435485847323</v>
      </c>
      <c r="Q74" s="224">
        <f t="shared" si="45"/>
        <v>0.186435485847323</v>
      </c>
      <c r="R74" s="224">
        <f t="shared" si="45"/>
        <v>0.186435485847323</v>
      </c>
    </row>
    <row r="75" spans="1:18">
      <c r="A75" t="s">
        <v>74</v>
      </c>
      <c r="B75" s="189">
        <f t="shared" ref="B75:R75" si="46">B77+B76</f>
        <v>12860300</v>
      </c>
      <c r="C75" s="189">
        <f t="shared" si="46"/>
        <v>9908200</v>
      </c>
      <c r="D75" s="189">
        <f t="shared" si="46"/>
        <v>10027000</v>
      </c>
      <c r="E75" s="189">
        <f t="shared" si="46"/>
        <v>10511500</v>
      </c>
      <c r="F75" s="189">
        <f t="shared" si="46"/>
        <v>11135500</v>
      </c>
      <c r="G75" s="7">
        <f t="shared" si="46"/>
        <v>11488066.207777</v>
      </c>
      <c r="H75" s="7">
        <f t="shared" si="46"/>
        <v>11849886.4787644</v>
      </c>
      <c r="I75" s="7">
        <f t="shared" si="46"/>
        <v>12221133.5800199</v>
      </c>
      <c r="J75" s="7">
        <f t="shared" si="46"/>
        <v>12601981.0499631</v>
      </c>
      <c r="K75" s="7">
        <f t="shared" si="46"/>
        <v>12992603.1074675</v>
      </c>
      <c r="L75" s="7">
        <f t="shared" si="46"/>
        <v>13393174.5575078</v>
      </c>
      <c r="M75" s="7">
        <f t="shared" si="46"/>
        <v>13803870.6933497</v>
      </c>
      <c r="N75" s="7">
        <f t="shared" si="46"/>
        <v>14224867.1952688</v>
      </c>
      <c r="O75" s="7">
        <f t="shared" si="46"/>
        <v>14656340.0257931</v>
      </c>
      <c r="P75" s="7">
        <f t="shared" si="46"/>
        <v>15098465.3214622</v>
      </c>
      <c r="Q75" s="7">
        <f t="shared" si="46"/>
        <v>15551419.2811061</v>
      </c>
      <c r="R75" s="7">
        <f t="shared" si="46"/>
        <v>16017961.8595393</v>
      </c>
    </row>
    <row r="76" spans="1:18">
      <c r="A76" t="s">
        <v>75</v>
      </c>
      <c r="B76" s="189">
        <f t="shared" ref="B76:R76" si="47">B44+B49+B54+B53</f>
        <v>5678000</v>
      </c>
      <c r="C76" s="189">
        <f t="shared" si="47"/>
        <v>4265300</v>
      </c>
      <c r="D76" s="189">
        <f t="shared" si="47"/>
        <v>3772200</v>
      </c>
      <c r="E76" s="189">
        <f t="shared" si="47"/>
        <v>3226200</v>
      </c>
      <c r="F76" s="189">
        <f t="shared" si="47"/>
        <v>3417000</v>
      </c>
      <c r="G76" s="7">
        <f t="shared" si="47"/>
        <v>3525187.21494086</v>
      </c>
      <c r="H76" s="7">
        <f t="shared" si="47"/>
        <v>3636214.0988674</v>
      </c>
      <c r="I76" s="7">
        <f t="shared" si="47"/>
        <v>3750133.66646562</v>
      </c>
      <c r="J76" s="7">
        <f t="shared" si="47"/>
        <v>3866999.16911895</v>
      </c>
      <c r="K76" s="7">
        <f t="shared" si="47"/>
        <v>3986864.0670124</v>
      </c>
      <c r="L76" s="7">
        <f t="shared" si="47"/>
        <v>4109782.00017999</v>
      </c>
      <c r="M76" s="7">
        <f t="shared" si="47"/>
        <v>4235806.75849093</v>
      </c>
      <c r="N76" s="7">
        <f t="shared" si="47"/>
        <v>4364992.25057102</v>
      </c>
      <c r="O76" s="7">
        <f t="shared" si="47"/>
        <v>4497392.47165688</v>
      </c>
      <c r="P76" s="7">
        <f t="shared" si="47"/>
        <v>4633061.4703818</v>
      </c>
      <c r="Q76" s="7">
        <f t="shared" si="47"/>
        <v>4772053.31449325</v>
      </c>
      <c r="R76" s="7">
        <f t="shared" si="47"/>
        <v>4915214.91392805</v>
      </c>
    </row>
    <row r="77" spans="1:18">
      <c r="A77" t="s">
        <v>61</v>
      </c>
      <c r="B77" s="189">
        <f>B57</f>
        <v>7182300</v>
      </c>
      <c r="C77" s="189">
        <f t="shared" ref="C77:R77" si="48">C57</f>
        <v>5642900</v>
      </c>
      <c r="D77" s="189">
        <f t="shared" si="48"/>
        <v>6254800</v>
      </c>
      <c r="E77" s="189">
        <f t="shared" si="48"/>
        <v>7285300</v>
      </c>
      <c r="F77" s="189">
        <f t="shared" si="48"/>
        <v>7718500</v>
      </c>
      <c r="G77" s="7">
        <f t="shared" si="48"/>
        <v>7962878.99283613</v>
      </c>
      <c r="H77" s="7">
        <f t="shared" si="48"/>
        <v>8213672.37989699</v>
      </c>
      <c r="I77" s="7">
        <f t="shared" si="48"/>
        <v>8470999.91355425</v>
      </c>
      <c r="J77" s="7">
        <f t="shared" si="48"/>
        <v>8734981.88084419</v>
      </c>
      <c r="K77" s="7">
        <f t="shared" si="48"/>
        <v>9005739.04045513</v>
      </c>
      <c r="L77" s="7">
        <f t="shared" si="48"/>
        <v>9283392.55732784</v>
      </c>
      <c r="M77" s="7">
        <f t="shared" si="48"/>
        <v>9568063.93485872</v>
      </c>
      <c r="N77" s="7">
        <f t="shared" si="48"/>
        <v>9859874.94469782</v>
      </c>
      <c r="O77" s="7">
        <f t="shared" si="48"/>
        <v>10158947.5541363</v>
      </c>
      <c r="P77" s="7">
        <f t="shared" si="48"/>
        <v>10465403.8510804</v>
      </c>
      <c r="Q77" s="7">
        <f t="shared" si="48"/>
        <v>10779365.9666129</v>
      </c>
      <c r="R77" s="7">
        <f t="shared" si="48"/>
        <v>11102746.9456112</v>
      </c>
    </row>
    <row r="80" spans="1:2">
      <c r="A80" s="17" t="s">
        <v>76</v>
      </c>
      <c r="B80" s="17" t="s">
        <v>77</v>
      </c>
    </row>
    <row r="82" spans="1:9">
      <c r="A82" t="s">
        <v>78</v>
      </c>
      <c r="B82" s="11" t="s">
        <v>79</v>
      </c>
      <c r="C82" s="11"/>
      <c r="D82" s="11" t="s">
        <v>80</v>
      </c>
      <c r="E82" s="15"/>
      <c r="F82" s="15">
        <v>5331</v>
      </c>
      <c r="G82" s="225" t="s">
        <v>81</v>
      </c>
      <c r="H82" s="226"/>
      <c r="I82" s="226"/>
    </row>
    <row r="83" spans="1:9">
      <c r="A83" t="s">
        <v>11</v>
      </c>
      <c r="B83" s="11">
        <v>225100.198</v>
      </c>
      <c r="C83" s="11"/>
      <c r="D83" s="11"/>
      <c r="E83" s="11"/>
      <c r="F83" s="11"/>
      <c r="G83" s="225"/>
      <c r="H83" s="226"/>
      <c r="I83" s="226"/>
    </row>
    <row r="84" ht="15.95" spans="1:9">
      <c r="A84" s="12" t="s">
        <v>16</v>
      </c>
      <c r="B84" s="222">
        <v>41669</v>
      </c>
      <c r="C84" s="222">
        <v>42034</v>
      </c>
      <c r="D84" s="222">
        <v>42399</v>
      </c>
      <c r="E84" s="222">
        <v>42765</v>
      </c>
      <c r="F84" s="222">
        <v>43130</v>
      </c>
      <c r="G84" s="225"/>
      <c r="H84" s="226"/>
      <c r="I84" s="226"/>
    </row>
    <row r="85" spans="1:9">
      <c r="A85" t="s">
        <v>18</v>
      </c>
      <c r="B85" s="11">
        <v>22245500</v>
      </c>
      <c r="C85" s="11">
        <v>22823300</v>
      </c>
      <c r="D85" s="11">
        <v>23610800</v>
      </c>
      <c r="E85" s="11">
        <v>25509300</v>
      </c>
      <c r="F85" s="11">
        <v>26321200</v>
      </c>
      <c r="G85" s="225"/>
      <c r="H85" s="226"/>
      <c r="I85" s="226"/>
    </row>
    <row r="86" spans="1:6">
      <c r="A86" t="s">
        <v>19</v>
      </c>
      <c r="B86" s="11">
        <v>-15223600</v>
      </c>
      <c r="C86" s="11">
        <v>-15875800</v>
      </c>
      <c r="D86" s="11">
        <v>-16570100</v>
      </c>
      <c r="E86" s="11">
        <v>-17721900</v>
      </c>
      <c r="F86" s="11">
        <v>-18595300</v>
      </c>
    </row>
    <row r="87" spans="1:7">
      <c r="A87" t="s">
        <v>21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>
        <v>1462</v>
      </c>
    </row>
    <row r="88" spans="1:6">
      <c r="A88" t="s">
        <v>22</v>
      </c>
      <c r="B88" s="11">
        <v>-4953600</v>
      </c>
      <c r="C88" s="11">
        <v>-7887000</v>
      </c>
      <c r="D88" s="11">
        <v>-5778500</v>
      </c>
      <c r="E88" s="11">
        <v>-5899500</v>
      </c>
      <c r="F88" s="11">
        <v>-5914500</v>
      </c>
    </row>
    <row r="89" spans="1:6">
      <c r="A89" t="s">
        <v>24</v>
      </c>
      <c r="B89" s="11">
        <v>-69200</v>
      </c>
      <c r="C89" s="11">
        <v>0</v>
      </c>
      <c r="D89" s="11">
        <v>0</v>
      </c>
      <c r="E89" s="11">
        <v>0</v>
      </c>
      <c r="F89" s="11">
        <v>0</v>
      </c>
    </row>
    <row r="90" spans="1:6">
      <c r="A90" t="s">
        <v>82</v>
      </c>
      <c r="B90" s="11">
        <v>-301800</v>
      </c>
      <c r="C90" s="11">
        <v>-370000</v>
      </c>
      <c r="D90" s="11">
        <v>-162100</v>
      </c>
      <c r="E90" s="11">
        <v>-147300</v>
      </c>
      <c r="F90" s="11">
        <v>-178900</v>
      </c>
    </row>
    <row r="91" spans="1:6">
      <c r="A91" t="s">
        <v>27</v>
      </c>
      <c r="B91" s="11">
        <v>6700</v>
      </c>
      <c r="C91" s="11">
        <v>500</v>
      </c>
      <c r="D91" s="11">
        <v>-1400</v>
      </c>
      <c r="E91" s="11">
        <v>-800</v>
      </c>
      <c r="F91" s="11">
        <v>-300</v>
      </c>
    </row>
    <row r="92" spans="1:6">
      <c r="A92" t="s">
        <v>29</v>
      </c>
      <c r="B92" s="11">
        <v>10300</v>
      </c>
      <c r="C92" s="11">
        <v>-281800</v>
      </c>
      <c r="D92" s="11">
        <v>-271700</v>
      </c>
      <c r="E92" s="11">
        <v>-397900</v>
      </c>
      <c r="F92" s="11">
        <v>-304300</v>
      </c>
    </row>
    <row r="93" spans="1:6">
      <c r="A93" s="16" t="s">
        <v>33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</row>
    <row r="94" spans="1:6">
      <c r="A94" t="s">
        <v>30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</row>
    <row r="95" spans="1:6">
      <c r="A95" t="s">
        <v>32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</row>
    <row r="96" spans="1:6">
      <c r="A96" t="s">
        <v>34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</row>
    <row r="97" spans="1:6">
      <c r="A97" t="s">
        <v>38</v>
      </c>
      <c r="B97" s="11">
        <v>1097800</v>
      </c>
      <c r="C97" s="11">
        <v>446700</v>
      </c>
      <c r="D97" s="11">
        <v>586000</v>
      </c>
      <c r="E97" s="11">
        <v>1463600</v>
      </c>
      <c r="F97" s="11">
        <v>1038300</v>
      </c>
    </row>
    <row r="98" spans="1:6">
      <c r="A98" t="s">
        <v>39</v>
      </c>
      <c r="B98" s="11">
        <v>0</v>
      </c>
      <c r="C98" s="11">
        <v>100900</v>
      </c>
      <c r="D98" s="11">
        <v>0</v>
      </c>
      <c r="E98" s="11">
        <v>0</v>
      </c>
      <c r="F98" s="11">
        <v>0</v>
      </c>
    </row>
    <row r="99" spans="1:6">
      <c r="A99" t="s">
        <v>40</v>
      </c>
      <c r="B99" s="11">
        <v>3169300</v>
      </c>
      <c r="C99" s="11">
        <v>3536000</v>
      </c>
      <c r="D99" s="11">
        <v>3522000</v>
      </c>
      <c r="E99" s="11">
        <v>3427000</v>
      </c>
      <c r="F99" s="11">
        <v>4367300</v>
      </c>
    </row>
    <row r="100" spans="1:6">
      <c r="A100" t="s">
        <v>41</v>
      </c>
      <c r="B100" s="11">
        <v>309200</v>
      </c>
      <c r="C100" s="11">
        <v>209700</v>
      </c>
      <c r="D100" s="11">
        <v>161400</v>
      </c>
      <c r="E100" s="11">
        <v>160200</v>
      </c>
      <c r="F100" s="11">
        <v>203600</v>
      </c>
    </row>
    <row r="101" spans="1:6">
      <c r="A101" t="s">
        <v>43</v>
      </c>
      <c r="B101" s="11">
        <v>3200700</v>
      </c>
      <c r="C101" s="11">
        <v>3445300</v>
      </c>
      <c r="D101" s="11">
        <v>3881800</v>
      </c>
      <c r="E101" s="11">
        <v>4116300</v>
      </c>
      <c r="F101" s="11">
        <v>4477300</v>
      </c>
    </row>
    <row r="102" spans="1:6">
      <c r="A102" t="s">
        <v>44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</row>
    <row r="103" spans="1:6">
      <c r="A103" t="s">
        <v>45</v>
      </c>
      <c r="B103" s="11">
        <v>5025200</v>
      </c>
      <c r="C103" s="11">
        <v>5685300</v>
      </c>
      <c r="D103" s="11">
        <v>5083300</v>
      </c>
      <c r="E103" s="11">
        <v>5084400</v>
      </c>
      <c r="F103" s="11">
        <v>5084400</v>
      </c>
    </row>
    <row r="104" spans="1:6">
      <c r="A104" t="s">
        <v>46</v>
      </c>
      <c r="B104" s="11">
        <v>3530600</v>
      </c>
      <c r="C104" s="11">
        <v>77300</v>
      </c>
      <c r="D104" s="11">
        <v>6340100</v>
      </c>
      <c r="E104" s="11">
        <v>6444500</v>
      </c>
      <c r="F104" s="11">
        <v>6550900</v>
      </c>
    </row>
    <row r="105" spans="1:6">
      <c r="A105" t="s">
        <v>48</v>
      </c>
      <c r="B105" s="11">
        <v>915900</v>
      </c>
      <c r="C105" s="11">
        <v>0</v>
      </c>
      <c r="D105" s="11">
        <v>250000</v>
      </c>
      <c r="E105" s="11">
        <v>0</v>
      </c>
      <c r="F105" s="11">
        <v>0</v>
      </c>
    </row>
    <row r="106" spans="1:6">
      <c r="A106" t="s">
        <v>49</v>
      </c>
      <c r="B106" s="11">
        <v>1174800</v>
      </c>
      <c r="C106" s="11">
        <v>1416400</v>
      </c>
      <c r="D106" s="11">
        <v>1336500</v>
      </c>
      <c r="E106" s="11">
        <v>1480500</v>
      </c>
      <c r="F106" s="11">
        <v>1884200</v>
      </c>
    </row>
    <row r="107" spans="1:6">
      <c r="A107" t="s">
        <v>50</v>
      </c>
      <c r="B107" s="11">
        <v>31500</v>
      </c>
      <c r="C107" s="11">
        <v>60000</v>
      </c>
      <c r="D107" s="11">
        <v>62700</v>
      </c>
      <c r="E107" s="11">
        <v>86300</v>
      </c>
      <c r="F107" s="11">
        <v>82600</v>
      </c>
    </row>
    <row r="108" spans="1:6">
      <c r="A108" t="s">
        <v>51</v>
      </c>
      <c r="B108" s="11">
        <v>736900</v>
      </c>
      <c r="C108" s="11">
        <v>619300</v>
      </c>
      <c r="D108" s="11">
        <v>1897300</v>
      </c>
      <c r="E108" s="11">
        <v>2163500</v>
      </c>
      <c r="F108" s="11">
        <v>2209800</v>
      </c>
    </row>
    <row r="109" spans="1:6">
      <c r="A109" t="s">
        <v>53</v>
      </c>
      <c r="B109" s="11">
        <v>4762100</v>
      </c>
      <c r="C109" s="11">
        <v>4265300</v>
      </c>
      <c r="D109" s="11">
        <v>3522200</v>
      </c>
      <c r="E109" s="11">
        <v>3226200</v>
      </c>
      <c r="F109" s="11">
        <v>3417000</v>
      </c>
    </row>
    <row r="110" spans="1:6">
      <c r="A110" t="s">
        <v>54</v>
      </c>
      <c r="B110" s="11">
        <v>544100</v>
      </c>
      <c r="C110" s="11">
        <v>524100</v>
      </c>
      <c r="D110" s="11">
        <v>5266400</v>
      </c>
      <c r="E110" s="11">
        <v>5440700</v>
      </c>
      <c r="F110" s="11">
        <v>5422500</v>
      </c>
    </row>
    <row r="111" spans="1:6">
      <c r="A111" t="s">
        <v>55</v>
      </c>
      <c r="B111" s="11">
        <v>985200</v>
      </c>
      <c r="C111" s="11">
        <v>973200</v>
      </c>
      <c r="D111" s="11">
        <v>984700</v>
      </c>
      <c r="E111" s="11">
        <v>1013500</v>
      </c>
      <c r="F111" s="11">
        <v>987200</v>
      </c>
    </row>
    <row r="112" spans="1:6">
      <c r="A112" s="14" t="s">
        <v>57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</row>
    <row r="113" spans="1:6">
      <c r="A113" t="s">
        <v>58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</row>
    <row r="114" spans="1:6">
      <c r="A114" t="s">
        <v>59</v>
      </c>
      <c r="B114" s="11">
        <v>2515400</v>
      </c>
      <c r="C114" s="11">
        <v>2566800</v>
      </c>
      <c r="D114" s="11">
        <v>2417000</v>
      </c>
      <c r="E114" s="11">
        <v>2105600</v>
      </c>
      <c r="F114" s="11">
        <v>1210900</v>
      </c>
    </row>
    <row r="115" spans="1:6">
      <c r="A115" t="s">
        <v>60</v>
      </c>
      <c r="B115" s="11">
        <v>4666900</v>
      </c>
      <c r="C115" s="11">
        <v>3076100</v>
      </c>
      <c r="D115" s="11">
        <v>3837800</v>
      </c>
      <c r="E115" s="11">
        <v>5179700</v>
      </c>
      <c r="F115" s="11">
        <v>6507600</v>
      </c>
    </row>
    <row r="116" spans="1:6">
      <c r="A116" t="s">
        <v>83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</row>
    <row r="119" spans="1:2">
      <c r="A119" s="17" t="s">
        <v>84</v>
      </c>
      <c r="B119" s="220" t="s">
        <v>85</v>
      </c>
    </row>
    <row r="120" spans="1:2">
      <c r="A120" s="17"/>
      <c r="B120" s="17"/>
    </row>
    <row r="121" spans="1:2">
      <c r="A121" s="16" t="s">
        <v>86</v>
      </c>
      <c r="B121" t="str">
        <f>VLOOKUP(E4,Master!$F$1:$I$445,2,FALSE)</f>
        <v>RETAIL &amp; WHOLESALE</v>
      </c>
    </row>
    <row r="122" spans="1:2">
      <c r="A122" s="16" t="s">
        <v>87</v>
      </c>
      <c r="B122" t="str">
        <f>VLOOKUP(E4,Master!$F$1:$I$445,3,FALSE)</f>
        <v>RETAIL</v>
      </c>
    </row>
    <row r="123" spans="1:2">
      <c r="A123" s="16" t="s">
        <v>88</v>
      </c>
      <c r="B123" t="str">
        <f>VLOOKUP(E4,Master!$F$1:$I$445,4,FALSE)</f>
        <v>RETAIL-VARIETY STORES</v>
      </c>
    </row>
    <row r="124" spans="1:1">
      <c r="A124" s="12"/>
    </row>
    <row r="125" spans="1:1">
      <c r="A125" s="16" t="s">
        <v>89</v>
      </c>
    </row>
    <row r="126" spans="1:2">
      <c r="A126" s="223" t="s">
        <v>90</v>
      </c>
      <c r="B126" s="223" t="s">
        <v>91</v>
      </c>
    </row>
    <row r="127" spans="1:2">
      <c r="A127" t="str" cm="1">
        <f t="array" ref="A127:B137">_xlfn._xlws.FILTER(Master!B1:C4184,Master!D1:D4184='Financial Statements'!E4)</f>
        <v>BIG</v>
      </c>
      <c r="B127" t="str">
        <v>BIG LOTS INC</v>
      </c>
    </row>
    <row r="128" spans="1:2">
      <c r="A128" t="str">
        <v>BJ</v>
      </c>
      <c r="B128" t="str">
        <v>BJ'S WHOLESALE CLUB HOLDINGS, INC.</v>
      </c>
    </row>
    <row r="129" spans="1:2">
      <c r="A129" t="str">
        <v>COST</v>
      </c>
      <c r="B129" t="str">
        <v>COSTCO WHOLESALE CORP /NEW</v>
      </c>
    </row>
    <row r="130" spans="1:2">
      <c r="A130" t="str">
        <v>DG</v>
      </c>
      <c r="B130" t="str">
        <v>DOLLAR GENERAL CORP</v>
      </c>
    </row>
    <row r="131" spans="1:2">
      <c r="A131" t="str">
        <v>DLTR</v>
      </c>
      <c r="B131" t="str">
        <v>DOLLAR TREE, INC.</v>
      </c>
    </row>
    <row r="132" spans="1:2">
      <c r="A132" t="str">
        <v>FIVE</v>
      </c>
      <c r="B132" t="str">
        <v>FIVE BELOW, INC</v>
      </c>
    </row>
    <row r="133" spans="1:2">
      <c r="A133" t="str">
        <v>OLLI</v>
      </c>
      <c r="B133" t="str">
        <v>OLLIE'S BARGAIN OUTLET HOLDINGS, INC.</v>
      </c>
    </row>
    <row r="134" spans="1:2">
      <c r="A134" t="str">
        <v>PSMT</v>
      </c>
      <c r="B134" t="str">
        <v>PRICESMART INC</v>
      </c>
    </row>
    <row r="135" spans="1:2">
      <c r="A135" t="str">
        <v>TGT</v>
      </c>
      <c r="B135" t="str">
        <v>TARGET CORP</v>
      </c>
    </row>
    <row r="136" spans="1:2">
      <c r="A136" t="str">
        <v>TUEM</v>
      </c>
      <c r="B136" t="str">
        <v>TUESDAY MORNING CORP/DE</v>
      </c>
    </row>
    <row r="137" spans="1:2">
      <c r="A137" t="str">
        <v>WMT</v>
      </c>
      <c r="B137" t="str">
        <v>WALMART INC.</v>
      </c>
    </row>
  </sheetData>
  <customSheetViews>
    <customSheetView guid="{0C8E75F0-104F-11D3-8830-006008AC4B3E}" showRuler="0" topLeftCell="A27">
      <selection activeCell="B72" sqref="B72"/>
      <pageMargins left="0.7" right="0.7" top="0.75" bottom="0.75" header="0.3" footer="0.3"/>
      <pageSetup paperSize="1" orientation="portrait"/>
      <headerFooter/>
    </customSheetView>
  </customSheetViews>
  <mergeCells count="3">
    <mergeCell ref="B4:C4"/>
    <mergeCell ref="C1:F2"/>
    <mergeCell ref="G82:I85"/>
  </mergeCells>
  <hyperlinks>
    <hyperlink ref="C3" location="A100" display="Jump to Raw Data Input"/>
    <hyperlink ref="F5" location="'Financial Statements'!A135" display="Link to Industry Comps"/>
    <hyperlink ref="B119" location="'Financial Statements'!A9" display="Link to Financial Statements"/>
  </hyperlinks>
  <pageMargins left="0.75" right="0.75" top="1" bottom="1" header="0.5" footer="0.5"/>
  <pageSetup paperSize="1" orientation="portrait"/>
  <headerFooter/>
  <ignoredErrors>
    <ignoredError sqref="B5 F34:F36 B60:B63 B15:F16 B18:F18 B20:E21 F28 B23:F24 B31:B32 B38:F41 B43:F47 B54:F56 C61 D60:F61 C30:F32 B33:E36 B9:F9 B4:D4 B49:F51 F26 B11:F13 B10 D10:F10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R72"/>
  <sheetViews>
    <sheetView zoomScale="125" zoomScaleNormal="125" workbookViewId="0">
      <pane xSplit="1" ySplit="7" topLeftCell="B8" activePane="bottomRight" state="frozenSplit"/>
      <selection/>
      <selection pane="topRight"/>
      <selection pane="bottomLeft"/>
      <selection pane="bottomRight" activeCell="A1" sqref="A1"/>
    </sheetView>
  </sheetViews>
  <sheetFormatPr defaultColWidth="8.83035714285714" defaultRowHeight="15.2"/>
  <cols>
    <col min="1" max="1" width="29.5" customWidth="1"/>
    <col min="2" max="18" width="10.6607142857143" customWidth="1"/>
  </cols>
  <sheetData>
    <row r="1" s="56" customFormat="1" ht="20.4" spans="1:18">
      <c r="A1" s="163" t="s">
        <v>92</v>
      </c>
      <c r="B1" s="164"/>
      <c r="C1" s="164"/>
      <c r="D1" s="164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ht="18" customHeight="1" spans="1:18">
      <c r="A2" s="138"/>
      <c r="B2" s="138"/>
      <c r="C2" s="138"/>
      <c r="D2" s="138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ht="12.75" customHeight="1" spans="1:18">
      <c r="A3" s="90" t="s">
        <v>93</v>
      </c>
      <c r="B3" s="90"/>
      <c r="C3" s="90"/>
      <c r="D3" s="9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1:12">
      <c r="A4" s="17" t="s">
        <v>91</v>
      </c>
      <c r="B4" s="61" t="str">
        <f>'Financial Statements'!B4</f>
        <v>DOLLAR TREE 2021</v>
      </c>
      <c r="C4" s="17"/>
      <c r="D4" s="17"/>
      <c r="E4" s="94"/>
      <c r="L4" s="161"/>
    </row>
    <row r="5" spans="1:12">
      <c r="A5" s="17"/>
      <c r="B5" s="17"/>
      <c r="C5" s="17"/>
      <c r="D5" s="17"/>
      <c r="L5" s="161"/>
    </row>
    <row r="6" spans="1:18">
      <c r="A6" s="17"/>
      <c r="B6" s="145" t="s">
        <v>14</v>
      </c>
      <c r="C6" s="145" t="s">
        <v>14</v>
      </c>
      <c r="D6" s="145" t="s">
        <v>14</v>
      </c>
      <c r="E6" s="145" t="s">
        <v>14</v>
      </c>
      <c r="F6" s="145" t="s">
        <v>14</v>
      </c>
      <c r="G6" s="65" t="s">
        <v>15</v>
      </c>
      <c r="H6" s="65" t="s">
        <v>15</v>
      </c>
      <c r="I6" s="65" t="s">
        <v>15</v>
      </c>
      <c r="J6" s="65" t="s">
        <v>15</v>
      </c>
      <c r="K6" s="65" t="s">
        <v>15</v>
      </c>
      <c r="L6" s="65" t="s">
        <v>15</v>
      </c>
      <c r="M6" s="65" t="s">
        <v>15</v>
      </c>
      <c r="N6" s="65" t="s">
        <v>15</v>
      </c>
      <c r="O6" s="65" t="s">
        <v>15</v>
      </c>
      <c r="P6" s="65" t="s">
        <v>15</v>
      </c>
      <c r="Q6" s="65" t="s">
        <v>15</v>
      </c>
      <c r="R6" s="65" t="s">
        <v>15</v>
      </c>
    </row>
    <row r="7" ht="15.95" spans="1:18">
      <c r="A7" s="17" t="s">
        <v>94</v>
      </c>
      <c r="B7" s="146">
        <f>'Financial Statements'!B8</f>
        <v>41669</v>
      </c>
      <c r="C7" s="146">
        <f>'Financial Statements'!C8</f>
        <v>42034</v>
      </c>
      <c r="D7" s="146">
        <f>'Financial Statements'!D8</f>
        <v>42399</v>
      </c>
      <c r="E7" s="146">
        <f>'Financial Statements'!E8</f>
        <v>42765</v>
      </c>
      <c r="F7" s="146">
        <f>'Financial Statements'!F8</f>
        <v>43130</v>
      </c>
      <c r="G7" s="67">
        <f>'Financial Statements'!G8</f>
        <v>43495</v>
      </c>
      <c r="H7" s="67">
        <f>'Financial Statements'!H8</f>
        <v>43860</v>
      </c>
      <c r="I7" s="67">
        <f>'Financial Statements'!I8</f>
        <v>44226</v>
      </c>
      <c r="J7" s="67">
        <f>'Financial Statements'!J8</f>
        <v>44591</v>
      </c>
      <c r="K7" s="67">
        <f>'Financial Statements'!K8</f>
        <v>44956</v>
      </c>
      <c r="L7" s="67">
        <f>'Financial Statements'!L8</f>
        <v>45321</v>
      </c>
      <c r="M7" s="67">
        <f>'Financial Statements'!M8</f>
        <v>45687</v>
      </c>
      <c r="N7" s="67">
        <f>'Financial Statements'!N8</f>
        <v>46052</v>
      </c>
      <c r="O7" s="67">
        <f>'Financial Statements'!O8</f>
        <v>46417</v>
      </c>
      <c r="P7" s="67">
        <f>'Financial Statements'!P8</f>
        <v>46782</v>
      </c>
      <c r="Q7" s="67">
        <f>'Financial Statements'!Q8</f>
        <v>47148</v>
      </c>
      <c r="R7" s="67">
        <f>'Financial Statements'!R8</f>
        <v>47513</v>
      </c>
    </row>
    <row r="9" spans="1:4">
      <c r="A9" s="100" t="s">
        <v>95</v>
      </c>
      <c r="B9" s="17"/>
      <c r="C9" s="17"/>
      <c r="D9" s="17"/>
    </row>
    <row r="10" spans="1:18">
      <c r="A10" t="s">
        <v>96</v>
      </c>
      <c r="B10" s="151"/>
      <c r="C10" s="151">
        <f>'Financial Statements'!C12/'Financial Statements'!B12-1</f>
        <v>0.0259737924524062</v>
      </c>
      <c r="D10" s="151">
        <f>'Financial Statements'!D12/'Financial Statements'!C12-1</f>
        <v>0.0345042128000772</v>
      </c>
      <c r="E10" s="151">
        <f>'Financial Statements'!E12/'Financial Statements'!D12-1</f>
        <v>0.0804081183187355</v>
      </c>
      <c r="F10" s="151">
        <f>'Financial Statements'!F12/'Financial Statements'!E12-1</f>
        <v>0.0318276079704265</v>
      </c>
      <c r="G10" s="179">
        <f>'Financial Statements'!G12/'Financial Statements'!F12-1</f>
        <v>0.0316614617912969</v>
      </c>
      <c r="H10" s="179">
        <f>'Financial Statements'!H12/'Financial Statements'!G12-1</f>
        <v>0.0314953156121671</v>
      </c>
      <c r="I10" s="179">
        <f>'Financial Statements'!I12/'Financial Statements'!H12-1</f>
        <v>0.0313291694330375</v>
      </c>
      <c r="J10" s="179">
        <f>'Financial Statements'!J12/'Financial Statements'!I12-1</f>
        <v>0.0311630232539077</v>
      </c>
      <c r="K10" s="179">
        <f>'Financial Statements'!K12/'Financial Statements'!J12-1</f>
        <v>0.0309968770747782</v>
      </c>
      <c r="L10" s="179">
        <f>'Financial Statements'!L12/'Financial Statements'!K12-1</f>
        <v>0.0308307308956484</v>
      </c>
      <c r="M10" s="179">
        <f>'Financial Statements'!M12/'Financial Statements'!L12-1</f>
        <v>0.0306645847165188</v>
      </c>
      <c r="N10" s="179">
        <f>'Financial Statements'!N12/'Financial Statements'!M12-1</f>
        <v>0.030498438537389</v>
      </c>
      <c r="O10" s="179">
        <f>'Financial Statements'!O12/'Financial Statements'!N12-1</f>
        <v>0.0303322923582594</v>
      </c>
      <c r="P10" s="179">
        <f>'Financial Statements'!P12/'Financial Statements'!O12-1</f>
        <v>0.0301661461791296</v>
      </c>
      <c r="Q10" s="179">
        <f>'Financial Statements'!Q12/'Financial Statements'!P12-1</f>
        <v>0.03</v>
      </c>
      <c r="R10" s="179">
        <f>'Financial Statements'!R12/'Financial Statements'!Q12-1</f>
        <v>0.03</v>
      </c>
    </row>
    <row r="11" spans="1:18">
      <c r="A11" t="s">
        <v>97</v>
      </c>
      <c r="B11" s="151"/>
      <c r="C11" s="151">
        <f>IF('Financial Statements'!B42&lt;=0,#N/A,'Financial Statements'!C42/'Financial Statements'!B42-1)</f>
        <v>-0.173368926332288</v>
      </c>
      <c r="D11" s="151">
        <f>IF('Financial Statements'!C42&lt;=0,#N/A,'Financial Statements'!D42/'Financial Statements'!C42-1)</f>
        <v>0.449841495570764</v>
      </c>
      <c r="E11" s="151">
        <f>IF('Financial Statements'!D42&lt;=0,#N/A,'Financial Statements'!E42/'Financial Statements'!D42-1)</f>
        <v>0.0572885269686225</v>
      </c>
      <c r="F11" s="151">
        <f>IF('Financial Statements'!E42&lt;=0,#N/A,'Financial Statements'!F42/'Financial Statements'!E42-1)</f>
        <v>0.0495651333591032</v>
      </c>
      <c r="G11" s="179">
        <f>IF('Financial Statements'!F42&lt;=0,#N/A,'Financial Statements'!G42/'Financial Statements'!F42-1)</f>
        <v>0.0316614617912969</v>
      </c>
      <c r="H11" s="179">
        <f>IF('Financial Statements'!G42&lt;=0,#N/A,'Financial Statements'!H42/'Financial Statements'!G42-1)</f>
        <v>0.0314953156121669</v>
      </c>
      <c r="I11" s="179">
        <f>IF('Financial Statements'!H42&lt;=0,#N/A,'Financial Statements'!I42/'Financial Statements'!H42-1)</f>
        <v>0.0313291694330378</v>
      </c>
      <c r="J11" s="179">
        <f>IF('Financial Statements'!I42&lt;=0,#N/A,'Financial Statements'!J42/'Financial Statements'!I42-1)</f>
        <v>0.0311630232539077</v>
      </c>
      <c r="K11" s="179">
        <f>IF('Financial Statements'!J42&lt;=0,#N/A,'Financial Statements'!K42/'Financial Statements'!J42-1)</f>
        <v>0.0309968770747784</v>
      </c>
      <c r="L11" s="179">
        <f>IF('Financial Statements'!K42&lt;=0,#N/A,'Financial Statements'!L42/'Financial Statements'!K42-1)</f>
        <v>0.0308307308956484</v>
      </c>
      <c r="M11" s="179">
        <f>IF('Financial Statements'!L42&lt;=0,#N/A,'Financial Statements'!M42/'Financial Statements'!L42-1)</f>
        <v>0.0306645847165188</v>
      </c>
      <c r="N11" s="179">
        <f>IF('Financial Statements'!M42&lt;=0,#N/A,'Financial Statements'!N42/'Financial Statements'!M42-1)</f>
        <v>0.030498438537389</v>
      </c>
      <c r="O11" s="179">
        <f>IF('Financial Statements'!N42&lt;=0,#N/A,'Financial Statements'!O42/'Financial Statements'!N42-1)</f>
        <v>0.0303322923582594</v>
      </c>
      <c r="P11" s="179">
        <f>IF('Financial Statements'!O42&lt;=0,#N/A,'Financial Statements'!P42/'Financial Statements'!O42-1)</f>
        <v>0.0301661461791294</v>
      </c>
      <c r="Q11" s="179">
        <f>IF('Financial Statements'!P42&lt;=0,#N/A,'Financial Statements'!Q42/'Financial Statements'!P42-1)</f>
        <v>0.0300000000000002</v>
      </c>
      <c r="R11" s="179">
        <f>IF('Financial Statements'!Q42&lt;=0,#N/A,'Financial Statements'!R42/'Financial Statements'!Q42-1)</f>
        <v>0.03</v>
      </c>
    </row>
    <row r="12" spans="1:18">
      <c r="A12" t="s">
        <v>98</v>
      </c>
      <c r="B12" s="151"/>
      <c r="C12" s="151">
        <f>IF('Financial Statements'!B57&lt;=0,#N/A,'Financial Statements'!C57/'Financial Statements'!B57-1)</f>
        <v>-0.214332456176991</v>
      </c>
      <c r="D12" s="151">
        <f>IF('Financial Statements'!C57&lt;=0,#N/A,'Financial Statements'!D57/'Financial Statements'!C57-1)</f>
        <v>0.108437151110245</v>
      </c>
      <c r="E12" s="151">
        <f>IF('Financial Statements'!D57&lt;=0,#N/A,'Financial Statements'!E57/'Financial Statements'!D57-1)</f>
        <v>0.16475346933555</v>
      </c>
      <c r="F12" s="151">
        <f>IF('Financial Statements'!E57&lt;=0,#N/A,'Financial Statements'!F57/'Financial Statements'!E57-1)</f>
        <v>0.0594622047136013</v>
      </c>
      <c r="G12" s="179">
        <f>IF('Financial Statements'!F57&lt;=0,#N/A,'Financial Statements'!G57/'Financial Statements'!F57-1)</f>
        <v>0.0316614617912971</v>
      </c>
      <c r="H12" s="179">
        <f>IF('Financial Statements'!G57&lt;=0,#N/A,'Financial Statements'!H57/'Financial Statements'!G57-1)</f>
        <v>0.0314953156121667</v>
      </c>
      <c r="I12" s="179">
        <f>IF('Financial Statements'!H57&lt;=0,#N/A,'Financial Statements'!I57/'Financial Statements'!H57-1)</f>
        <v>0.031329169433038</v>
      </c>
      <c r="J12" s="179">
        <f>IF('Financial Statements'!I57&lt;=0,#N/A,'Financial Statements'!J57/'Financial Statements'!I57-1)</f>
        <v>0.0311630232539077</v>
      </c>
      <c r="K12" s="179">
        <f>IF('Financial Statements'!J57&lt;=0,#N/A,'Financial Statements'!K57/'Financial Statements'!J57-1)</f>
        <v>0.0309968770747782</v>
      </c>
      <c r="L12" s="179">
        <f>IF('Financial Statements'!K57&lt;=0,#N/A,'Financial Statements'!L57/'Financial Statements'!K57-1)</f>
        <v>0.0308307308956481</v>
      </c>
      <c r="M12" s="179">
        <f>IF('Financial Statements'!L57&lt;=0,#N/A,'Financial Statements'!M57/'Financial Statements'!L57-1)</f>
        <v>0.0306645847165192</v>
      </c>
      <c r="N12" s="179">
        <f>IF('Financial Statements'!M57&lt;=0,#N/A,'Financial Statements'!N57/'Financial Statements'!M57-1)</f>
        <v>0.0304984385373888</v>
      </c>
      <c r="O12" s="179">
        <f>IF('Financial Statements'!N57&lt;=0,#N/A,'Financial Statements'!O57/'Financial Statements'!N57-1)</f>
        <v>0.0303322923582592</v>
      </c>
      <c r="P12" s="179">
        <f>IF('Financial Statements'!O57&lt;=0,#N/A,'Financial Statements'!P57/'Financial Statements'!O57-1)</f>
        <v>0.0301661461791294</v>
      </c>
      <c r="Q12" s="179">
        <f>IF('Financial Statements'!P57&lt;=0,#N/A,'Financial Statements'!Q57/'Financial Statements'!P57-1)</f>
        <v>0.0300000000000002</v>
      </c>
      <c r="R12" s="179">
        <f>IF('Financial Statements'!Q57&lt;=0,#N/A,'Financial Statements'!R57/'Financial Statements'!Q57-1)</f>
        <v>0.03</v>
      </c>
    </row>
    <row r="13" spans="1:18">
      <c r="A13" t="s">
        <v>99</v>
      </c>
      <c r="B13" s="151"/>
      <c r="C13" s="151">
        <f>IF('Financial Statements'!B29&lt;=0,#N/A,'Financial Statements'!C29/'Financial Statements'!B29-1)</f>
        <v>-1.92795893367555</v>
      </c>
      <c r="D13" s="151" t="e">
        <f>IF('Financial Statements'!C29&lt;=0,#N/A,'Financial Statements'!D29/'Financial Statements'!C29-1)</f>
        <v>#N/A</v>
      </c>
      <c r="E13" s="151">
        <f>IF('Financial Statements'!D29&lt;=0,#N/A,'Financial Statements'!E29/'Financial Statements'!D29-1)</f>
        <v>0.622611850060459</v>
      </c>
      <c r="F13" s="151">
        <f>IF('Financial Statements'!E29&lt;=0,#N/A,'Financial Statements'!F29/'Financial Statements'!E29-1)</f>
        <v>-0.0104329681794471</v>
      </c>
      <c r="G13" s="179">
        <f>IF('Financial Statements'!F29&lt;=0,#N/A,'Financial Statements'!G29/'Financial Statements'!F29-1)</f>
        <v>0.0301987560843098</v>
      </c>
      <c r="H13" s="179">
        <f>IF('Financial Statements'!G29&lt;=0,#N/A,'Financial Statements'!H29/'Financial Statements'!G29-1)</f>
        <v>0.0314862233080091</v>
      </c>
      <c r="I13" s="179">
        <f>IF('Financial Statements'!H29&lt;=0,#N/A,'Financial Statements'!I29/'Financial Statements'!H29-1)</f>
        <v>0.0313200755841931</v>
      </c>
      <c r="J13" s="179">
        <f>IF('Financial Statements'!I29&lt;=0,#N/A,'Financial Statements'!J29/'Financial Statements'!I29-1)</f>
        <v>0.031153927859854</v>
      </c>
      <c r="K13" s="179">
        <f>IF('Financial Statements'!J29&lt;=0,#N/A,'Financial Statements'!K29/'Financial Statements'!J29-1)</f>
        <v>0.03098778013499</v>
      </c>
      <c r="L13" s="179">
        <f>IF('Financial Statements'!K29&lt;=0,#N/A,'Financial Statements'!L29/'Financial Statements'!K29-1)</f>
        <v>0.0308216324095969</v>
      </c>
      <c r="M13" s="179">
        <f>IF('Financial Statements'!L29&lt;=0,#N/A,'Financial Statements'!M29/'Financial Statements'!L29-1)</f>
        <v>0.0306554846836822</v>
      </c>
      <c r="N13" s="179">
        <f>IF('Financial Statements'!M29&lt;=0,#N/A,'Financial Statements'!N29/'Financial Statements'!M29-1)</f>
        <v>0.0304893369572403</v>
      </c>
      <c r="O13" s="179">
        <f>IF('Financial Statements'!N29&lt;=0,#N/A,'Financial Statements'!O29/'Financial Statements'!N29-1)</f>
        <v>0.03032318923027</v>
      </c>
      <c r="P13" s="179">
        <f>IF('Financial Statements'!O29&lt;=0,#N/A,'Financial Statements'!P29/'Financial Statements'!O29-1)</f>
        <v>0.0301570415027761</v>
      </c>
      <c r="Q13" s="179">
        <f>IF('Financial Statements'!P29&lt;=0,#N/A,'Financial Statements'!Q29/'Financial Statements'!P29-1)</f>
        <v>0.0299908937747533</v>
      </c>
      <c r="R13" s="179">
        <f>IF('Financial Statements'!Q29&lt;=0,#N/A,'Financial Statements'!R29/'Financial Statements'!Q29-1)</f>
        <v>0.0300000000000016</v>
      </c>
    </row>
    <row r="14" spans="1:18">
      <c r="A14" t="s">
        <v>100</v>
      </c>
      <c r="B14" s="165"/>
      <c r="C14" s="151"/>
      <c r="D14" s="151">
        <f>IF('Cash Flow Analysis'!B116&lt;=0,#N/A,'Cash Flow Analysis'!C116/'Cash Flow Analysis'!B116-1)</f>
        <v>-0.577618053261577</v>
      </c>
      <c r="E14" s="151">
        <f>IF('Cash Flow Analysis'!C116&lt;=0,#N/A,'Cash Flow Analysis'!D116/'Cash Flow Analysis'!C116-1)</f>
        <v>0.269439347698518</v>
      </c>
      <c r="F14" s="151">
        <f>IF('Cash Flow Analysis'!D116&lt;=0,#N/A,'Cash Flow Analysis'!E116/'Cash Flow Analysis'!D116-1)</f>
        <v>-0.125194296061369</v>
      </c>
      <c r="G14" s="179">
        <f>IF('Cash Flow Analysis'!E116&lt;=0,#N/A,'Cash Flow Analysis'!F116/'Cash Flow Analysis'!E116-1)</f>
        <v>0.374461719025215</v>
      </c>
      <c r="H14" s="179">
        <f>IF('Cash Flow Analysis'!F116&lt;=0,#N/A,'Cash Flow Analysis'!G116/'Cash Flow Analysis'!F116-1)</f>
        <v>0.0330799581240613</v>
      </c>
      <c r="I14" s="179">
        <f>IF('Cash Flow Analysis'!G116&lt;=0,#N/A,'Cash Flow Analysis'!H116/'Cash Flow Analysis'!G116-1)</f>
        <v>0.0329116361117983</v>
      </c>
      <c r="J14" s="179">
        <f>IF('Cash Flow Analysis'!H116&lt;=0,#N/A,'Cash Flow Analysis'!I116/'Cash Flow Analysis'!H116-1)</f>
        <v>0.0327433200665264</v>
      </c>
      <c r="K14" s="179">
        <f>IF('Cash Flow Analysis'!I116&lt;=0,#N/A,'Cash Flow Analysis'!J116/'Cash Flow Analysis'!I116-1)</f>
        <v>0.0325750099637026</v>
      </c>
      <c r="L14" s="179">
        <f>IF('Cash Flow Analysis'!J116&lt;=0,#N/A,'Cash Flow Analysis'!K116/'Cash Flow Analysis'!J116-1)</f>
        <v>0.0324067057789552</v>
      </c>
      <c r="M14" s="179">
        <f>IF('Cash Flow Analysis'!K116&lt;=0,#N/A,'Cash Flow Analysis'!L116/'Cash Flow Analysis'!K116-1)</f>
        <v>0.0322384074880568</v>
      </c>
      <c r="N14" s="179">
        <f>IF('Cash Flow Analysis'!L116&lt;=0,#N/A,'Cash Flow Analysis'!M116/'Cash Flow Analysis'!L116-1)</f>
        <v>0.0320701150668778</v>
      </c>
      <c r="O14" s="179">
        <f>IF('Cash Flow Analysis'!M116&lt;=0,#N/A,'Cash Flow Analysis'!N116/'Cash Flow Analysis'!M116-1)</f>
        <v>0.0319018284914363</v>
      </c>
      <c r="P14" s="179">
        <f>IF('Cash Flow Analysis'!N116&lt;=0,#N/A,'Cash Flow Analysis'!O116/'Cash Flow Analysis'!N116-1)</f>
        <v>0.0317335477378964</v>
      </c>
      <c r="Q14" s="179">
        <f>IF('Cash Flow Analysis'!O116&lt;=0,#N/A,'Cash Flow Analysis'!P116/'Cash Flow Analysis'!O116-1)</f>
        <v>0.0315652727825169</v>
      </c>
      <c r="R14" s="179">
        <f>IF('Cash Flow Analysis'!P116&lt;=0,#N/A,'Cash Flow Analysis'!Q116/'Cash Flow Analysis'!P116-1)</f>
        <v>0.030000000000002</v>
      </c>
    </row>
    <row r="15" spans="1:18">
      <c r="A15" t="s">
        <v>101</v>
      </c>
      <c r="B15" s="165"/>
      <c r="C15" s="151"/>
      <c r="D15" s="151">
        <f>D19*(1-'Forecasting Assumptions'!D49)</f>
        <v>0.139018465753885</v>
      </c>
      <c r="E15" s="151">
        <f>E19*(1-'Forecasting Assumptions'!E49)</f>
        <v>0.198211239207982</v>
      </c>
      <c r="F15" s="151">
        <f>F19*(1-'Forecasting Assumptions'!F49)</f>
        <v>0.177008491182234</v>
      </c>
      <c r="G15" s="179">
        <f>G19*(1-'Forecasting Assumptions'!G49)</f>
        <v>0.174474569976188</v>
      </c>
      <c r="H15" s="179">
        <f>H19*(1-'Forecasting Assumptions'!H49)</f>
        <v>0.17445920065433</v>
      </c>
      <c r="I15" s="179">
        <f>I19*(1-'Forecasting Assumptions'!I49)</f>
        <v>0.174443828818301</v>
      </c>
      <c r="J15" s="179">
        <f>J19*(1-'Forecasting Assumptions'!J49)</f>
        <v>0.174428454467484</v>
      </c>
      <c r="K15" s="179">
        <f>K19*(1-'Forecasting Assumptions'!K49)</f>
        <v>0.174413077601263</v>
      </c>
      <c r="L15" s="179">
        <f>L19*(1-'Forecasting Assumptions'!L49)</f>
        <v>0.17439769821902</v>
      </c>
      <c r="M15" s="179">
        <f>M19*(1-'Forecasting Assumptions'!M49)</f>
        <v>0.174382316320137</v>
      </c>
      <c r="N15" s="179">
        <f>N19*(1-'Forecasting Assumptions'!N49)</f>
        <v>0.174366931903996</v>
      </c>
      <c r="O15" s="179">
        <f>O19*(1-'Forecasting Assumptions'!O49)</f>
        <v>0.17435154496998</v>
      </c>
      <c r="P15" s="179">
        <f>P19*(1-'Forecasting Assumptions'!P49)</f>
        <v>0.17433615551747</v>
      </c>
      <c r="Q15" s="179">
        <f>Q19*(1-'Forecasting Assumptions'!Q49)</f>
        <v>0.174320763545848</v>
      </c>
      <c r="R15" s="179">
        <f>R19*(1-'Forecasting Assumptions'!R49)</f>
        <v>0.174320763545849</v>
      </c>
    </row>
    <row r="16" spans="2:18">
      <c r="B16" s="165"/>
      <c r="C16" s="151"/>
      <c r="D16" s="151"/>
      <c r="E16" s="151"/>
      <c r="F16" s="151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</row>
    <row r="17" spans="2:18">
      <c r="B17" s="61"/>
      <c r="C17" s="61"/>
      <c r="D17" s="61"/>
      <c r="E17" s="61"/>
      <c r="F17" s="16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</row>
    <row r="18" spans="1:18">
      <c r="A18" s="100" t="s">
        <v>102</v>
      </c>
      <c r="B18" s="150"/>
      <c r="C18" s="150"/>
      <c r="D18" s="150"/>
      <c r="E18" s="61"/>
      <c r="F18" s="16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</row>
    <row r="19" spans="1:18">
      <c r="A19" t="s">
        <v>103</v>
      </c>
      <c r="B19" s="165"/>
      <c r="C19" s="165">
        <f>'Financial Statements'!C73/(('Financial Statements'!B77+'Financial Statements'!C77)/2)</f>
        <v>-0.248074104107538</v>
      </c>
      <c r="D19" s="165">
        <f>'Financial Statements'!D73/(('Financial Statements'!C77+'Financial Statements'!D77)/2)</f>
        <v>0.139018465753885</v>
      </c>
      <c r="E19" s="165">
        <f>'Financial Statements'!E73/(('Financial Statements'!D77+'Financial Statements'!E77)/2)</f>
        <v>0.198211239207982</v>
      </c>
      <c r="F19" s="165">
        <f>'Financial Statements'!F73/(('Financial Statements'!E77+'Financial Statements'!F77)/2)</f>
        <v>0.177008491182234</v>
      </c>
      <c r="G19" s="176">
        <f>'Financial Statements'!G73/(('Financial Statements'!F77+'Financial Statements'!G77)/2)</f>
        <v>0.174474569976188</v>
      </c>
      <c r="H19" s="176">
        <f>'Financial Statements'!H73/(('Financial Statements'!G77+'Financial Statements'!H77)/2)</f>
        <v>0.17445920065433</v>
      </c>
      <c r="I19" s="176">
        <f>'Financial Statements'!I73/(('Financial Statements'!H77+'Financial Statements'!I77)/2)</f>
        <v>0.174443828818301</v>
      </c>
      <c r="J19" s="176">
        <f>'Financial Statements'!J73/(('Financial Statements'!I77+'Financial Statements'!J77)/2)</f>
        <v>0.174428454467484</v>
      </c>
      <c r="K19" s="176">
        <f>'Financial Statements'!K73/(('Financial Statements'!J77+'Financial Statements'!K77)/2)</f>
        <v>0.174413077601263</v>
      </c>
      <c r="L19" s="176">
        <f>'Financial Statements'!L73/(('Financial Statements'!K77+'Financial Statements'!L77)/2)</f>
        <v>0.17439769821902</v>
      </c>
      <c r="M19" s="176">
        <f>'Financial Statements'!M73/(('Financial Statements'!L77+'Financial Statements'!M77)/2)</f>
        <v>0.174382316320137</v>
      </c>
      <c r="N19" s="176">
        <f>'Financial Statements'!N73/(('Financial Statements'!M77+'Financial Statements'!N77)/2)</f>
        <v>0.174366931903996</v>
      </c>
      <c r="O19" s="176">
        <f>'Financial Statements'!O73/(('Financial Statements'!N77+'Financial Statements'!O77)/2)</f>
        <v>0.17435154496998</v>
      </c>
      <c r="P19" s="176">
        <f>'Financial Statements'!P73/(('Financial Statements'!O77+'Financial Statements'!P77)/2)</f>
        <v>0.17433615551747</v>
      </c>
      <c r="Q19" s="176">
        <f>'Financial Statements'!Q73/(('Financial Statements'!P77+'Financial Statements'!Q77)/2)</f>
        <v>0.174320763545848</v>
      </c>
      <c r="R19" s="176">
        <f>'Financial Statements'!R73/(('Financial Statements'!Q77+'Financial Statements'!R77)/2)</f>
        <v>0.174320763545849</v>
      </c>
    </row>
    <row r="20" spans="1:18">
      <c r="A20" t="s">
        <v>104</v>
      </c>
      <c r="B20" s="61"/>
      <c r="C20" s="165">
        <f>('Financial Statements'!C29-'Financial Statements'!C26-'Financial Statements'!C24-((IF('Financial Statements'!C22=0,0,('Financial Statements'!C22+'Financial Statements'!C23)/'Financial Statements'!C22))*'Financial Statements'!C21))/(('Financial Statements'!B77+'Financial Statements'!C77)/2)</f>
        <v>-0.248168861213767</v>
      </c>
      <c r="D20" s="165">
        <f>('Financial Statements'!D29-'Financial Statements'!D26-'Financial Statements'!D24-((IF('Financial Statements'!D22=0,0,('Financial Statements'!D22+'Financial Statements'!D23)/'Financial Statements'!D22))*'Financial Statements'!D21))/(('Financial Statements'!C77+'Financial Statements'!D77)/2)</f>
        <v>0.139195607696231</v>
      </c>
      <c r="E20" s="165">
        <f>('Financial Statements'!E29-'Financial Statements'!E26-'Financial Statements'!E24-((IF('Financial Statements'!E22=0,0,('Financial Statements'!E22+'Financial Statements'!E23)/'Financial Statements'!E22))*'Financial Statements'!E21))/(('Financial Statements'!D77+'Financial Statements'!E77)/2)</f>
        <v>0.198302381288317</v>
      </c>
      <c r="F20" s="165">
        <f>('Financial Statements'!F29-'Financial Statements'!F26-'Financial Statements'!F24-((IF('Financial Statements'!F22=0,0,('Financial Statements'!F22+'Financial Statements'!F23)/'Financial Statements'!F22))*'Financial Statements'!F21))/(('Financial Statements'!E77+'Financial Statements'!F77)/2)</f>
        <v>0.177041025520768</v>
      </c>
      <c r="G20" s="176">
        <f>('Financial Statements'!G29-'Financial Statements'!G26-'Financial Statements'!G24-((IF('Financial Statements'!G22=0,0,('Financial Statements'!G22+'Financial Statements'!G23)/'Financial Statements'!G22))*'Financial Statements'!G21))/(('Financial Statements'!F77+'Financial Statements'!G77)/2)</f>
        <v>0.174506684109377</v>
      </c>
      <c r="H20" s="176">
        <f>('Financial Statements'!H29-'Financial Statements'!H26-'Financial Statements'!H24-((IF('Financial Statements'!H22=0,0,('Financial Statements'!H22+'Financial Statements'!H23)/'Financial Statements'!H22))*'Financial Statements'!H21))/(('Financial Statements'!G77+'Financial Statements'!H77)/2)</f>
        <v>0.174491312241664</v>
      </c>
      <c r="I20" s="176">
        <f>('Financial Statements'!I29-'Financial Statements'!I26-'Financial Statements'!I24-((IF('Financial Statements'!I22=0,0,('Financial Statements'!I22+'Financial Statements'!I23)/'Financial Statements'!I22))*'Financial Statements'!I21))/(('Financial Statements'!H77+'Financial Statements'!I77)/2)</f>
        <v>0.174475937859365</v>
      </c>
      <c r="J20" s="176">
        <f>('Financial Statements'!J29-'Financial Statements'!J26-'Financial Statements'!J24-((IF('Financial Statements'!J22=0,0,('Financial Statements'!J22+'Financial Statements'!J23)/'Financial Statements'!J22))*'Financial Statements'!J21))/(('Financial Statements'!I77+'Financial Statements'!J77)/2)</f>
        <v>0.174460560961861</v>
      </c>
      <c r="K20" s="176">
        <f>('Financial Statements'!K29-'Financial Statements'!K26-'Financial Statements'!K24-((IF('Financial Statements'!K22=0,0,('Financial Statements'!K22+'Financial Statements'!K23)/'Financial Statements'!K22))*'Financial Statements'!K21))/(('Financial Statements'!J77+'Financial Statements'!K77)/2)</f>
        <v>0.174445181548536</v>
      </c>
      <c r="L20" s="176">
        <f>('Financial Statements'!L29-'Financial Statements'!L26-'Financial Statements'!L24-((IF('Financial Statements'!L22=0,0,('Financial Statements'!L22+'Financial Statements'!L23)/'Financial Statements'!L22))*'Financial Statements'!L21))/(('Financial Statements'!K77+'Financial Statements'!L77)/2)</f>
        <v>0.174429799618772</v>
      </c>
      <c r="M20" s="176">
        <f>('Financial Statements'!M29-'Financial Statements'!M26-'Financial Statements'!M24-((IF('Financial Statements'!M22=0,0,('Financial Statements'!M22+'Financial Statements'!M23)/'Financial Statements'!M22))*'Financial Statements'!M21))/(('Financial Statements'!L77+'Financial Statements'!M77)/2)</f>
        <v>0.174414415171951</v>
      </c>
      <c r="N20" s="176">
        <f>('Financial Statements'!N29-'Financial Statements'!N26-'Financial Statements'!N24-((IF('Financial Statements'!N22=0,0,('Financial Statements'!N22+'Financial Statements'!N23)/'Financial Statements'!N22))*'Financial Statements'!N21))/(('Financial Statements'!M77+'Financial Statements'!N77)/2)</f>
        <v>0.174399028207456</v>
      </c>
      <c r="O20" s="176">
        <f>('Financial Statements'!O29-'Financial Statements'!O26-'Financial Statements'!O24-((IF('Financial Statements'!O22=0,0,('Financial Statements'!O22+'Financial Statements'!O23)/'Financial Statements'!O22))*'Financial Statements'!O21))/(('Financial Statements'!N77+'Financial Statements'!O77)/2)</f>
        <v>0.174383638724668</v>
      </c>
      <c r="P20" s="176">
        <f>('Financial Statements'!P29-'Financial Statements'!P26-'Financial Statements'!P24-((IF('Financial Statements'!P22=0,0,('Financial Statements'!P22+'Financial Statements'!P23)/'Financial Statements'!P22))*'Financial Statements'!P21))/(('Financial Statements'!O77+'Financial Statements'!P77)/2)</f>
        <v>0.17436824672297</v>
      </c>
      <c r="Q20" s="176">
        <f>('Financial Statements'!Q29-'Financial Statements'!Q26-'Financial Statements'!Q24-((IF('Financial Statements'!Q22=0,0,('Financial Statements'!Q22+'Financial Statements'!Q23)/'Financial Statements'!Q22))*'Financial Statements'!Q21))/(('Financial Statements'!P77+'Financial Statements'!Q77)/2)</f>
        <v>0.174352852201742</v>
      </c>
      <c r="R20" s="176">
        <f>('Financial Statements'!R29-'Financial Statements'!R26-'Financial Statements'!R24-((IF('Financial Statements'!R22=0,0,('Financial Statements'!R22+'Financial Statements'!R23)/'Financial Statements'!R22))*'Financial Statements'!R21))/(('Financial Statements'!Q77+'Financial Statements'!R77)/2)</f>
        <v>0.174352852201742</v>
      </c>
    </row>
    <row r="21" spans="1:18">
      <c r="A21" t="s">
        <v>105</v>
      </c>
      <c r="B21" s="61"/>
      <c r="C21" s="165">
        <f>'Financial Statements'!C71/(('Financial Statements'!B75+'Financial Statements'!C75)/2)</f>
        <v>-0.100239087304034</v>
      </c>
      <c r="D21" s="165">
        <f>'Financial Statements'!D71/(('Financial Statements'!C75+'Financial Statements'!D75)/2)</f>
        <v>0.0952098725418732</v>
      </c>
      <c r="E21" s="165">
        <f>'Financial Statements'!E71/(('Financial Statements'!D75+'Financial Statements'!E75)/2)</f>
        <v>0.14173496941779</v>
      </c>
      <c r="F21" s="165">
        <f>'Financial Statements'!F71/(('Financial Statements'!E75+'Financial Statements'!F75)/2)</f>
        <v>0.136134031651676</v>
      </c>
      <c r="G21" s="176">
        <f>'Financial Statements'!G71/(('Financial Statements'!F75+'Financial Statements'!G75)/2)</f>
        <v>0.134381834742429</v>
      </c>
      <c r="H21" s="176">
        <f>'Financial Statements'!H71/(('Financial Statements'!G75+'Financial Statements'!H75)/2)</f>
        <v>0.134371181596117</v>
      </c>
      <c r="I21" s="176">
        <f>'Financial Statements'!I71/(('Financial Statements'!H75+'Financial Statements'!I75)/2)</f>
        <v>0.134360526707123</v>
      </c>
      <c r="J21" s="176">
        <f>'Financial Statements'!J71/(('Financial Statements'!I75+'Financial Statements'!J75)/2)</f>
        <v>0.134349870075021</v>
      </c>
      <c r="K21" s="176">
        <f>'Financial Statements'!K71/(('Financial Statements'!J75+'Financial Statements'!K75)/2)</f>
        <v>0.134339211699382</v>
      </c>
      <c r="L21" s="176">
        <f>'Financial Statements'!L71/(('Financial Statements'!K75+'Financial Statements'!L75)/2)</f>
        <v>0.134328551579778</v>
      </c>
      <c r="M21" s="176">
        <f>'Financial Statements'!M71/(('Financial Statements'!L75+'Financial Statements'!M75)/2)</f>
        <v>0.134317889715782</v>
      </c>
      <c r="N21" s="176">
        <f>'Financial Statements'!N71/(('Financial Statements'!M75+'Financial Statements'!N75)/2)</f>
        <v>0.134307226106965</v>
      </c>
      <c r="O21" s="176">
        <f>'Financial Statements'!O71/(('Financial Statements'!N75+'Financial Statements'!O75)/2)</f>
        <v>0.134296560752899</v>
      </c>
      <c r="P21" s="176">
        <f>'Financial Statements'!P71/(('Financial Statements'!O75+'Financial Statements'!P75)/2)</f>
        <v>0.134285893653155</v>
      </c>
      <c r="Q21" s="176">
        <f>'Financial Statements'!Q71/(('Financial Statements'!P75+'Financial Statements'!Q75)/2)</f>
        <v>0.134275224807305</v>
      </c>
      <c r="R21" s="176">
        <f>'Financial Statements'!R71/(('Financial Statements'!Q75+'Financial Statements'!R75)/2)</f>
        <v>0.134275224807305</v>
      </c>
    </row>
    <row r="22" spans="2:18">
      <c r="B22" s="61"/>
      <c r="C22" s="165"/>
      <c r="D22" s="165"/>
      <c r="E22" s="165"/>
      <c r="F22" s="165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</row>
    <row r="23" spans="1:18">
      <c r="A23" s="100" t="s">
        <v>106</v>
      </c>
      <c r="B23" s="61"/>
      <c r="C23" s="165"/>
      <c r="D23" s="165"/>
      <c r="E23" s="165"/>
      <c r="F23" s="165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</row>
    <row r="24" spans="1:18">
      <c r="A24" t="s">
        <v>107</v>
      </c>
      <c r="B24" s="165">
        <f>'Financial Statements'!B29/'Financial Statements'!B12</f>
        <v>0.0770627767413634</v>
      </c>
      <c r="C24" s="165">
        <f>'Financial Statements'!C29/'Financial Statements'!C12</f>
        <v>-0.0697007005998256</v>
      </c>
      <c r="D24" s="165">
        <f>'Financial Statements'!D29/'Financial Statements'!D12</f>
        <v>0.0350263438765311</v>
      </c>
      <c r="E24" s="165">
        <f>'Financial Statements'!E29/'Financial Statements'!E12</f>
        <v>0.0526043442979619</v>
      </c>
      <c r="F24" s="165">
        <f>'Financial Statements'!F29/'Financial Statements'!F12</f>
        <v>0.0504498275154628</v>
      </c>
      <c r="G24" s="176">
        <f>'Financial Statements'!G29/'Financial Statements'!G12</f>
        <v>0.0503782989633589</v>
      </c>
      <c r="H24" s="176">
        <f>'Financial Statements'!H29/'Financial Statements'!H12</f>
        <v>0.0503778548946266</v>
      </c>
      <c r="I24" s="176">
        <f>'Financial Statements'!I29/'Financial Statements'!I12</f>
        <v>0.0503774106828162</v>
      </c>
      <c r="J24" s="176">
        <f>'Financial Statements'!J29/'Financial Statements'!J12</f>
        <v>0.0503769663278585</v>
      </c>
      <c r="K24" s="176">
        <f>'Financial Statements'!K29/'Financial Statements'!K12</f>
        <v>0.0503765218296843</v>
      </c>
      <c r="L24" s="176">
        <f>'Financial Statements'!L29/'Financial Statements'!L12</f>
        <v>0.0503760771882244</v>
      </c>
      <c r="M24" s="176">
        <f>'Financial Statements'!M29/'Financial Statements'!M12</f>
        <v>0.0503756324034094</v>
      </c>
      <c r="N24" s="176">
        <f>'Financial Statements'!N29/'Financial Statements'!N12</f>
        <v>0.0503751874751701</v>
      </c>
      <c r="O24" s="176">
        <f>'Financial Statements'!O29/'Financial Statements'!O12</f>
        <v>0.050374742403437</v>
      </c>
      <c r="P24" s="176">
        <f>'Financial Statements'!P29/'Financial Statements'!P12</f>
        <v>0.0503742971881407</v>
      </c>
      <c r="Q24" s="176">
        <f>'Financial Statements'!Q29/'Financial Statements'!Q12</f>
        <v>0.0503738518292117</v>
      </c>
      <c r="R24" s="176">
        <f>'Financial Statements'!R29/'Financial Statements'!R12</f>
        <v>0.0503738518292118</v>
      </c>
    </row>
    <row r="25" spans="1:18">
      <c r="A25" t="s">
        <v>108</v>
      </c>
      <c r="B25" s="150"/>
      <c r="C25" s="165">
        <f>'Financial Statements'!C12/(('Financial Statements'!B42+'Financial Statements'!C42)/2)</f>
        <v>1.53001944090635</v>
      </c>
      <c r="D25" s="165">
        <f>'Financial Statements'!D12/(('Financial Statements'!C42+'Financial Statements'!D42)/2)</f>
        <v>1.42767824209845</v>
      </c>
      <c r="E25" s="165">
        <f>'Financial Statements'!E12/(('Financial Statements'!D42+'Financial Statements'!E42)/2)</f>
        <v>1.26689445898497</v>
      </c>
      <c r="F25" s="165">
        <f>'Financial Statements'!F12/(('Financial Statements'!E42+'Financial Statements'!F42)/2)</f>
        <v>1.24104503298144</v>
      </c>
      <c r="G25" s="176">
        <f>'Financial Statements'!G12/(('Financial Statements'!F42+'Financial Statements'!G42)/2)</f>
        <v>1.23062500451224</v>
      </c>
      <c r="H25" s="176">
        <f>'Financial Statements'!H12/(('Financial Statements'!G42+'Financial Statements'!H42)/2)</f>
        <v>1.23052744647358</v>
      </c>
      <c r="I25" s="176">
        <f>'Financial Statements'!I12/(('Financial Statements'!H42+'Financial Statements'!I42)/2)</f>
        <v>1.23042987247602</v>
      </c>
      <c r="J25" s="176">
        <f>'Financial Statements'!J12/(('Financial Statements'!I42+'Financial Statements'!J42)/2)</f>
        <v>1.23033228251563</v>
      </c>
      <c r="K25" s="176">
        <f>'Financial Statements'!K12/(('Financial Statements'!J42+'Financial Statements'!K42)/2)</f>
        <v>1.23023467658851</v>
      </c>
      <c r="L25" s="176">
        <f>'Financial Statements'!L12/(('Financial Statements'!K42+'Financial Statements'!L42)/2)</f>
        <v>1.23013705469072</v>
      </c>
      <c r="M25" s="176">
        <f>'Financial Statements'!M12/(('Financial Statements'!L42+'Financial Statements'!M42)/2)</f>
        <v>1.23003941681836</v>
      </c>
      <c r="N25" s="176">
        <f>'Financial Statements'!N12/(('Financial Statements'!M42+'Financial Statements'!N42)/2)</f>
        <v>1.2299417629675</v>
      </c>
      <c r="O25" s="176">
        <f>'Financial Statements'!O12/(('Financial Statements'!N42+'Financial Statements'!O42)/2)</f>
        <v>1.22984409313421</v>
      </c>
      <c r="P25" s="176">
        <f>'Financial Statements'!P12/(('Financial Statements'!O42+'Financial Statements'!P42)/2)</f>
        <v>1.22974640731458</v>
      </c>
      <c r="Q25" s="176">
        <f>'Financial Statements'!Q12/(('Financial Statements'!P42+'Financial Statements'!Q42)/2)</f>
        <v>1.22964870550468</v>
      </c>
      <c r="R25" s="176">
        <f>'Financial Statements'!R12/(('Financial Statements'!Q42+'Financial Statements'!R42)/2)</f>
        <v>1.22964870550468</v>
      </c>
    </row>
    <row r="26" spans="1:18">
      <c r="A26" t="s">
        <v>109</v>
      </c>
      <c r="B26" s="150"/>
      <c r="C26" s="165">
        <f>('Financial Statements'!B58+'Financial Statements'!C58)/('Financial Statements'!B57+'Financial Statements'!C57)</f>
        <v>2.32620154071671</v>
      </c>
      <c r="D26" s="165">
        <f>('Financial Statements'!C58+'Financial Statements'!D58)/('Financial Statements'!C57+'Financial Statements'!D57)</f>
        <v>2.78001630567252</v>
      </c>
      <c r="E26" s="165">
        <f>('Financial Statements'!D58+'Financial Statements'!E58)/('Financial Statements'!D57+'Financial Statements'!E57)</f>
        <v>2.97417301201616</v>
      </c>
      <c r="F26" s="165">
        <f>('Financial Statements'!E58+'Financial Statements'!F58)/('Financial Statements'!E57+'Financial Statements'!F57)</f>
        <v>2.8271371252616</v>
      </c>
      <c r="G26" s="176">
        <f>('Financial Statements'!F58+'Financial Statements'!G58)/('Financial Statements'!F57+'Financial Statements'!G57)</f>
        <v>2.81425147373194</v>
      </c>
      <c r="H26" s="176">
        <f>('Financial Statements'!G58+'Financial Statements'!H58)/('Financial Statements'!G57+'Financial Statements'!H57)</f>
        <v>2.81425147373194</v>
      </c>
      <c r="I26" s="176">
        <f>('Financial Statements'!H58+'Financial Statements'!I58)/('Financial Statements'!H57+'Financial Statements'!I57)</f>
        <v>2.81425147373194</v>
      </c>
      <c r="J26" s="176">
        <f>('Financial Statements'!I58+'Financial Statements'!J58)/('Financial Statements'!I57+'Financial Statements'!J57)</f>
        <v>2.81425147373194</v>
      </c>
      <c r="K26" s="176">
        <f>('Financial Statements'!J58+'Financial Statements'!K58)/('Financial Statements'!J57+'Financial Statements'!K57)</f>
        <v>2.81425147373194</v>
      </c>
      <c r="L26" s="176">
        <f>('Financial Statements'!K58+'Financial Statements'!L58)/('Financial Statements'!K57+'Financial Statements'!L57)</f>
        <v>2.81425147373194</v>
      </c>
      <c r="M26" s="176">
        <f>('Financial Statements'!L58+'Financial Statements'!M58)/('Financial Statements'!L57+'Financial Statements'!M57)</f>
        <v>2.81425147373194</v>
      </c>
      <c r="N26" s="176">
        <f>('Financial Statements'!M58+'Financial Statements'!N58)/('Financial Statements'!M57+'Financial Statements'!N57)</f>
        <v>2.81425147373194</v>
      </c>
      <c r="O26" s="176">
        <f>('Financial Statements'!N58+'Financial Statements'!O58)/('Financial Statements'!N57+'Financial Statements'!O57)</f>
        <v>2.81425147373194</v>
      </c>
      <c r="P26" s="176">
        <f>('Financial Statements'!O58+'Financial Statements'!P58)/('Financial Statements'!O57+'Financial Statements'!P57)</f>
        <v>2.81425147373194</v>
      </c>
      <c r="Q26" s="176">
        <f>('Financial Statements'!P58+'Financial Statements'!Q58)/('Financial Statements'!P57+'Financial Statements'!Q57)</f>
        <v>2.81425147373194</v>
      </c>
      <c r="R26" s="176">
        <f>('Financial Statements'!Q58+'Financial Statements'!R58)/('Financial Statements'!Q57+'Financial Statements'!R57)</f>
        <v>2.81425147373194</v>
      </c>
    </row>
    <row r="27" spans="1:18">
      <c r="A27" s="238" t="s">
        <v>110</v>
      </c>
      <c r="B27" s="61"/>
      <c r="C27" s="165">
        <f>C24*C25*C26</f>
        <v>-0.248074104107538</v>
      </c>
      <c r="D27" s="165">
        <f>D24*D25*D26</f>
        <v>0.139018465753885</v>
      </c>
      <c r="E27" s="165">
        <f>E24*E25*E26</f>
        <v>0.198211239207982</v>
      </c>
      <c r="F27" s="165">
        <f>F24*F25*F26</f>
        <v>0.177008491182234</v>
      </c>
      <c r="G27" s="176">
        <f>G24*G25*G26</f>
        <v>0.174474569976188</v>
      </c>
      <c r="H27" s="176">
        <f t="shared" ref="H27:R27" si="0">H24*H25*H26</f>
        <v>0.17445920065433</v>
      </c>
      <c r="I27" s="176">
        <f t="shared" si="0"/>
        <v>0.174443828818301</v>
      </c>
      <c r="J27" s="176">
        <f t="shared" si="0"/>
        <v>0.174428454467484</v>
      </c>
      <c r="K27" s="176">
        <f t="shared" si="0"/>
        <v>0.174413077601263</v>
      </c>
      <c r="L27" s="176">
        <f t="shared" si="0"/>
        <v>0.17439769821902</v>
      </c>
      <c r="M27" s="176">
        <f t="shared" si="0"/>
        <v>0.174382316320137</v>
      </c>
      <c r="N27" s="176">
        <f t="shared" si="0"/>
        <v>0.174366931903996</v>
      </c>
      <c r="O27" s="176">
        <f t="shared" si="0"/>
        <v>0.17435154496998</v>
      </c>
      <c r="P27" s="176">
        <f t="shared" si="0"/>
        <v>0.17433615551747</v>
      </c>
      <c r="Q27" s="176">
        <f t="shared" si="0"/>
        <v>0.174320763545848</v>
      </c>
      <c r="R27" s="176">
        <f t="shared" si="0"/>
        <v>0.174320763545849</v>
      </c>
    </row>
    <row r="28" spans="2:18">
      <c r="B28" s="61"/>
      <c r="C28" s="165"/>
      <c r="D28" s="165"/>
      <c r="E28" s="165"/>
      <c r="F28" s="165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</row>
    <row r="29" spans="1:18">
      <c r="A29" s="100" t="s">
        <v>111</v>
      </c>
      <c r="B29" s="61"/>
      <c r="C29" s="165"/>
      <c r="D29" s="165"/>
      <c r="E29" s="165"/>
      <c r="F29" s="165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</row>
    <row r="30" spans="1:18">
      <c r="A30" t="s">
        <v>112</v>
      </c>
      <c r="B30" s="165">
        <f>'Financial Statements'!B71/'Financial Statements'!B12</f>
        <v>0.0907115713543584</v>
      </c>
      <c r="C30" s="165">
        <f>'Financial Statements'!C71/'Financial Statements'!C12</f>
        <v>-0.0499992038680185</v>
      </c>
      <c r="D30" s="165">
        <f>'Financial Statements'!D71/'Financial Statements'!D12</f>
        <v>0.0401940605802588</v>
      </c>
      <c r="E30" s="165">
        <f>'Financial Statements'!E71/'Financial Statements'!E12</f>
        <v>0.0570580860585607</v>
      </c>
      <c r="F30" s="165">
        <f>'Financial Statements'!F71/'Financial Statements'!F12</f>
        <v>0.0559794649021289</v>
      </c>
      <c r="G30" s="176">
        <f>'Financial Statements'!G71/'Financial Statements'!G12</f>
        <v>0.0559794649021288</v>
      </c>
      <c r="H30" s="176">
        <f>'Financial Statements'!H71/'Financial Statements'!H12</f>
        <v>0.0559794649021288</v>
      </c>
      <c r="I30" s="176">
        <f>'Financial Statements'!I71/'Financial Statements'!I12</f>
        <v>0.0559794649021288</v>
      </c>
      <c r="J30" s="176">
        <f>'Financial Statements'!J71/'Financial Statements'!J12</f>
        <v>0.0559794649021288</v>
      </c>
      <c r="K30" s="176">
        <f>'Financial Statements'!K71/'Financial Statements'!K12</f>
        <v>0.0559794649021289</v>
      </c>
      <c r="L30" s="176">
        <f>'Financial Statements'!L71/'Financial Statements'!L12</f>
        <v>0.0559794649021288</v>
      </c>
      <c r="M30" s="176">
        <f>'Financial Statements'!M71/'Financial Statements'!M12</f>
        <v>0.0559794649021288</v>
      </c>
      <c r="N30" s="176">
        <f>'Financial Statements'!N71/'Financial Statements'!N12</f>
        <v>0.0559794649021289</v>
      </c>
      <c r="O30" s="176">
        <f>'Financial Statements'!O71/'Financial Statements'!O12</f>
        <v>0.0559794649021288</v>
      </c>
      <c r="P30" s="176">
        <f>'Financial Statements'!P71/'Financial Statements'!P12</f>
        <v>0.0559794649021288</v>
      </c>
      <c r="Q30" s="176">
        <f>'Financial Statements'!Q71/'Financial Statements'!Q12</f>
        <v>0.0559794649021288</v>
      </c>
      <c r="R30" s="176">
        <f>'Financial Statements'!R71/'Financial Statements'!R12</f>
        <v>0.0559794649021289</v>
      </c>
    </row>
    <row r="31" spans="1:18">
      <c r="A31" t="s">
        <v>113</v>
      </c>
      <c r="B31" s="61"/>
      <c r="C31" s="165">
        <f>'Financial Statements'!C12/(('Financial Statements'!B75+'Financial Statements'!C75)/2)</f>
        <v>2.00481366800624</v>
      </c>
      <c r="D31" s="165">
        <f>'Financial Statements'!D12/(('Financial Statements'!C75+'Financial Statements'!D75)/2)</f>
        <v>2.36875476544003</v>
      </c>
      <c r="E31" s="165">
        <f>'Financial Statements'!E12/(('Financial Statements'!D75+'Financial Statements'!E75)/2)</f>
        <v>2.48404703361979</v>
      </c>
      <c r="F31" s="165">
        <f>'Financial Statements'!F12/(('Financial Statements'!E75+'Financial Statements'!F75)/2)</f>
        <v>2.431856608306</v>
      </c>
      <c r="G31" s="176">
        <f>'Financial Statements'!G12/(('Financial Statements'!F75+'Financial Statements'!G75)/2)</f>
        <v>2.40055589987104</v>
      </c>
      <c r="H31" s="176">
        <f>'Financial Statements'!H12/(('Financial Statements'!G75+'Financial Statements'!H75)/2)</f>
        <v>2.40036559533113</v>
      </c>
      <c r="I31" s="176">
        <f>'Financial Statements'!I12/(('Financial Statements'!H75+'Financial Statements'!I75)/2)</f>
        <v>2.40017525966051</v>
      </c>
      <c r="J31" s="176">
        <f>'Financial Statements'!J12/(('Financial Statements'!I75+'Financial Statements'!J75)/2)</f>
        <v>2.39998489285151</v>
      </c>
      <c r="K31" s="176">
        <f>'Financial Statements'!K12/(('Financial Statements'!J75+'Financial Statements'!K75)/2)</f>
        <v>2.39979449489652</v>
      </c>
      <c r="L31" s="176">
        <f>'Financial Statements'!L12/(('Financial Statements'!K75+'Financial Statements'!L75)/2)</f>
        <v>2.39960406578788</v>
      </c>
      <c r="M31" s="176">
        <f>'Financial Statements'!M12/(('Financial Statements'!L75+'Financial Statements'!M75)/2)</f>
        <v>2.39941360551794</v>
      </c>
      <c r="N31" s="176">
        <f>'Financial Statements'!N12/(('Financial Statements'!M75+'Financial Statements'!N75)/2)</f>
        <v>2.39922311407906</v>
      </c>
      <c r="O31" s="176">
        <f>'Financial Statements'!O12/(('Financial Statements'!N75+'Financial Statements'!O75)/2)</f>
        <v>2.39903259146358</v>
      </c>
      <c r="P31" s="176">
        <f>'Financial Statements'!P12/(('Financial Statements'!O75+'Financial Statements'!P75)/2)</f>
        <v>2.39884203766386</v>
      </c>
      <c r="Q31" s="176">
        <f>'Financial Statements'!Q12/(('Financial Statements'!P75+'Financial Statements'!Q75)/2)</f>
        <v>2.39865145267222</v>
      </c>
      <c r="R31" s="176">
        <f>'Financial Statements'!R12/(('Financial Statements'!Q75+'Financial Statements'!R75)/2)</f>
        <v>2.39865145267222</v>
      </c>
    </row>
    <row r="32" spans="1:18">
      <c r="A32" s="238" t="s">
        <v>114</v>
      </c>
      <c r="B32" s="61"/>
      <c r="C32" s="165">
        <f>C30*C31</f>
        <v>-0.100239087304034</v>
      </c>
      <c r="D32" s="165">
        <f>D30*D31</f>
        <v>0.0952098725418732</v>
      </c>
      <c r="E32" s="165">
        <f>E30*E31</f>
        <v>0.14173496941779</v>
      </c>
      <c r="F32" s="165">
        <f>F30*F31</f>
        <v>0.136134031651676</v>
      </c>
      <c r="G32" s="176">
        <f>G30*G31</f>
        <v>0.134381834742429</v>
      </c>
      <c r="H32" s="176">
        <f t="shared" ref="H32:R32" si="1">H30*H31</f>
        <v>0.134371181596117</v>
      </c>
      <c r="I32" s="176">
        <f t="shared" si="1"/>
        <v>0.134360526707123</v>
      </c>
      <c r="J32" s="176">
        <f t="shared" si="1"/>
        <v>0.134349870075021</v>
      </c>
      <c r="K32" s="176">
        <f t="shared" si="1"/>
        <v>0.134339211699382</v>
      </c>
      <c r="L32" s="176">
        <f t="shared" si="1"/>
        <v>0.134328551579778</v>
      </c>
      <c r="M32" s="176">
        <f t="shared" si="1"/>
        <v>0.134317889715782</v>
      </c>
      <c r="N32" s="176">
        <f t="shared" si="1"/>
        <v>0.134307226106965</v>
      </c>
      <c r="O32" s="176">
        <f t="shared" si="1"/>
        <v>0.134296560752899</v>
      </c>
      <c r="P32" s="176">
        <f t="shared" si="1"/>
        <v>0.134285893653155</v>
      </c>
      <c r="Q32" s="176">
        <f t="shared" si="1"/>
        <v>0.134275224807305</v>
      </c>
      <c r="R32" s="176">
        <f t="shared" si="1"/>
        <v>0.134275224807305</v>
      </c>
    </row>
    <row r="33" spans="1:18">
      <c r="A33" s="16" t="s">
        <v>115</v>
      </c>
      <c r="B33" s="61"/>
      <c r="C33" s="165">
        <f>-'Financial Statements'!C72/(('Financial Statements'!B76+'Financial Statements'!C76)/2)</f>
        <v>0.0904434484243768</v>
      </c>
      <c r="D33" s="165">
        <f>-'Financial Statements'!D72/(('Financial Statements'!C76+'Financial Statements'!D76)/2)</f>
        <v>0.0303611634334993</v>
      </c>
      <c r="E33" s="165">
        <f>-'Financial Statements'!E72/(('Financial Statements'!D76+'Financial Statements'!E76)/2)</f>
        <v>0.0324679454428564</v>
      </c>
      <c r="F33" s="165">
        <f>-'Financial Statements'!F72/(('Financial Statements'!E76+'Financial Statements'!F76)/2)</f>
        <v>0.0438182477065011</v>
      </c>
      <c r="G33" s="176">
        <f>-'Financial Statements'!G72/(('Financial Statements'!F76+'Financial Statements'!G76)/2)</f>
        <v>0.0438182477065011</v>
      </c>
      <c r="H33" s="176">
        <f>-'Financial Statements'!H72/(('Financial Statements'!G76+'Financial Statements'!H76)/2)</f>
        <v>0.0438182477065011</v>
      </c>
      <c r="I33" s="176">
        <f>-'Financial Statements'!I72/(('Financial Statements'!H76+'Financial Statements'!I76)/2)</f>
        <v>0.0438182477065011</v>
      </c>
      <c r="J33" s="176">
        <f>-'Financial Statements'!J72/(('Financial Statements'!I76+'Financial Statements'!J76)/2)</f>
        <v>0.0438182477065011</v>
      </c>
      <c r="K33" s="176">
        <f>-'Financial Statements'!K72/(('Financial Statements'!J76+'Financial Statements'!K76)/2)</f>
        <v>0.0438182477065011</v>
      </c>
      <c r="L33" s="176">
        <f>-'Financial Statements'!L72/(('Financial Statements'!K76+'Financial Statements'!L76)/2)</f>
        <v>0.0438182477065011</v>
      </c>
      <c r="M33" s="176">
        <f>-'Financial Statements'!M72/(('Financial Statements'!L76+'Financial Statements'!M76)/2)</f>
        <v>0.0438182477065011</v>
      </c>
      <c r="N33" s="176">
        <f>-'Financial Statements'!N72/(('Financial Statements'!M76+'Financial Statements'!N76)/2)</f>
        <v>0.0438182477065011</v>
      </c>
      <c r="O33" s="176">
        <f>-'Financial Statements'!O72/(('Financial Statements'!N76+'Financial Statements'!O76)/2)</f>
        <v>0.0438182477065011</v>
      </c>
      <c r="P33" s="176">
        <f>-'Financial Statements'!P72/(('Financial Statements'!O76+'Financial Statements'!P76)/2)</f>
        <v>0.0438182477065011</v>
      </c>
      <c r="Q33" s="176">
        <f>-'Financial Statements'!Q72/(('Financial Statements'!P76+'Financial Statements'!Q76)/2)</f>
        <v>0.0438182477065011</v>
      </c>
      <c r="R33" s="176">
        <f>-'Financial Statements'!R72/(('Financial Statements'!Q76+'Financial Statements'!R76)/2)</f>
        <v>0.0438182477065011</v>
      </c>
    </row>
    <row r="34" spans="1:18">
      <c r="A34" s="16" t="s">
        <v>116</v>
      </c>
      <c r="B34" s="61"/>
      <c r="C34" s="165">
        <f>C32-C33</f>
        <v>-0.190682535728411</v>
      </c>
      <c r="D34" s="165">
        <f>D32-D33</f>
        <v>0.0648487091083739</v>
      </c>
      <c r="E34" s="165">
        <f>E32-E33</f>
        <v>0.109267023974934</v>
      </c>
      <c r="F34" s="165">
        <f>F32-F33</f>
        <v>0.0923157839451748</v>
      </c>
      <c r="G34" s="176">
        <f>G32-G33</f>
        <v>0.0905635870359281</v>
      </c>
      <c r="H34" s="176">
        <f t="shared" ref="H34:R34" si="2">H32-H33</f>
        <v>0.0905529338896158</v>
      </c>
      <c r="I34" s="176">
        <f t="shared" si="2"/>
        <v>0.0905422790006221</v>
      </c>
      <c r="J34" s="176">
        <f t="shared" si="2"/>
        <v>0.0905316223685196</v>
      </c>
      <c r="K34" s="176">
        <f t="shared" si="2"/>
        <v>0.0905209639928807</v>
      </c>
      <c r="L34" s="176">
        <f t="shared" si="2"/>
        <v>0.090510303873277</v>
      </c>
      <c r="M34" s="176">
        <f t="shared" si="2"/>
        <v>0.0904996420092808</v>
      </c>
      <c r="N34" s="176">
        <f t="shared" si="2"/>
        <v>0.0904889784004639</v>
      </c>
      <c r="O34" s="176">
        <f t="shared" si="2"/>
        <v>0.0904783130463977</v>
      </c>
      <c r="P34" s="176">
        <f t="shared" si="2"/>
        <v>0.090467645946654</v>
      </c>
      <c r="Q34" s="176">
        <f t="shared" si="2"/>
        <v>0.0904569771008039</v>
      </c>
      <c r="R34" s="176">
        <f t="shared" si="2"/>
        <v>0.090456977100804</v>
      </c>
    </row>
    <row r="35" spans="1:18">
      <c r="A35" s="16" t="s">
        <v>117</v>
      </c>
      <c r="B35" s="61"/>
      <c r="C35" s="165">
        <f>('Financial Statements'!B76+'Financial Statements'!C76)/('Financial Statements'!B77+'Financial Statements'!C77)</f>
        <v>0.775293952530955</v>
      </c>
      <c r="D35" s="165">
        <f>('Financial Statements'!C76+'Financial Statements'!D76)/('Financial Statements'!C77+'Financial Statements'!D77)</f>
        <v>0.675550736697009</v>
      </c>
      <c r="E35" s="165">
        <f>('Financial Statements'!D76+'Financial Statements'!E76)/('Financial Statements'!D77+'Financial Statements'!E77)</f>
        <v>0.516864720349185</v>
      </c>
      <c r="F35" s="165">
        <f>('Financial Statements'!E76+'Financial Statements'!F76)/('Financial Statements'!E77+'Financial Statements'!F77)</f>
        <v>0.442767832149189</v>
      </c>
      <c r="G35" s="176">
        <f>('Financial Statements'!F76+'Financial Statements'!G76)/('Financial Statements'!F77+'Financial Statements'!G77)</f>
        <v>0.442702597654985</v>
      </c>
      <c r="H35" s="176">
        <f>('Financial Statements'!G76+'Financial Statements'!H76)/('Financial Statements'!G77+'Financial Statements'!H77)</f>
        <v>0.442702597654985</v>
      </c>
      <c r="I35" s="176">
        <f>('Financial Statements'!H76+'Financial Statements'!I76)/('Financial Statements'!H77+'Financial Statements'!I77)</f>
        <v>0.442702597654985</v>
      </c>
      <c r="J35" s="176">
        <f>('Financial Statements'!I76+'Financial Statements'!J76)/('Financial Statements'!I77+'Financial Statements'!J77)</f>
        <v>0.442702597654985</v>
      </c>
      <c r="K35" s="176">
        <f>('Financial Statements'!J76+'Financial Statements'!K76)/('Financial Statements'!J77+'Financial Statements'!K77)</f>
        <v>0.442702597654985</v>
      </c>
      <c r="L35" s="176">
        <f>('Financial Statements'!K76+'Financial Statements'!L76)/('Financial Statements'!K77+'Financial Statements'!L77)</f>
        <v>0.442702597654985</v>
      </c>
      <c r="M35" s="176">
        <f>('Financial Statements'!L76+'Financial Statements'!M76)/('Financial Statements'!L77+'Financial Statements'!M77)</f>
        <v>0.442702597654985</v>
      </c>
      <c r="N35" s="176">
        <f>('Financial Statements'!M76+'Financial Statements'!N76)/('Financial Statements'!M77+'Financial Statements'!N77)</f>
        <v>0.442702597654985</v>
      </c>
      <c r="O35" s="176">
        <f>('Financial Statements'!N76+'Financial Statements'!O76)/('Financial Statements'!N77+'Financial Statements'!O77)</f>
        <v>0.442702597654985</v>
      </c>
      <c r="P35" s="176">
        <f>('Financial Statements'!O76+'Financial Statements'!P76)/('Financial Statements'!O77+'Financial Statements'!P77)</f>
        <v>0.442702597654985</v>
      </c>
      <c r="Q35" s="176">
        <f>('Financial Statements'!P76+'Financial Statements'!Q76)/('Financial Statements'!P77+'Financial Statements'!Q77)</f>
        <v>0.442702597654985</v>
      </c>
      <c r="R35" s="176">
        <f>('Financial Statements'!Q76+'Financial Statements'!R76)/('Financial Statements'!Q77+'Financial Statements'!R77)</f>
        <v>0.442702597654985</v>
      </c>
    </row>
    <row r="36" spans="1:18">
      <c r="A36" t="s">
        <v>118</v>
      </c>
      <c r="B36" s="61"/>
      <c r="C36" s="165">
        <f>C32+(C35*C34)</f>
        <v>-0.248074104107538</v>
      </c>
      <c r="D36" s="165">
        <f>D32+(D35*D34)</f>
        <v>0.139018465753885</v>
      </c>
      <c r="E36" s="165">
        <f>E32+(E35*E34)</f>
        <v>0.198211239207982</v>
      </c>
      <c r="F36" s="165">
        <f>F32+(F35*F34)</f>
        <v>0.177008491182234</v>
      </c>
      <c r="G36" s="176">
        <f>G32+(G35*G34)</f>
        <v>0.174474569976188</v>
      </c>
      <c r="H36" s="176">
        <f t="shared" ref="H36:R36" si="3">H32+(H35*H34)</f>
        <v>0.17445920065433</v>
      </c>
      <c r="I36" s="176">
        <f t="shared" si="3"/>
        <v>0.174443828818301</v>
      </c>
      <c r="J36" s="176">
        <f t="shared" si="3"/>
        <v>0.174428454467484</v>
      </c>
      <c r="K36" s="176">
        <f t="shared" si="3"/>
        <v>0.174413077601263</v>
      </c>
      <c r="L36" s="176">
        <f t="shared" si="3"/>
        <v>0.17439769821902</v>
      </c>
      <c r="M36" s="176">
        <f t="shared" si="3"/>
        <v>0.174382316320137</v>
      </c>
      <c r="N36" s="176">
        <f t="shared" si="3"/>
        <v>0.174366931903996</v>
      </c>
      <c r="O36" s="176">
        <f t="shared" si="3"/>
        <v>0.17435154496998</v>
      </c>
      <c r="P36" s="176">
        <f t="shared" si="3"/>
        <v>0.17433615551747</v>
      </c>
      <c r="Q36" s="176">
        <f t="shared" si="3"/>
        <v>0.174320763545848</v>
      </c>
      <c r="R36" s="176">
        <f t="shared" si="3"/>
        <v>0.174320763545849</v>
      </c>
    </row>
    <row r="37" spans="2:18">
      <c r="B37" s="61"/>
      <c r="C37" s="61"/>
      <c r="D37" s="61"/>
      <c r="E37" s="165"/>
      <c r="F37" s="16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</row>
    <row r="38" spans="2:18">
      <c r="B38" s="61"/>
      <c r="C38" s="61"/>
      <c r="D38" s="61"/>
      <c r="E38" s="165"/>
      <c r="F38" s="16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</row>
    <row r="39" spans="1:18">
      <c r="A39" s="100" t="s">
        <v>119</v>
      </c>
      <c r="B39" s="150"/>
      <c r="C39" s="150"/>
      <c r="D39" s="150"/>
      <c r="E39" s="165"/>
      <c r="F39" s="16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</row>
    <row r="40" spans="1:18">
      <c r="A40" t="s">
        <v>120</v>
      </c>
      <c r="B40" s="165">
        <f>'Financial Statements'!B14/'Financial Statements'!B12</f>
        <v>0.315654851543009</v>
      </c>
      <c r="C40" s="165">
        <f>'Financial Statements'!C14/'Financial Statements'!C12</f>
        <v>0.304403832925125</v>
      </c>
      <c r="D40" s="165">
        <f>'Financial Statements'!D14/'Financial Statements'!D12</f>
        <v>0.298198282142071</v>
      </c>
      <c r="E40" s="165">
        <f>'Financial Statements'!E14/'Financial Statements'!E12</f>
        <v>0.305276899013301</v>
      </c>
      <c r="F40" s="165">
        <f>'Financial Statements'!F14/'Financial Statements'!F12</f>
        <v>0.293523851496132</v>
      </c>
      <c r="G40" s="175">
        <f>'Financial Statements'!G14/'Financial Statements'!G12</f>
        <v>0.293523851496132</v>
      </c>
      <c r="H40" s="175">
        <f>'Financial Statements'!H14/'Financial Statements'!H12</f>
        <v>0.293523851496132</v>
      </c>
      <c r="I40" s="175">
        <f>'Financial Statements'!I14/'Financial Statements'!I12</f>
        <v>0.293523851496132</v>
      </c>
      <c r="J40" s="175">
        <f>'Financial Statements'!J14/'Financial Statements'!J12</f>
        <v>0.293523851496132</v>
      </c>
      <c r="K40" s="175">
        <f>'Financial Statements'!K14/'Financial Statements'!K12</f>
        <v>0.293523851496132</v>
      </c>
      <c r="L40" s="175">
        <f>'Financial Statements'!L14/'Financial Statements'!L12</f>
        <v>0.293523851496132</v>
      </c>
      <c r="M40" s="175">
        <f>'Financial Statements'!M14/'Financial Statements'!M12</f>
        <v>0.293523851496132</v>
      </c>
      <c r="N40" s="175">
        <f>'Financial Statements'!N14/'Financial Statements'!N12</f>
        <v>0.293523851496132</v>
      </c>
      <c r="O40" s="175">
        <f>'Financial Statements'!O14/'Financial Statements'!O12</f>
        <v>0.293523851496132</v>
      </c>
      <c r="P40" s="175">
        <f>'Financial Statements'!P14/'Financial Statements'!P12</f>
        <v>0.293523851496132</v>
      </c>
      <c r="Q40" s="175">
        <f>'Financial Statements'!Q14/'Financial Statements'!Q12</f>
        <v>0.293523851496132</v>
      </c>
      <c r="R40" s="175">
        <f>'Financial Statements'!R14/'Financial Statements'!R12</f>
        <v>0.293523851496132</v>
      </c>
    </row>
    <row r="41" spans="1:18">
      <c r="A41" t="s">
        <v>121</v>
      </c>
      <c r="B41" s="165">
        <f>'Financial Statements'!B17/'Financial Statements'!B12</f>
        <v>0.0929761075273651</v>
      </c>
      <c r="C41" s="165">
        <f>'Financial Statements'!C17/'Financial Statements'!C12</f>
        <v>-0.0411640735564095</v>
      </c>
      <c r="D41" s="165">
        <f>'Financial Statements'!D17/'Financial Statements'!D12</f>
        <v>0.0534585867484372</v>
      </c>
      <c r="E41" s="165">
        <f>'Financial Statements'!E17/'Financial Statements'!E12</f>
        <v>0.0740083028542532</v>
      </c>
      <c r="F41" s="165">
        <f>'Financial Statements'!F17/'Financial Statements'!F12</f>
        <v>0.0688190508031549</v>
      </c>
      <c r="G41" s="175">
        <f>'Financial Statements'!G17/'Financial Statements'!G12</f>
        <v>0.0688190508031548</v>
      </c>
      <c r="H41" s="175">
        <f>'Financial Statements'!H17/'Financial Statements'!H12</f>
        <v>0.0688190508031549</v>
      </c>
      <c r="I41" s="175">
        <f>'Financial Statements'!I17/'Financial Statements'!I12</f>
        <v>0.0688190508031548</v>
      </c>
      <c r="J41" s="175">
        <f>'Financial Statements'!J17/'Financial Statements'!J12</f>
        <v>0.0688190508031548</v>
      </c>
      <c r="K41" s="175">
        <f>'Financial Statements'!K17/'Financial Statements'!K12</f>
        <v>0.0688190508031549</v>
      </c>
      <c r="L41" s="175">
        <f>'Financial Statements'!L17/'Financial Statements'!L12</f>
        <v>0.0688190508031548</v>
      </c>
      <c r="M41" s="175">
        <f>'Financial Statements'!M17/'Financial Statements'!M12</f>
        <v>0.0688190508031548</v>
      </c>
      <c r="N41" s="175">
        <f>'Financial Statements'!N17/'Financial Statements'!N12</f>
        <v>0.0688190508031549</v>
      </c>
      <c r="O41" s="175">
        <f>'Financial Statements'!O17/'Financial Statements'!O12</f>
        <v>0.0688190508031548</v>
      </c>
      <c r="P41" s="175">
        <f>'Financial Statements'!P17/'Financial Statements'!P12</f>
        <v>0.0688190508031549</v>
      </c>
      <c r="Q41" s="175">
        <f>'Financial Statements'!Q17/'Financial Statements'!Q12</f>
        <v>0.0688190508031548</v>
      </c>
      <c r="R41" s="175">
        <f>'Financial Statements'!R17/'Financial Statements'!R12</f>
        <v>0.0688190508031549</v>
      </c>
    </row>
    <row r="42" spans="1:18">
      <c r="A42" t="s">
        <v>122</v>
      </c>
      <c r="B42" s="165">
        <f>'Financial Statements'!B19/'Financial Statements'!B12</f>
        <v>0.0898653660290845</v>
      </c>
      <c r="C42" s="165">
        <f>'Financial Statements'!C19/'Financial Statements'!C12</f>
        <v>-0.0411640735564095</v>
      </c>
      <c r="D42" s="165">
        <f>'Financial Statements'!D19/'Financial Statements'!D12</f>
        <v>0.0534585867484372</v>
      </c>
      <c r="E42" s="165">
        <f>'Financial Statements'!E19/'Financial Statements'!E12</f>
        <v>0.0740083028542532</v>
      </c>
      <c r="F42" s="165">
        <f>'Financial Statements'!F19/'Financial Statements'!F12</f>
        <v>0.0688190508031549</v>
      </c>
      <c r="G42" s="175">
        <f>'Financial Statements'!G19/'Financial Statements'!G12</f>
        <v>0.0688190508031548</v>
      </c>
      <c r="H42" s="175">
        <f>'Financial Statements'!H19/'Financial Statements'!H12</f>
        <v>0.0688190508031549</v>
      </c>
      <c r="I42" s="175">
        <f>'Financial Statements'!I19/'Financial Statements'!I12</f>
        <v>0.0688190508031548</v>
      </c>
      <c r="J42" s="175">
        <f>'Financial Statements'!J19/'Financial Statements'!J12</f>
        <v>0.0688190508031548</v>
      </c>
      <c r="K42" s="175">
        <f>'Financial Statements'!K19/'Financial Statements'!K12</f>
        <v>0.0688190508031549</v>
      </c>
      <c r="L42" s="175">
        <f>'Financial Statements'!L19/'Financial Statements'!L12</f>
        <v>0.0688190508031548</v>
      </c>
      <c r="M42" s="175">
        <f>'Financial Statements'!M19/'Financial Statements'!M12</f>
        <v>0.0688190508031548</v>
      </c>
      <c r="N42" s="175">
        <f>'Financial Statements'!N19/'Financial Statements'!N12</f>
        <v>0.0688190508031549</v>
      </c>
      <c r="O42" s="175">
        <f>'Financial Statements'!O19/'Financial Statements'!O12</f>
        <v>0.0688190508031548</v>
      </c>
      <c r="P42" s="175">
        <f>'Financial Statements'!P19/'Financial Statements'!P12</f>
        <v>0.0688190508031549</v>
      </c>
      <c r="Q42" s="175">
        <f>'Financial Statements'!Q19/'Financial Statements'!Q12</f>
        <v>0.0688190508031548</v>
      </c>
      <c r="R42" s="175">
        <f>'Financial Statements'!R19/'Financial Statements'!R12</f>
        <v>0.0688190508031549</v>
      </c>
    </row>
    <row r="43" spans="1:18">
      <c r="A43" t="s">
        <v>123</v>
      </c>
      <c r="B43" s="165">
        <f>('Financial Statements'!B71-'Financial Statements'!B21*(1-'Forecasting Assumptions'!B21)-'Financial Statements'!B26-'Financial Statements'!B24)/'Financial Statements'!B12</f>
        <v>0.0904085663049646</v>
      </c>
      <c r="C43" s="165">
        <f>('Financial Statements'!C71-'Financial Statements'!C21*(1-'Forecasting Assumptions'!C21)-'Financial Statements'!C26-'Financial Statements'!C24)/'Financial Statements'!C12</f>
        <v>-0.0500258275122507</v>
      </c>
      <c r="D43" s="165">
        <f>('Financial Statements'!D71-'Financial Statements'!D21*(1-'Forecasting Assumptions'!D21)-'Financial Statements'!D26-'Financial Statements'!D24)/'Financial Statements'!D12</f>
        <v>0.0402386923099641</v>
      </c>
      <c r="E43" s="165">
        <f>('Financial Statements'!E71-'Financial Statements'!E21*(1-'Forecasting Assumptions'!E21)-'Financial Statements'!E26-'Financial Statements'!E24)/'Financial Statements'!E12</f>
        <v>0.0570822747442938</v>
      </c>
      <c r="F43" s="165">
        <f>('Financial Statements'!F71-'Financial Statements'!F21*(1-'Forecasting Assumptions'!F21)-'Financial Statements'!F26-'Financial Statements'!F24)/'Financial Statements'!F12</f>
        <v>0.0559887376311171</v>
      </c>
      <c r="G43" s="176">
        <f>('Financial Statements'!G71-'Financial Statements'!G21*(1-'Forecasting Assumptions'!G21)-'Financial Statements'!G26-'Financial Statements'!G24)/'Financial Statements'!G12</f>
        <v>0.0559887376311171</v>
      </c>
      <c r="H43" s="176">
        <f>('Financial Statements'!H71-'Financial Statements'!H21*(1-'Forecasting Assumptions'!H21)-'Financial Statements'!H26-'Financial Statements'!H24)/'Financial Statements'!H12</f>
        <v>0.0559887376311171</v>
      </c>
      <c r="I43" s="176">
        <f>('Financial Statements'!I71-'Financial Statements'!I21*(1-'Forecasting Assumptions'!I21)-'Financial Statements'!I26-'Financial Statements'!I24)/'Financial Statements'!I12</f>
        <v>0.0559887376311171</v>
      </c>
      <c r="J43" s="176">
        <f>('Financial Statements'!J71-'Financial Statements'!J21*(1-'Forecasting Assumptions'!J21)-'Financial Statements'!J26-'Financial Statements'!J24)/'Financial Statements'!J12</f>
        <v>0.0559887376311171</v>
      </c>
      <c r="K43" s="176">
        <f>('Financial Statements'!K71-'Financial Statements'!K21*(1-'Forecasting Assumptions'!K21)-'Financial Statements'!K26-'Financial Statements'!K24)/'Financial Statements'!K12</f>
        <v>0.0559887376311171</v>
      </c>
      <c r="L43" s="176">
        <f>('Financial Statements'!L71-'Financial Statements'!L21*(1-'Forecasting Assumptions'!L21)-'Financial Statements'!L26-'Financial Statements'!L24)/'Financial Statements'!L12</f>
        <v>0.0559887376311171</v>
      </c>
      <c r="M43" s="176">
        <f>('Financial Statements'!M71-'Financial Statements'!M21*(1-'Forecasting Assumptions'!M21)-'Financial Statements'!M26-'Financial Statements'!M24)/'Financial Statements'!M12</f>
        <v>0.0559887376311171</v>
      </c>
      <c r="N43" s="176">
        <f>('Financial Statements'!N71-'Financial Statements'!N21*(1-'Forecasting Assumptions'!N21)-'Financial Statements'!N26-'Financial Statements'!N24)/'Financial Statements'!N12</f>
        <v>0.0559887376311171</v>
      </c>
      <c r="O43" s="176">
        <f>('Financial Statements'!O71-'Financial Statements'!O21*(1-'Forecasting Assumptions'!O21)-'Financial Statements'!O26-'Financial Statements'!O24)/'Financial Statements'!O12</f>
        <v>0.0559887376311171</v>
      </c>
      <c r="P43" s="176">
        <f>('Financial Statements'!P71-'Financial Statements'!P21*(1-'Forecasting Assumptions'!P21)-'Financial Statements'!P26-'Financial Statements'!P24)/'Financial Statements'!P12</f>
        <v>0.0559887376311171</v>
      </c>
      <c r="Q43" s="176">
        <f>('Financial Statements'!Q71-'Financial Statements'!Q21*(1-'Forecasting Assumptions'!Q21)-'Financial Statements'!Q26-'Financial Statements'!Q24)/'Financial Statements'!Q12</f>
        <v>0.0559887376311171</v>
      </c>
      <c r="R43" s="176">
        <f>('Financial Statements'!R71-'Financial Statements'!R21*(1-'Forecasting Assumptions'!R21)-'Financial Statements'!R26-'Financial Statements'!R24)/'Financial Statements'!R12</f>
        <v>0.0559887376311171</v>
      </c>
    </row>
    <row r="44" spans="1:18">
      <c r="A44" t="s">
        <v>124</v>
      </c>
      <c r="B44" s="165">
        <f>'Financial Statements'!B71/'Financial Statements'!B12</f>
        <v>0.0907115713543584</v>
      </c>
      <c r="C44" s="165">
        <f>'Financial Statements'!C71/'Financial Statements'!C12</f>
        <v>-0.0499992038680185</v>
      </c>
      <c r="D44" s="165">
        <f>'Financial Statements'!D71/'Financial Statements'!D12</f>
        <v>0.0401940605802588</v>
      </c>
      <c r="E44" s="165">
        <f>'Financial Statements'!E71/'Financial Statements'!E12</f>
        <v>0.0570580860585607</v>
      </c>
      <c r="F44" s="165">
        <f>'Financial Statements'!F71/'Financial Statements'!F12</f>
        <v>0.0559794649021289</v>
      </c>
      <c r="G44" s="176">
        <f>'Financial Statements'!G71/'Financial Statements'!G12</f>
        <v>0.0559794649021288</v>
      </c>
      <c r="H44" s="176">
        <f>'Financial Statements'!H71/'Financial Statements'!H12</f>
        <v>0.0559794649021288</v>
      </c>
      <c r="I44" s="176">
        <f>'Financial Statements'!I71/'Financial Statements'!I12</f>
        <v>0.0559794649021288</v>
      </c>
      <c r="J44" s="176">
        <f>'Financial Statements'!J71/'Financial Statements'!J12</f>
        <v>0.0559794649021288</v>
      </c>
      <c r="K44" s="176">
        <f>'Financial Statements'!K71/'Financial Statements'!K12</f>
        <v>0.0559794649021289</v>
      </c>
      <c r="L44" s="176">
        <f>'Financial Statements'!L71/'Financial Statements'!L12</f>
        <v>0.0559794649021288</v>
      </c>
      <c r="M44" s="176">
        <f>'Financial Statements'!M71/'Financial Statements'!M12</f>
        <v>0.0559794649021288</v>
      </c>
      <c r="N44" s="176">
        <f>'Financial Statements'!N71/'Financial Statements'!N12</f>
        <v>0.0559794649021289</v>
      </c>
      <c r="O44" s="176">
        <f>'Financial Statements'!O71/'Financial Statements'!O12</f>
        <v>0.0559794649021288</v>
      </c>
      <c r="P44" s="176">
        <f>'Financial Statements'!P71/'Financial Statements'!P12</f>
        <v>0.0559794649021288</v>
      </c>
      <c r="Q44" s="176">
        <f>'Financial Statements'!Q71/'Financial Statements'!Q12</f>
        <v>0.0559794649021288</v>
      </c>
      <c r="R44" s="176">
        <f>'Financial Statements'!R71/'Financial Statements'!R12</f>
        <v>0.0559794649021289</v>
      </c>
    </row>
    <row r="45" spans="2:18">
      <c r="B45" s="61"/>
      <c r="C45" s="61"/>
      <c r="D45" s="61"/>
      <c r="E45" s="165"/>
      <c r="F45" s="16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</row>
    <row r="46" spans="1:18">
      <c r="A46" s="100" t="s">
        <v>125</v>
      </c>
      <c r="B46" s="150"/>
      <c r="C46" s="150"/>
      <c r="D46" s="150"/>
      <c r="E46" s="165"/>
      <c r="F46" s="16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</row>
    <row r="47" spans="1:18">
      <c r="A47" t="s">
        <v>126</v>
      </c>
      <c r="B47" s="165"/>
      <c r="C47" s="165">
        <f>'Financial Statements'!C12/(('Financial Statements'!C75+'Financial Statements'!B75)/2)</f>
        <v>2.00481366800624</v>
      </c>
      <c r="D47" s="165">
        <f>'Financial Statements'!D12/(('Financial Statements'!D75+'Financial Statements'!C75)/2)</f>
        <v>2.36875476544003</v>
      </c>
      <c r="E47" s="165">
        <f>'Financial Statements'!E12/(('Financial Statements'!E75+'Financial Statements'!D75)/2)</f>
        <v>2.48404703361979</v>
      </c>
      <c r="F47" s="165">
        <f>'Financial Statements'!F12/(('Financial Statements'!F75+'Financial Statements'!E75)/2)</f>
        <v>2.431856608306</v>
      </c>
      <c r="G47" s="176">
        <f>'Financial Statements'!G12/(('Financial Statements'!G75+'Financial Statements'!F75)/2)</f>
        <v>2.40055589987104</v>
      </c>
      <c r="H47" s="176">
        <f>'Financial Statements'!H12/(('Financial Statements'!H75+'Financial Statements'!G75)/2)</f>
        <v>2.40036559533113</v>
      </c>
      <c r="I47" s="176">
        <f>'Financial Statements'!I12/(('Financial Statements'!I75+'Financial Statements'!H75)/2)</f>
        <v>2.40017525966051</v>
      </c>
      <c r="J47" s="176">
        <f>'Financial Statements'!J12/(('Financial Statements'!J75+'Financial Statements'!I75)/2)</f>
        <v>2.39998489285151</v>
      </c>
      <c r="K47" s="176">
        <f>'Financial Statements'!K12/(('Financial Statements'!K75+'Financial Statements'!J75)/2)</f>
        <v>2.39979449489652</v>
      </c>
      <c r="L47" s="176">
        <f>'Financial Statements'!L12/(('Financial Statements'!L75+'Financial Statements'!K75)/2)</f>
        <v>2.39960406578788</v>
      </c>
      <c r="M47" s="176">
        <f>'Financial Statements'!M12/(('Financial Statements'!M75+'Financial Statements'!L75)/2)</f>
        <v>2.39941360551794</v>
      </c>
      <c r="N47" s="176">
        <f>'Financial Statements'!N12/(('Financial Statements'!N75+'Financial Statements'!M75)/2)</f>
        <v>2.39922311407906</v>
      </c>
      <c r="O47" s="176">
        <f>'Financial Statements'!O12/(('Financial Statements'!O75+'Financial Statements'!N75)/2)</f>
        <v>2.39903259146358</v>
      </c>
      <c r="P47" s="176">
        <f>'Financial Statements'!P12/(('Financial Statements'!P75+'Financial Statements'!O75)/2)</f>
        <v>2.39884203766386</v>
      </c>
      <c r="Q47" s="176">
        <f>'Financial Statements'!Q12/(('Financial Statements'!Q75+'Financial Statements'!P75)/2)</f>
        <v>2.39865145267222</v>
      </c>
      <c r="R47" s="176">
        <f>'Financial Statements'!R12/(('Financial Statements'!R75+'Financial Statements'!Q75)/2)</f>
        <v>2.39865145267222</v>
      </c>
    </row>
    <row r="48" spans="1:18">
      <c r="A48" t="s">
        <v>127</v>
      </c>
      <c r="B48" s="61"/>
      <c r="C48" s="165">
        <f>'Financial Statements'!C12/(('Financial Statements'!B37-'Financial Statements'!B48+'Financial Statements'!B44+'Financial Statements'!C37-'Financial Statements'!C48+'Financial Statements'!C44)/2)</f>
        <v>9.44927236218354</v>
      </c>
      <c r="D48" s="165">
        <f>'Financial Statements'!D12/(('Financial Statements'!C37-'Financial Statements'!C48+'Financial Statements'!C44+'Financial Statements'!D37-'Financial Statements'!D48+'Financial Statements'!D44)/2)</f>
        <v>14.8940545655259</v>
      </c>
      <c r="E48" s="165">
        <f>'Financial Statements'!E12/(('Financial Statements'!D37-'Financial Statements'!D48+'Financial Statements'!D44+'Financial Statements'!E37-'Financial Statements'!E48+'Financial Statements'!E44)/2)</f>
        <v>22.245835876864</v>
      </c>
      <c r="F48" s="165">
        <f>'Financial Statements'!F12/(('Financial Statements'!E37-'Financial Statements'!E48+'Financial Statements'!E44+'Financial Statements'!F37-'Financial Statements'!F48+'Financial Statements'!F44)/2)</f>
        <v>19.1211361737678</v>
      </c>
      <c r="G48" s="175">
        <f>'Financial Statements'!G12/(('Financial Statements'!F37-'Financial Statements'!F48+'Financial Statements'!F44+'Financial Statements'!G37-'Financial Statements'!G48+'Financial Statements'!G44)/2)</f>
        <v>18.6593537784545</v>
      </c>
      <c r="H48" s="175">
        <f>'Financial Statements'!H12/(('Financial Statements'!G37-'Financial Statements'!G48+'Financial Statements'!G44+'Financial Statements'!H37-'Financial Statements'!H48+'Financial Statements'!H44)/2)</f>
        <v>18.6578745545231</v>
      </c>
      <c r="I48" s="175">
        <f>'Financial Statements'!I12/(('Financial Statements'!H37-'Financial Statements'!H48+'Financial Statements'!H44+'Financial Statements'!I37-'Financial Statements'!I48+'Financial Statements'!I44)/2)</f>
        <v>18.6563950886148</v>
      </c>
      <c r="J48" s="175">
        <f>'Financial Statements'!J12/(('Financial Statements'!I37-'Financial Statements'!I48+'Financial Statements'!I44+'Financial Statements'!J37-'Financial Statements'!J48+'Financial Statements'!J44)/2)</f>
        <v>18.6549153806701</v>
      </c>
      <c r="K48" s="175">
        <f>'Financial Statements'!K12/(('Financial Statements'!J37-'Financial Statements'!J48+'Financial Statements'!J44+'Financial Statements'!K37-'Financial Statements'!K48+'Financial Statements'!K44)/2)</f>
        <v>18.6534354306298</v>
      </c>
      <c r="L48" s="175">
        <f>'Financial Statements'!L12/(('Financial Statements'!K37-'Financial Statements'!K48+'Financial Statements'!K44+'Financial Statements'!L37-'Financial Statements'!L48+'Financial Statements'!L44)/2)</f>
        <v>18.6519552384343</v>
      </c>
      <c r="M48" s="175">
        <f>'Financial Statements'!M12/(('Financial Statements'!L37-'Financial Statements'!L48+'Financial Statements'!L44+'Financial Statements'!M37-'Financial Statements'!M48+'Financial Statements'!M44)/2)</f>
        <v>18.6504748040242</v>
      </c>
      <c r="N48" s="175">
        <f>'Financial Statements'!N12/(('Financial Statements'!M37-'Financial Statements'!M48+'Financial Statements'!M44+'Financial Statements'!N37-'Financial Statements'!N48+'Financial Statements'!N44)/2)</f>
        <v>18.6489941273401</v>
      </c>
      <c r="O48" s="175">
        <f>'Financial Statements'!O12/(('Financial Statements'!N37-'Financial Statements'!N48+'Financial Statements'!N44+'Financial Statements'!O37-'Financial Statements'!O48+'Financial Statements'!O44)/2)</f>
        <v>18.6475132083224</v>
      </c>
      <c r="P48" s="175">
        <f>'Financial Statements'!P12/(('Financial Statements'!O37-'Financial Statements'!O48+'Financial Statements'!O44+'Financial Statements'!P37-'Financial Statements'!P48+'Financial Statements'!P44)/2)</f>
        <v>18.6460320469118</v>
      </c>
      <c r="Q48" s="175">
        <f>'Financial Statements'!Q12/(('Financial Statements'!P37-'Financial Statements'!P48+'Financial Statements'!P44+'Financial Statements'!Q37-'Financial Statements'!Q48+'Financial Statements'!Q44)/2)</f>
        <v>18.6445506430487</v>
      </c>
      <c r="R48" s="175">
        <f>'Financial Statements'!R12/(('Financial Statements'!Q37-'Financial Statements'!Q48+'Financial Statements'!Q44+'Financial Statements'!R37-'Financial Statements'!R48+'Financial Statements'!R44)/2)</f>
        <v>18.6445506430487</v>
      </c>
    </row>
    <row r="49" spans="1:18">
      <c r="A49" t="s">
        <v>128</v>
      </c>
      <c r="B49" s="61"/>
      <c r="C49" s="165">
        <f>365*((('Financial Statements'!B34+'Financial Statements'!C34)/2)/'Financial Statements'!C12)</f>
        <v>0.806818032449295</v>
      </c>
      <c r="D49" s="165">
        <f>365*((('Financial Statements'!C34+'Financial Statements'!D34)/2)/'Financial Statements'!D12)</f>
        <v>0.779907923492639</v>
      </c>
      <c r="E49" s="165">
        <f>365*((('Financial Statements'!D34+'Financial Statements'!E34)/2)/'Financial Statements'!E12)</f>
        <v>0</v>
      </c>
      <c r="F49" s="165">
        <f>365*((('Financial Statements'!E34+'Financial Statements'!F34)/2)/'Financial Statements'!F12)</f>
        <v>0</v>
      </c>
      <c r="G49" s="175">
        <f>365*((('Financial Statements'!F34+'Financial Statements'!G34)/2)/'Financial Statements'!G12)</f>
        <v>0</v>
      </c>
      <c r="H49" s="175">
        <f>365*((('Financial Statements'!G34+'Financial Statements'!H34)/2)/'Financial Statements'!H12)</f>
        <v>0</v>
      </c>
      <c r="I49" s="175">
        <f>365*((('Financial Statements'!H34+'Financial Statements'!I34)/2)/'Financial Statements'!I12)</f>
        <v>0</v>
      </c>
      <c r="J49" s="175">
        <f>365*((('Financial Statements'!I34+'Financial Statements'!J34)/2)/'Financial Statements'!J12)</f>
        <v>0</v>
      </c>
      <c r="K49" s="175">
        <f>365*((('Financial Statements'!J34+'Financial Statements'!K34)/2)/'Financial Statements'!K12)</f>
        <v>0</v>
      </c>
      <c r="L49" s="175">
        <f>365*((('Financial Statements'!K34+'Financial Statements'!L34)/2)/'Financial Statements'!L12)</f>
        <v>0</v>
      </c>
      <c r="M49" s="175">
        <f>365*((('Financial Statements'!L34+'Financial Statements'!M34)/2)/'Financial Statements'!M12)</f>
        <v>0</v>
      </c>
      <c r="N49" s="175">
        <f>365*((('Financial Statements'!M34+'Financial Statements'!N34)/2)/'Financial Statements'!N12)</f>
        <v>0</v>
      </c>
      <c r="O49" s="175">
        <f>365*((('Financial Statements'!N34+'Financial Statements'!O34)/2)/'Financial Statements'!O12)</f>
        <v>0</v>
      </c>
      <c r="P49" s="175">
        <f>365*((('Financial Statements'!O34+'Financial Statements'!P34)/2)/'Financial Statements'!P12)</f>
        <v>0</v>
      </c>
      <c r="Q49" s="175">
        <f>365*((('Financial Statements'!P34+'Financial Statements'!Q34)/2)/'Financial Statements'!Q12)</f>
        <v>0</v>
      </c>
      <c r="R49" s="175">
        <f>365*((('Financial Statements'!Q34+'Financial Statements'!R34)/2)/'Financial Statements'!R12)</f>
        <v>0</v>
      </c>
    </row>
    <row r="50" spans="1:18">
      <c r="A50" t="s">
        <v>129</v>
      </c>
      <c r="B50" s="61"/>
      <c r="C50" s="165">
        <f>-365*((('Financial Statements'!B35+'Financial Statements'!C35)/2)/'Financial Statements'!C13)</f>
        <v>77.0806668010431</v>
      </c>
      <c r="D50" s="165">
        <f>-365*((('Financial Statements'!C35+'Financial Statements'!D35)/2)/'Financial Statements'!D13)</f>
        <v>77.7354994840104</v>
      </c>
      <c r="E50" s="165">
        <f>-365*((('Financial Statements'!D35+'Financial Statements'!E35)/2)/'Financial Statements'!E13)</f>
        <v>71.5607525152495</v>
      </c>
      <c r="F50" s="165">
        <f>-365*((('Financial Statements'!E35+'Financial Statements'!F35)/2)/'Financial Statements'!F13)</f>
        <v>76.4956601937049</v>
      </c>
      <c r="G50" s="175">
        <f>-365*((('Financial Statements'!F35+'Financial Statements'!G35)/2)/'Financial Statements'!G13)</f>
        <v>84.4086278122829</v>
      </c>
      <c r="H50" s="175">
        <f>-365*((('Financial Statements'!G35+'Financial Statements'!H35)/2)/'Financial Statements'!H13)</f>
        <v>84.415319853325</v>
      </c>
      <c r="I50" s="175">
        <f>-365*((('Financial Statements'!H35+'Financial Statements'!I35)/2)/'Financial Statements'!I13)</f>
        <v>84.4220140505304</v>
      </c>
      <c r="J50" s="175">
        <f>-365*((('Financial Statements'!I35+'Financial Statements'!J35)/2)/'Financial Statements'!J13)</f>
        <v>84.4287104049414</v>
      </c>
      <c r="K50" s="175">
        <f>-365*((('Financial Statements'!J35+'Financial Statements'!K35)/2)/'Financial Statements'!K13)</f>
        <v>84.4354089176007</v>
      </c>
      <c r="L50" s="175">
        <f>-365*((('Financial Statements'!K35+'Financial Statements'!L35)/2)/'Financial Statements'!L13)</f>
        <v>84.4421095895521</v>
      </c>
      <c r="M50" s="175">
        <f>-365*((('Financial Statements'!L35+'Financial Statements'!M35)/2)/'Financial Statements'!M13)</f>
        <v>84.4488124218397</v>
      </c>
      <c r="N50" s="175">
        <f>-365*((('Financial Statements'!M35+'Financial Statements'!N35)/2)/'Financial Statements'!N13)</f>
        <v>84.4555174155086</v>
      </c>
      <c r="O50" s="175">
        <f>-365*((('Financial Statements'!N35+'Financial Statements'!O35)/2)/'Financial Statements'!O13)</f>
        <v>84.4622245716042</v>
      </c>
      <c r="P50" s="175">
        <f>-365*((('Financial Statements'!O35+'Financial Statements'!P35)/2)/'Financial Statements'!P13)</f>
        <v>84.4689338911729</v>
      </c>
      <c r="Q50" s="175">
        <f>-365*((('Financial Statements'!P35+'Financial Statements'!Q35)/2)/'Financial Statements'!Q13)</f>
        <v>84.4756453752616</v>
      </c>
      <c r="R50" s="175">
        <f>-365*((('Financial Statements'!Q35+'Financial Statements'!R35)/2)/'Financial Statements'!R13)</f>
        <v>84.4756453752616</v>
      </c>
    </row>
    <row r="51" spans="1:18">
      <c r="A51" t="s">
        <v>130</v>
      </c>
      <c r="B51" s="61"/>
      <c r="C51" s="165">
        <f>365*((('Financial Statements'!B45+'Financial Statements'!C45)/2)/(-'Financial Statements'!C13+'Financial Statements'!C35-'Financial Statements'!B35))</f>
        <v>29.114606741573</v>
      </c>
      <c r="D51" s="165">
        <f>365*((('Financial Statements'!C45+'Financial Statements'!D45)/2)/(-'Financial Statements'!D13+'Financial Statements'!D35-'Financial Statements'!C35))</f>
        <v>30.3455674947602</v>
      </c>
      <c r="E51" s="165">
        <f>365*((('Financial Statements'!D45+'Financial Statements'!E45)/2)/(-'Financial Statements'!E13+'Financial Statements'!E35-'Financial Statements'!D35))</f>
        <v>29.1657920564592</v>
      </c>
      <c r="F51" s="165">
        <f>365*((('Financial Statements'!E45+'Financial Statements'!F45)/2)/(-'Financial Statements'!F13+'Financial Statements'!F35-'Financial Statements'!E35))</f>
        <v>31.4327560965622</v>
      </c>
      <c r="G51" s="176">
        <f>365*((('Financial Statements'!F45+'Financial Statements'!G45)/2)/(-'Financial Statements'!G13+'Financial Statements'!G35-'Financial Statements'!F35))</f>
        <v>36.1561123715827</v>
      </c>
      <c r="H51" s="176">
        <f>365*((('Financial Statements'!G45+'Financial Statements'!H45)/2)/(-'Financial Statements'!H13+'Financial Statements'!H35-'Financial Statements'!G35))</f>
        <v>36.1602953445816</v>
      </c>
      <c r="I51" s="176">
        <f>365*((('Financial Statements'!H45+'Financial Statements'!I45)/2)/(-'Financial Statements'!I13+'Financial Statements'!I35-'Financial Statements'!H35))</f>
        <v>36.1644799700693</v>
      </c>
      <c r="J51" s="176">
        <f>365*((('Financial Statements'!I45+'Financial Statements'!J45)/2)/(-'Financial Statements'!J13+'Financial Statements'!J35-'Financial Statements'!I35))</f>
        <v>36.1686662490253</v>
      </c>
      <c r="K51" s="176">
        <f>365*((('Financial Statements'!J45+'Financial Statements'!K45)/2)/(-'Financial Statements'!K13+'Financial Statements'!K35-'Financial Statements'!J35))</f>
        <v>36.1728541824297</v>
      </c>
      <c r="L51" s="176">
        <f>365*((('Financial Statements'!K45+'Financial Statements'!L45)/2)/(-'Financial Statements'!L13+'Financial Statements'!L35-'Financial Statements'!K35))</f>
        <v>36.1770437712635</v>
      </c>
      <c r="M51" s="176">
        <f>365*((('Financial Statements'!L45+'Financial Statements'!M45)/2)/(-'Financial Statements'!M13+'Financial Statements'!M35-'Financial Statements'!L35))</f>
        <v>36.1812350165084</v>
      </c>
      <c r="N51" s="176">
        <f>365*((('Financial Statements'!M45+'Financial Statements'!N45)/2)/(-'Financial Statements'!N13+'Financial Statements'!N35-'Financial Statements'!M35))</f>
        <v>36.185427919147</v>
      </c>
      <c r="O51" s="176">
        <f>365*((('Financial Statements'!N45+'Financial Statements'!O45)/2)/(-'Financial Statements'!O13+'Financial Statements'!O35-'Financial Statements'!N35))</f>
        <v>36.1896224801625</v>
      </c>
      <c r="P51" s="176">
        <f>365*((('Financial Statements'!O45+'Financial Statements'!P45)/2)/(-'Financial Statements'!P13+'Financial Statements'!P35-'Financial Statements'!O35))</f>
        <v>36.1938187005391</v>
      </c>
      <c r="Q51" s="176">
        <f>365*((('Financial Statements'!P45+'Financial Statements'!Q45)/2)/(-'Financial Statements'!Q13+'Financial Statements'!Q35-'Financial Statements'!P35))</f>
        <v>36.1980165812616</v>
      </c>
      <c r="R51" s="176">
        <f>365*((('Financial Statements'!Q45+'Financial Statements'!R45)/2)/(-'Financial Statements'!R13+'Financial Statements'!R35-'Financial Statements'!Q35))</f>
        <v>36.1980165812616</v>
      </c>
    </row>
    <row r="52" spans="1:18">
      <c r="A52" t="s">
        <v>131</v>
      </c>
      <c r="B52" s="61"/>
      <c r="C52" s="165">
        <f>'Financial Statements'!C12/(('Financial Statements'!B38+'Financial Statements'!C38)/2)</f>
        <v>6.86828167318688</v>
      </c>
      <c r="D52" s="165">
        <f>'Financial Statements'!D12/(('Financial Statements'!C38+'Financial Statements'!D38)/2)</f>
        <v>6.44478715999509</v>
      </c>
      <c r="E52" s="165">
        <f>'Financial Statements'!E12/(('Financial Statements'!D38+'Financial Statements'!E38)/2)</f>
        <v>6.37883997449394</v>
      </c>
      <c r="F52" s="165">
        <f>'Financial Statements'!F12/(('Financial Statements'!E38+'Financial Statements'!F38)/2)</f>
        <v>6.12576801340532</v>
      </c>
      <c r="G52" s="175">
        <f>'Financial Statements'!G12/(('Financial Statements'!F38+'Financial Statements'!G38)/2)</f>
        <v>5.97042642284725</v>
      </c>
      <c r="H52" s="175">
        <f>'Financial Statements'!H12/(('Financial Statements'!G38+'Financial Statements'!H38)/2)</f>
        <v>5.96995311612129</v>
      </c>
      <c r="I52" s="175">
        <f>'Financial Statements'!I12/(('Financial Statements'!H38+'Financial Statements'!I38)/2)</f>
        <v>5.96947973197006</v>
      </c>
      <c r="J52" s="175">
        <f>'Financial Statements'!J12/(('Financial Statements'!I38+'Financial Statements'!J38)/2)</f>
        <v>5.96900627037456</v>
      </c>
      <c r="K52" s="175">
        <f>'Financial Statements'!K12/(('Financial Statements'!J38+'Financial Statements'!K38)/2)</f>
        <v>5.96853273131579</v>
      </c>
      <c r="L52" s="175">
        <f>'Financial Statements'!L12/(('Financial Statements'!K38+'Financial Statements'!L38)/2)</f>
        <v>5.96805911477473</v>
      </c>
      <c r="M52" s="175">
        <f>'Financial Statements'!M12/(('Financial Statements'!L38+'Financial Statements'!M38)/2)</f>
        <v>5.96758542073237</v>
      </c>
      <c r="N52" s="175">
        <f>'Financial Statements'!N12/(('Financial Statements'!M38+'Financial Statements'!N38)/2)</f>
        <v>5.96711164916967</v>
      </c>
      <c r="O52" s="175">
        <f>'Financial Statements'!O12/(('Financial Statements'!N38+'Financial Statements'!O38)/2)</f>
        <v>5.96663780006762</v>
      </c>
      <c r="P52" s="175">
        <f>'Financial Statements'!P12/(('Financial Statements'!O38+'Financial Statements'!P38)/2)</f>
        <v>5.96616387340716</v>
      </c>
      <c r="Q52" s="175">
        <f>'Financial Statements'!Q12/(('Financial Statements'!P38+'Financial Statements'!Q38)/2)</f>
        <v>5.96568986916926</v>
      </c>
      <c r="R52" s="175">
        <f>'Financial Statements'!R12/(('Financial Statements'!Q38+'Financial Statements'!R38)/2)</f>
        <v>5.96568986916926</v>
      </c>
    </row>
    <row r="53" spans="2:18">
      <c r="B53" s="61"/>
      <c r="C53" s="61"/>
      <c r="D53" s="61"/>
      <c r="E53" s="165"/>
      <c r="F53" s="16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</row>
    <row r="54" spans="1:18">
      <c r="A54" s="100" t="s">
        <v>132</v>
      </c>
      <c r="B54" s="150"/>
      <c r="C54" s="150"/>
      <c r="D54" s="150"/>
      <c r="E54" s="165"/>
      <c r="F54" s="16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</row>
    <row r="55" spans="1:18">
      <c r="A55" s="239" t="s">
        <v>133</v>
      </c>
      <c r="B55" s="150"/>
      <c r="C55" s="150"/>
      <c r="D55" s="150"/>
      <c r="E55" s="165"/>
      <c r="F55" s="16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</row>
    <row r="56" spans="1:18">
      <c r="A56" t="s">
        <v>134</v>
      </c>
      <c r="B56" s="165">
        <f>('Financial Statements'!B44+'Financial Statements'!B49)/('Financial Statements'!B57)</f>
        <v>0.790554557732203</v>
      </c>
      <c r="C56" s="165">
        <f>('Financial Statements'!C44+'Financial Statements'!C49)/('Financial Statements'!C57)</f>
        <v>0.755870208580694</v>
      </c>
      <c r="D56" s="165">
        <f>('Financial Statements'!D44+'Financial Statements'!D49)/('Financial Statements'!D57)</f>
        <v>0.603088827780265</v>
      </c>
      <c r="E56" s="165">
        <f>('Financial Statements'!E44+'Financial Statements'!E49)/('Financial Statements'!E57)</f>
        <v>0.442836945630242</v>
      </c>
      <c r="F56" s="165">
        <f>('Financial Statements'!F44+'Financial Statements'!F49)/('Financial Statements'!F57)</f>
        <v>0.442702597654985</v>
      </c>
      <c r="G56" s="176">
        <f>('Financial Statements'!G44+'Financial Statements'!G49)/('Financial Statements'!G57)</f>
        <v>0.442702597654985</v>
      </c>
      <c r="H56" s="176">
        <f>('Financial Statements'!H44+'Financial Statements'!H49)/('Financial Statements'!H57)</f>
        <v>0.442702597654985</v>
      </c>
      <c r="I56" s="176">
        <f>('Financial Statements'!I44+'Financial Statements'!I49)/('Financial Statements'!I57)</f>
        <v>0.442702597654985</v>
      </c>
      <c r="J56" s="176">
        <f>('Financial Statements'!J44+'Financial Statements'!J49)/('Financial Statements'!J57)</f>
        <v>0.442702597654985</v>
      </c>
      <c r="K56" s="176">
        <f>('Financial Statements'!K44+'Financial Statements'!K49)/('Financial Statements'!K57)</f>
        <v>0.442702597654985</v>
      </c>
      <c r="L56" s="176">
        <f>('Financial Statements'!L44+'Financial Statements'!L49)/('Financial Statements'!L57)</f>
        <v>0.442702597654985</v>
      </c>
      <c r="M56" s="176">
        <f>('Financial Statements'!M44+'Financial Statements'!M49)/('Financial Statements'!M57)</f>
        <v>0.442702597654985</v>
      </c>
      <c r="N56" s="176">
        <f>('Financial Statements'!N44+'Financial Statements'!N49)/('Financial Statements'!N57)</f>
        <v>0.442702597654985</v>
      </c>
      <c r="O56" s="176">
        <f>('Financial Statements'!O44+'Financial Statements'!O49)/('Financial Statements'!O57)</f>
        <v>0.442702597654985</v>
      </c>
      <c r="P56" s="176">
        <f>('Financial Statements'!P44+'Financial Statements'!P49)/('Financial Statements'!P57)</f>
        <v>0.442702597654985</v>
      </c>
      <c r="Q56" s="176">
        <f>('Financial Statements'!Q44+'Financial Statements'!Q49)/('Financial Statements'!Q57)</f>
        <v>0.442702597654985</v>
      </c>
      <c r="R56" s="176">
        <f>('Financial Statements'!R44+'Financial Statements'!R49)/('Financial Statements'!R57)</f>
        <v>0.442702597654985</v>
      </c>
    </row>
    <row r="57" spans="1:18">
      <c r="A57" t="s">
        <v>135</v>
      </c>
      <c r="B57" s="165"/>
      <c r="C57" s="165">
        <f>'Cash Flow Analysis'!B17/(('Financial Statements'!C44+'Financial Statements'!C49+'Financial Statements'!B44+'Financial Statements'!B49)/2)</f>
        <v>-0.326410748946527</v>
      </c>
      <c r="D57" s="165">
        <f>'Cash Flow Analysis'!C17/(('Financial Statements'!D44+'Financial Statements'!D49+'Financial Statements'!C44+'Financial Statements'!C49)/2)</f>
        <v>1.38869051321928</v>
      </c>
      <c r="E57" s="165">
        <f>'Cash Flow Analysis'!D17/(('Financial Statements'!E44+'Financial Statements'!E49+'Financial Statements'!D44+'Financial Statements'!D49)/2)</f>
        <v>0.441529492455418</v>
      </c>
      <c r="F57" s="165">
        <f>'Cash Flow Analysis'!E17/(('Financial Statements'!F44+'Financial Statements'!F49+'Financial Statements'!E44+'Financial Statements'!E49)/2)</f>
        <v>0.386380057803468</v>
      </c>
      <c r="G57" s="176">
        <f>'Cash Flow Analysis'!F17/(('Financial Statements'!G44+'Financial Statements'!G49+'Financial Statements'!F44+'Financial Statements'!F49)/2)</f>
        <v>0.452578229658536</v>
      </c>
      <c r="H57" s="176">
        <f>'Cash Flow Analysis'!G17/(('Financial Statements'!H44+'Financial Statements'!H49+'Financial Statements'!G44+'Financial Statements'!G49)/2)</f>
        <v>0.452241464663413</v>
      </c>
      <c r="I57" s="176">
        <f>'Cash Flow Analysis'!H17/(('Financial Statements'!I44+'Financial Statements'!I49+'Financial Statements'!H44+'Financial Statements'!H49)/2)</f>
        <v>0.451904644579022</v>
      </c>
      <c r="J57" s="176">
        <f>'Cash Flow Analysis'!I17/(('Financial Statements'!J44+'Financial Statements'!J49+'Financial Statements'!I44+'Financial Statements'!I49)/2)</f>
        <v>0.451567769391846</v>
      </c>
      <c r="K57" s="176">
        <f>'Cash Flow Analysis'!J17/(('Financial Statements'!K44+'Financial Statements'!K49+'Financial Statements'!J44+'Financial Statements'!J49)/2)</f>
        <v>0.451230839088363</v>
      </c>
      <c r="L57" s="176">
        <f>'Cash Flow Analysis'!K17/(('Financial Statements'!L44+'Financial Statements'!L49+'Financial Statements'!K44+'Financial Statements'!K49)/2)</f>
        <v>0.450893853655042</v>
      </c>
      <c r="M57" s="176">
        <f>'Cash Flow Analysis'!L17/(('Financial Statements'!M44+'Financial Statements'!M49+'Financial Statements'!L44+'Financial Statements'!L49)/2)</f>
        <v>0.450556813078353</v>
      </c>
      <c r="N57" s="176">
        <f>'Cash Flow Analysis'!M17/(('Financial Statements'!N44+'Financial Statements'!N49+'Financial Statements'!M44+'Financial Statements'!M49)/2)</f>
        <v>0.450219717344761</v>
      </c>
      <c r="O57" s="176">
        <f>'Cash Flow Analysis'!N17/(('Financial Statements'!O44+'Financial Statements'!O49+'Financial Statements'!N44+'Financial Statements'!N49)/2)</f>
        <v>0.449882566440723</v>
      </c>
      <c r="P57" s="176">
        <f>'Cash Flow Analysis'!O17/(('Financial Statements'!P44+'Financial Statements'!P49+'Financial Statements'!O44+'Financial Statements'!O49)/2)</f>
        <v>0.449545360352695</v>
      </c>
      <c r="Q57" s="176">
        <f>'Cash Flow Analysis'!P17/(('Financial Statements'!Q44+'Financial Statements'!Q49+'Financial Statements'!P44+'Financial Statements'!P49)/2)</f>
        <v>0.449208099067127</v>
      </c>
      <c r="R57" s="176">
        <f>'Cash Flow Analysis'!Q17/(('Financial Statements'!R44+'Financial Statements'!R49+'Financial Statements'!Q44+'Financial Statements'!Q49)/2)</f>
        <v>0.449208099067128</v>
      </c>
    </row>
    <row r="58" spans="1:18">
      <c r="A58" t="s">
        <v>136</v>
      </c>
      <c r="B58" s="165"/>
      <c r="C58" s="165">
        <f>'Cash Flow Analysis'!B24/(('Financial Statements'!C44+'Financial Statements'!C49+'Financial Statements'!B44+'Financial Statements'!B49)/2)</f>
        <v>-0.369776633512013</v>
      </c>
      <c r="D58" s="165">
        <f>'Cash Flow Analysis'!C24/(('Financial Statements'!D44+'Financial Statements'!D49+'Financial Statements'!C44+'Financial Statements'!C49)/2)</f>
        <v>1.72809953343701</v>
      </c>
      <c r="E58" s="165">
        <f>'Cash Flow Analysis'!D24/(('Financial Statements'!E44+'Financial Statements'!E49+'Financial Statements'!D44+'Financial Statements'!D49)/2)</f>
        <v>0.592992684042067</v>
      </c>
      <c r="F58" s="165">
        <f>'Cash Flow Analysis'!E24/(('Financial Statements'!F44+'Financial Statements'!F49+'Financial Statements'!E44+'Financial Statements'!E49)/2)</f>
        <v>0.224590558766859</v>
      </c>
      <c r="G58" s="176">
        <f>'Cash Flow Analysis'!F24/(('Financial Statements'!G44+'Financial Statements'!G49+'Financial Statements'!F44+'Financial Statements'!F49)/2)</f>
        <v>0.448981635675176</v>
      </c>
      <c r="H58" s="176">
        <f>'Cash Flow Analysis'!G24/(('Financial Statements'!H44+'Financial Statements'!H49+'Financial Statements'!G44+'Financial Statements'!G49)/2)</f>
        <v>0.448663451504495</v>
      </c>
      <c r="I58" s="176">
        <f>'Cash Flow Analysis'!H24/(('Financial Statements'!I44+'Financial Statements'!I49+'Financial Statements'!H44+'Financial Statements'!H49)/2)</f>
        <v>0.448345215284066</v>
      </c>
      <c r="J58" s="176">
        <f>'Cash Flow Analysis'!I24/(('Financial Statements'!J44+'Financial Statements'!J49+'Financial Statements'!I44+'Financial Statements'!I49)/2)</f>
        <v>0.448026927001119</v>
      </c>
      <c r="K58" s="176">
        <f>'Cash Flow Analysis'!J24/(('Financial Statements'!K44+'Financial Statements'!K49+'Financial Statements'!J44+'Financial Statements'!J49)/2)</f>
        <v>0.447708586642876</v>
      </c>
      <c r="L58" s="176">
        <f>'Cash Flow Analysis'!K24/(('Financial Statements'!L44+'Financial Statements'!L49+'Financial Statements'!K44+'Financial Statements'!K49)/2)</f>
        <v>0.447390194196554</v>
      </c>
      <c r="M58" s="176">
        <f>'Cash Flow Analysis'!L24/(('Financial Statements'!M44+'Financial Statements'!M49+'Financial Statements'!L44+'Financial Statements'!L49)/2)</f>
        <v>0.44707174964937</v>
      </c>
      <c r="N58" s="176">
        <f>'Cash Flow Analysis'!M24/(('Financial Statements'!N44+'Financial Statements'!N49+'Financial Statements'!M44+'Financial Statements'!M49)/2)</f>
        <v>0.446753252988534</v>
      </c>
      <c r="O58" s="176">
        <f>'Cash Flow Analysis'!N24/(('Financial Statements'!O44+'Financial Statements'!O49+'Financial Statements'!N44+'Financial Statements'!N49)/2)</f>
        <v>0.446434704201251</v>
      </c>
      <c r="P58" s="176">
        <f>'Cash Flow Analysis'!O24/(('Financial Statements'!P44+'Financial Statements'!P49+'Financial Statements'!O44+'Financial Statements'!O49)/2)</f>
        <v>0.446116103274725</v>
      </c>
      <c r="Q58" s="176">
        <f>'Cash Flow Analysis'!P24/(('Financial Statements'!Q44+'Financial Statements'!Q49+'Financial Statements'!P44+'Financial Statements'!P49)/2)</f>
        <v>0.445797450196153</v>
      </c>
      <c r="R58" s="176">
        <f>'Cash Flow Analysis'!Q24/(('Financial Statements'!R44+'Financial Statements'!R49+'Financial Statements'!Q44+'Financial Statements'!Q49)/2)</f>
        <v>0.445797450196154</v>
      </c>
    </row>
    <row r="59" spans="2:18">
      <c r="B59" s="61"/>
      <c r="C59" s="61"/>
      <c r="D59" s="61"/>
      <c r="E59" s="165"/>
      <c r="F59" s="16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</row>
    <row r="60" spans="1:18">
      <c r="A60" s="100" t="s">
        <v>132</v>
      </c>
      <c r="B60" s="150"/>
      <c r="C60" s="150"/>
      <c r="D60" s="150"/>
      <c r="E60" s="165"/>
      <c r="F60" s="16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</row>
    <row r="61" spans="1:18">
      <c r="A61" s="239" t="s">
        <v>137</v>
      </c>
      <c r="B61" s="150"/>
      <c r="C61" s="150"/>
      <c r="D61" s="150"/>
      <c r="E61" s="165"/>
      <c r="F61" s="16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</row>
    <row r="62" spans="1:18">
      <c r="A62" s="16" t="s">
        <v>138</v>
      </c>
      <c r="B62" s="165">
        <f>'Financial Statements'!B37/'Financial Statements'!B48</f>
        <v>1.60060858312056</v>
      </c>
      <c r="C62" s="165">
        <f>'Financial Statements'!C37/'Financial Statements'!C48</f>
        <v>2.04862337166579</v>
      </c>
      <c r="D62" s="165">
        <f>'Financial Statements'!D37/'Financial Statements'!D48</f>
        <v>1.20383476667137</v>
      </c>
      <c r="E62" s="165">
        <f>'Financial Statements'!E37/'Financial Statements'!E48</f>
        <v>1.35399297643621</v>
      </c>
      <c r="F62" s="165">
        <f>'Financial Statements'!F37/'Financial Statements'!F48</f>
        <v>1.34300627304506</v>
      </c>
      <c r="G62" s="175">
        <f>'Financial Statements'!G37/'Financial Statements'!G48</f>
        <v>1.34300627304506</v>
      </c>
      <c r="H62" s="175">
        <f>'Financial Statements'!H37/'Financial Statements'!H48</f>
        <v>1.34300627304506</v>
      </c>
      <c r="I62" s="175">
        <f>'Financial Statements'!I37/'Financial Statements'!I48</f>
        <v>1.34300627304506</v>
      </c>
      <c r="J62" s="175">
        <f>'Financial Statements'!J37/'Financial Statements'!J48</f>
        <v>1.34300627304506</v>
      </c>
      <c r="K62" s="175">
        <f>'Financial Statements'!K37/'Financial Statements'!K48</f>
        <v>1.34300627304506</v>
      </c>
      <c r="L62" s="175">
        <f>'Financial Statements'!L37/'Financial Statements'!L48</f>
        <v>1.34300627304506</v>
      </c>
      <c r="M62" s="175">
        <f>'Financial Statements'!M37/'Financial Statements'!M48</f>
        <v>1.34300627304506</v>
      </c>
      <c r="N62" s="175">
        <f>'Financial Statements'!N37/'Financial Statements'!N48</f>
        <v>1.34300627304506</v>
      </c>
      <c r="O62" s="175">
        <f>'Financial Statements'!O37/'Financial Statements'!O48</f>
        <v>1.34300627304506</v>
      </c>
      <c r="P62" s="175">
        <f>'Financial Statements'!P37/'Financial Statements'!P48</f>
        <v>1.34300627304506</v>
      </c>
      <c r="Q62" s="175">
        <f>'Financial Statements'!Q37/'Financial Statements'!Q48</f>
        <v>1.34300627304506</v>
      </c>
      <c r="R62" s="175">
        <f>'Financial Statements'!R37/'Financial Statements'!R48</f>
        <v>1.34300627304506</v>
      </c>
    </row>
    <row r="63" spans="1:18">
      <c r="A63" s="16" t="s">
        <v>139</v>
      </c>
      <c r="B63" s="165">
        <f>('Financial Statements'!B33+'Financial Statements'!B34)/'Financial Statements'!B48</f>
        <v>0.383966982616907</v>
      </c>
      <c r="C63" s="165">
        <f>('Financial Statements'!C33+'Financial Statements'!C34)/'Financial Statements'!C48</f>
        <v>0.26129694135611</v>
      </c>
      <c r="D63" s="165">
        <f>('Financial Statements'!D33+'Financial Statements'!D34)/'Financial Statements'!D48</f>
        <v>0.165233328633864</v>
      </c>
      <c r="E63" s="165">
        <f>('Financial Statements'!E33+'Financial Statements'!E34)/'Financial Statements'!E48</f>
        <v>0.392354502318848</v>
      </c>
      <c r="F63" s="165">
        <f>('Financial Statements'!F33+'Financial Statements'!F34)/'Financial Statements'!F48</f>
        <v>0.248599339175406</v>
      </c>
      <c r="G63" s="175">
        <f>('Financial Statements'!G33+'Financial Statements'!G34)/'Financial Statements'!G48</f>
        <v>0.248599339175406</v>
      </c>
      <c r="H63" s="175">
        <f>('Financial Statements'!H33+'Financial Statements'!H34)/'Financial Statements'!H48</f>
        <v>0.248599339175406</v>
      </c>
      <c r="I63" s="175">
        <f>('Financial Statements'!I33+'Financial Statements'!I34)/'Financial Statements'!I48</f>
        <v>0.248599339175406</v>
      </c>
      <c r="J63" s="175">
        <f>('Financial Statements'!J33+'Financial Statements'!J34)/'Financial Statements'!J48</f>
        <v>0.248599339175406</v>
      </c>
      <c r="K63" s="175">
        <f>('Financial Statements'!K33+'Financial Statements'!K34)/'Financial Statements'!K48</f>
        <v>0.248599339175406</v>
      </c>
      <c r="L63" s="175">
        <f>('Financial Statements'!L33+'Financial Statements'!L34)/'Financial Statements'!L48</f>
        <v>0.248599339175406</v>
      </c>
      <c r="M63" s="175">
        <f>('Financial Statements'!M33+'Financial Statements'!M34)/'Financial Statements'!M48</f>
        <v>0.248599339175406</v>
      </c>
      <c r="N63" s="175">
        <f>('Financial Statements'!N33+'Financial Statements'!N34)/'Financial Statements'!N48</f>
        <v>0.248599339175406</v>
      </c>
      <c r="O63" s="175">
        <f>('Financial Statements'!O33+'Financial Statements'!O34)/'Financial Statements'!O48</f>
        <v>0.248599339175406</v>
      </c>
      <c r="P63" s="175">
        <f>('Financial Statements'!P33+'Financial Statements'!P34)/'Financial Statements'!P48</f>
        <v>0.248599339175406</v>
      </c>
      <c r="Q63" s="175">
        <f>('Financial Statements'!Q33+'Financial Statements'!Q34)/'Financial Statements'!Q48</f>
        <v>0.248599339175406</v>
      </c>
      <c r="R63" s="175">
        <f>('Financial Statements'!R33+'Financial Statements'!R34)/'Financial Statements'!R48</f>
        <v>0.248599339175406</v>
      </c>
    </row>
    <row r="64" spans="1:18">
      <c r="A64" s="16" t="s">
        <v>140</v>
      </c>
      <c r="B64" s="165">
        <f>-'Financial Statements'!B19/'Financial Statements'!B20</f>
        <v>6.62392312789927</v>
      </c>
      <c r="C64" s="165">
        <f>-'Financial Statements'!C19/'Financial Statements'!C20</f>
        <v>-2.53918918918919</v>
      </c>
      <c r="D64" s="165">
        <f>-'Financial Statements'!D19/'Financial Statements'!D20</f>
        <v>7.78655151141271</v>
      </c>
      <c r="E64" s="165">
        <f>-'Financial Statements'!E19/'Financial Statements'!E20</f>
        <v>12.816700610998</v>
      </c>
      <c r="F64" s="165">
        <f>-'Financial Statements'!F19/'Financial Statements'!F20</f>
        <v>10.1252096143097</v>
      </c>
      <c r="G64" s="176">
        <f>-'Financial Statements'!G19/'Financial Statements'!G20</f>
        <v>9.99590768121618</v>
      </c>
      <c r="H64" s="176">
        <f>-'Financial Statements'!H19/'Financial Statements'!H20</f>
        <v>9.99511525367375</v>
      </c>
      <c r="I64" s="176">
        <f>-'Financial Statements'!I19/'Financial Statements'!I20</f>
        <v>9.99432269650306</v>
      </c>
      <c r="J64" s="176">
        <f>-'Financial Statements'!J19/'Financial Statements'!J20</f>
        <v>9.99353000967234</v>
      </c>
      <c r="K64" s="176">
        <f>-'Financial Statements'!K19/'Financial Statements'!K20</f>
        <v>9.99273719314977</v>
      </c>
      <c r="L64" s="176">
        <f>-'Financial Statements'!L19/'Financial Statements'!L20</f>
        <v>9.99194424690347</v>
      </c>
      <c r="M64" s="176">
        <f>-'Financial Statements'!M19/'Financial Statements'!M20</f>
        <v>9.99115117090165</v>
      </c>
      <c r="N64" s="176">
        <f>-'Financial Statements'!N19/'Financial Statements'!N20</f>
        <v>9.99035796511244</v>
      </c>
      <c r="O64" s="176">
        <f>-'Financial Statements'!O19/'Financial Statements'!O20</f>
        <v>9.98956462950395</v>
      </c>
      <c r="P64" s="176">
        <f>-'Financial Statements'!P19/'Financial Statements'!P20</f>
        <v>9.98877116404436</v>
      </c>
      <c r="Q64" s="176">
        <f>-'Financial Statements'!Q19/'Financial Statements'!Q20</f>
        <v>9.98797756870176</v>
      </c>
      <c r="R64" s="176">
        <f>-'Financial Statements'!R19/'Financial Statements'!R20</f>
        <v>9.98797756870177</v>
      </c>
    </row>
    <row r="65" spans="1:18">
      <c r="A65" s="16" t="s">
        <v>141</v>
      </c>
      <c r="B65" s="165">
        <f>-'Financial Statements'!B17/'Financial Statements'!B20</f>
        <v>6.8532140490391</v>
      </c>
      <c r="C65" s="165">
        <f>-'Financial Statements'!C17/'Financial Statements'!C20</f>
        <v>-2.53918918918919</v>
      </c>
      <c r="D65" s="165">
        <f>-'Financial Statements'!D17/'Financial Statements'!D20</f>
        <v>7.78655151141271</v>
      </c>
      <c r="E65" s="165">
        <f>-'Financial Statements'!E17/'Financial Statements'!E20</f>
        <v>12.816700610998</v>
      </c>
      <c r="F65" s="165">
        <f>-'Financial Statements'!F17/'Financial Statements'!F20</f>
        <v>10.1252096143097</v>
      </c>
      <c r="G65" s="176">
        <f>-'Financial Statements'!G17/'Financial Statements'!G20</f>
        <v>9.99590768121618</v>
      </c>
      <c r="H65" s="176">
        <f>-'Financial Statements'!H17/'Financial Statements'!H20</f>
        <v>9.99511525367375</v>
      </c>
      <c r="I65" s="176">
        <f>-'Financial Statements'!I17/'Financial Statements'!I20</f>
        <v>9.99432269650306</v>
      </c>
      <c r="J65" s="176">
        <f>-'Financial Statements'!J17/'Financial Statements'!J20</f>
        <v>9.99353000967234</v>
      </c>
      <c r="K65" s="176">
        <f>-'Financial Statements'!K17/'Financial Statements'!K20</f>
        <v>9.99273719314977</v>
      </c>
      <c r="L65" s="176">
        <f>-'Financial Statements'!L17/'Financial Statements'!L20</f>
        <v>9.99194424690347</v>
      </c>
      <c r="M65" s="176">
        <f>-'Financial Statements'!M17/'Financial Statements'!M20</f>
        <v>9.99115117090165</v>
      </c>
      <c r="N65" s="176">
        <f>-'Financial Statements'!N17/'Financial Statements'!N20</f>
        <v>9.99035796511244</v>
      </c>
      <c r="O65" s="176">
        <f>-'Financial Statements'!O17/'Financial Statements'!O20</f>
        <v>9.98956462950395</v>
      </c>
      <c r="P65" s="176">
        <f>-'Financial Statements'!P17/'Financial Statements'!P20</f>
        <v>9.98877116404436</v>
      </c>
      <c r="Q65" s="176">
        <f>-'Financial Statements'!Q17/'Financial Statements'!Q20</f>
        <v>9.98797756870176</v>
      </c>
      <c r="R65" s="176">
        <f>-'Financial Statements'!R17/'Financial Statements'!R20</f>
        <v>9.98797756870177</v>
      </c>
    </row>
    <row r="66" spans="1:18">
      <c r="A66" s="16"/>
      <c r="B66" s="165"/>
      <c r="C66" s="165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</row>
    <row r="67" s="162" customFormat="1" spans="1:18">
      <c r="A67" s="162" t="s">
        <v>142</v>
      </c>
      <c r="B67" s="170">
        <f>IF(MONTH(B7)&gt;6,YEAR(B7),YEAR(B7)-1)</f>
        <v>2017</v>
      </c>
      <c r="C67" s="170">
        <f>IF(MONTH(C7)&gt;6,YEAR(C7),YEAR(C7)-1)</f>
        <v>2018</v>
      </c>
      <c r="D67" s="170">
        <f>IF(MONTH(D7)&gt;6,YEAR(D7),YEAR(D7)-1)</f>
        <v>2019</v>
      </c>
      <c r="E67" s="170">
        <f t="shared" ref="E67:R67" si="4">IF(MONTH(E7)&gt;6,YEAR(E7),YEAR(E7)-1)</f>
        <v>2020</v>
      </c>
      <c r="F67" s="170">
        <f t="shared" si="4"/>
        <v>2021</v>
      </c>
      <c r="G67" s="162">
        <f t="shared" si="4"/>
        <v>2022</v>
      </c>
      <c r="H67" s="162">
        <f t="shared" si="4"/>
        <v>2023</v>
      </c>
      <c r="I67" s="162">
        <f t="shared" si="4"/>
        <v>2024</v>
      </c>
      <c r="J67" s="162">
        <f t="shared" si="4"/>
        <v>2025</v>
      </c>
      <c r="K67" s="162">
        <f t="shared" si="4"/>
        <v>2026</v>
      </c>
      <c r="L67" s="162">
        <f t="shared" si="4"/>
        <v>2027</v>
      </c>
      <c r="M67" s="162">
        <f t="shared" si="4"/>
        <v>2028</v>
      </c>
      <c r="N67" s="162">
        <f t="shared" si="4"/>
        <v>2029</v>
      </c>
      <c r="O67" s="162">
        <f t="shared" si="4"/>
        <v>2030</v>
      </c>
      <c r="P67" s="162">
        <f t="shared" si="4"/>
        <v>2031</v>
      </c>
      <c r="Q67" s="162">
        <f t="shared" si="4"/>
        <v>2032</v>
      </c>
      <c r="R67" s="162">
        <f t="shared" si="4"/>
        <v>2033</v>
      </c>
    </row>
    <row r="68" spans="5:18"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</row>
    <row r="69" spans="5:18"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</row>
    <row r="70" spans="5:18"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</row>
    <row r="71" spans="5:18"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</row>
    <row r="72" spans="5:18"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</row>
  </sheetData>
  <pageMargins left="0.75" right="0.75" top="1" bottom="1" header="0.5" footer="0.5"/>
  <pageSetup paperSize="1" orientation="portrait"/>
  <headerFooter/>
  <colBreaks count="1" manualBreakCount="1">
    <brk id="15" max="1048575" man="1"/>
  </colBreaks>
  <ignoredErrors>
    <ignoredError sqref="D14:K1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R130"/>
  <sheetViews>
    <sheetView zoomScale="125" zoomScaleNormal="125" workbookViewId="0">
      <pane xSplit="1" ySplit="7" topLeftCell="B8" activePane="bottomRight" state="frozenSplit"/>
      <selection/>
      <selection pane="topRight"/>
      <selection pane="bottomLeft"/>
      <selection pane="bottomRight" activeCell="A19" sqref="A19"/>
    </sheetView>
  </sheetViews>
  <sheetFormatPr defaultColWidth="8.83035714285714" defaultRowHeight="15.2"/>
  <cols>
    <col min="1" max="1" width="36.5" customWidth="1"/>
    <col min="2" max="3" width="15.6607142857143" customWidth="1"/>
    <col min="4" max="5" width="15.6607142857143" style="61" customWidth="1"/>
    <col min="6" max="17" width="15.6607142857143" style="16" customWidth="1"/>
  </cols>
  <sheetData>
    <row r="1" s="56" customFormat="1" ht="20.4" spans="1:17">
      <c r="A1" s="58" t="s">
        <v>143</v>
      </c>
      <c r="B1" s="87" t="s">
        <v>144</v>
      </c>
      <c r="C1" s="164"/>
      <c r="D1" s="182"/>
      <c r="E1" s="1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</row>
    <row r="2" ht="18" customHeight="1" spans="1:17">
      <c r="A2" s="138"/>
      <c r="B2" s="138"/>
      <c r="C2" s="138"/>
      <c r="D2" s="183"/>
      <c r="E2" s="183"/>
      <c r="F2" s="140" t="s">
        <v>93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</row>
    <row r="3" ht="18" customHeight="1" spans="1:17">
      <c r="A3" s="90"/>
      <c r="B3" s="90"/>
      <c r="C3" s="90"/>
      <c r="D3" s="184"/>
      <c r="E3" s="184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</row>
    <row r="4" spans="1:8">
      <c r="A4" s="17" t="s">
        <v>91</v>
      </c>
      <c r="B4" s="61" t="str">
        <f>'Financial Statements'!B4</f>
        <v>DOLLAR TREE 2021</v>
      </c>
      <c r="C4" s="17"/>
      <c r="D4" s="16"/>
      <c r="E4" s="16"/>
      <c r="H4" s="106"/>
    </row>
    <row r="5" spans="1:4">
      <c r="A5" s="17"/>
      <c r="B5" s="17"/>
      <c r="C5" s="17"/>
      <c r="D5" s="185"/>
    </row>
    <row r="6" spans="1:17">
      <c r="A6" s="17"/>
      <c r="B6" s="145" t="s">
        <v>14</v>
      </c>
      <c r="C6" s="145" t="s">
        <v>14</v>
      </c>
      <c r="D6" s="145" t="s">
        <v>14</v>
      </c>
      <c r="E6" s="145" t="s">
        <v>14</v>
      </c>
      <c r="F6" s="191" t="s">
        <v>15</v>
      </c>
      <c r="G6" s="191" t="s">
        <v>15</v>
      </c>
      <c r="H6" s="191" t="s">
        <v>15</v>
      </c>
      <c r="I6" s="191" t="s">
        <v>15</v>
      </c>
      <c r="J6" s="191" t="s">
        <v>15</v>
      </c>
      <c r="K6" s="191" t="s">
        <v>15</v>
      </c>
      <c r="L6" s="191" t="s">
        <v>15</v>
      </c>
      <c r="M6" s="191" t="s">
        <v>15</v>
      </c>
      <c r="N6" s="191" t="s">
        <v>15</v>
      </c>
      <c r="O6" s="191" t="s">
        <v>15</v>
      </c>
      <c r="P6" s="191" t="s">
        <v>15</v>
      </c>
      <c r="Q6" s="191" t="s">
        <v>15</v>
      </c>
    </row>
    <row r="7" ht="15.95" spans="1:17">
      <c r="A7" s="17" t="s">
        <v>94</v>
      </c>
      <c r="B7" s="186">
        <f>'Financial Statements'!C8</f>
        <v>42034</v>
      </c>
      <c r="C7" s="146">
        <f>'Financial Statements'!D8</f>
        <v>42399</v>
      </c>
      <c r="D7" s="146">
        <f>'Financial Statements'!E8</f>
        <v>42765</v>
      </c>
      <c r="E7" s="146">
        <f>'Financial Statements'!F8</f>
        <v>43130</v>
      </c>
      <c r="F7" s="152">
        <f>'Financial Statements'!G8</f>
        <v>43495</v>
      </c>
      <c r="G7" s="152">
        <f>'Financial Statements'!H8</f>
        <v>43860</v>
      </c>
      <c r="H7" s="152">
        <f>'Financial Statements'!I8</f>
        <v>44226</v>
      </c>
      <c r="I7" s="152">
        <f>'Financial Statements'!J8</f>
        <v>44591</v>
      </c>
      <c r="J7" s="152">
        <f>'Financial Statements'!K8</f>
        <v>44956</v>
      </c>
      <c r="K7" s="152">
        <f>'Financial Statements'!L8</f>
        <v>45321</v>
      </c>
      <c r="L7" s="152">
        <f>'Financial Statements'!M8</f>
        <v>45687</v>
      </c>
      <c r="M7" s="152">
        <f>'Financial Statements'!N8</f>
        <v>46052</v>
      </c>
      <c r="N7" s="152">
        <f>'Financial Statements'!O8</f>
        <v>46417</v>
      </c>
      <c r="O7" s="152">
        <f>'Financial Statements'!P8</f>
        <v>46782</v>
      </c>
      <c r="P7" s="152">
        <f>'Financial Statements'!Q8</f>
        <v>47148</v>
      </c>
      <c r="Q7" s="152">
        <f>'Financial Statements'!R8</f>
        <v>47513</v>
      </c>
    </row>
    <row r="8" spans="1:3">
      <c r="A8" s="187" t="s">
        <v>145</v>
      </c>
      <c r="B8" s="188"/>
      <c r="C8" s="17"/>
    </row>
    <row r="9" spans="1:3">
      <c r="A9" s="17"/>
      <c r="B9" s="17"/>
      <c r="C9" s="17"/>
    </row>
    <row r="10" spans="1:3">
      <c r="A10" s="16" t="s">
        <v>146</v>
      </c>
      <c r="B10" s="16"/>
      <c r="C10" s="16"/>
    </row>
    <row r="11" spans="1:17">
      <c r="A11" t="s">
        <v>72</v>
      </c>
      <c r="B11" s="189">
        <f>'Financial Statements'!C29</f>
        <v>-1590800</v>
      </c>
      <c r="C11" s="189">
        <f>'Financial Statements'!D29</f>
        <v>827000</v>
      </c>
      <c r="D11" s="189">
        <f>'Financial Statements'!E29</f>
        <v>1341900</v>
      </c>
      <c r="E11" s="189">
        <f>'Financial Statements'!F29</f>
        <v>1327900</v>
      </c>
      <c r="F11" s="68">
        <f>'Financial Statements'!G29</f>
        <v>1368000.92820436</v>
      </c>
      <c r="G11" s="68">
        <f>'Financial Statements'!H29</f>
        <v>1411074.11091536</v>
      </c>
      <c r="H11" s="68">
        <f>'Financial Statements'!I29</f>
        <v>1455269.05872413</v>
      </c>
      <c r="I11" s="68">
        <f>'Financial Statements'!J29</f>
        <v>1500606.4059963</v>
      </c>
      <c r="J11" s="68">
        <f>'Financial Statements'!K29</f>
        <v>1547106.86737447</v>
      </c>
      <c r="K11" s="68">
        <f>'Financial Statements'!L29</f>
        <v>1594791.22653905</v>
      </c>
      <c r="L11" s="68">
        <f>'Financial Statements'!M29</f>
        <v>1643680.32455789</v>
      </c>
      <c r="M11" s="68">
        <f>'Financial Statements'!N29</f>
        <v>1693795.04782332</v>
      </c>
      <c r="N11" s="68">
        <f>'Financial Statements'!O29</f>
        <v>1745156.31557576</v>
      </c>
      <c r="O11" s="68">
        <f>'Financial Statements'!P29</f>
        <v>1797785.06701341</v>
      </c>
      <c r="P11" s="68">
        <f>'Financial Statements'!Q29</f>
        <v>1851702.24798805</v>
      </c>
      <c r="Q11" s="68">
        <f>'Financial Statements'!R29</f>
        <v>1907253.31542769</v>
      </c>
    </row>
    <row r="12" spans="1:17">
      <c r="A12" t="s">
        <v>147</v>
      </c>
      <c r="B12" s="189">
        <f>-'Financial Statements'!C18</f>
        <v>0</v>
      </c>
      <c r="C12" s="189">
        <f>-'Financial Statements'!D18</f>
        <v>0</v>
      </c>
      <c r="D12" s="189">
        <f>-'Financial Statements'!E18</f>
        <v>0</v>
      </c>
      <c r="E12" s="189">
        <f>-'Financial Statements'!F18</f>
        <v>0</v>
      </c>
      <c r="F12" s="68">
        <f>-'Financial Statements'!G18</f>
        <v>0</v>
      </c>
      <c r="G12" s="68">
        <f>-'Financial Statements'!H18</f>
        <v>0</v>
      </c>
      <c r="H12" s="68">
        <f>-'Financial Statements'!I18</f>
        <v>0</v>
      </c>
      <c r="I12" s="68">
        <f>-'Financial Statements'!J18</f>
        <v>0</v>
      </c>
      <c r="J12" s="68">
        <f>-'Financial Statements'!K18</f>
        <v>0</v>
      </c>
      <c r="K12" s="68">
        <f>-'Financial Statements'!L18</f>
        <v>0</v>
      </c>
      <c r="L12" s="68">
        <f>-'Financial Statements'!M18</f>
        <v>0</v>
      </c>
      <c r="M12" s="68">
        <f>-'Financial Statements'!N18</f>
        <v>0</v>
      </c>
      <c r="N12" s="68">
        <f>-'Financial Statements'!O18</f>
        <v>0</v>
      </c>
      <c r="O12" s="68">
        <f>-'Financial Statements'!P18</f>
        <v>0</v>
      </c>
      <c r="P12" s="68">
        <f>-'Financial Statements'!Q18</f>
        <v>0</v>
      </c>
      <c r="Q12" s="68">
        <f>-'Financial Statements'!R18</f>
        <v>0</v>
      </c>
    </row>
    <row r="13" spans="1:17">
      <c r="A13" t="s">
        <v>148</v>
      </c>
      <c r="B13" s="189">
        <f>'Financial Statements'!C51-'Financial Statements'!B51</f>
        <v>-12000</v>
      </c>
      <c r="C13" s="189">
        <f>'Financial Statements'!D51-'Financial Statements'!C51</f>
        <v>11500</v>
      </c>
      <c r="D13" s="189">
        <f>'Financial Statements'!E51-'Financial Statements'!D51</f>
        <v>28800</v>
      </c>
      <c r="E13" s="189">
        <f>'Financial Statements'!F51-'Financial Statements'!E51</f>
        <v>-26300</v>
      </c>
      <c r="F13" s="68">
        <f>'Financial Statements'!G51-'Financial Statements'!F51</f>
        <v>31256.1950803682</v>
      </c>
      <c r="G13" s="68">
        <f>'Financial Statements'!H51-'Financial Statements'!G51</f>
        <v>32076.5993012231</v>
      </c>
      <c r="H13" s="68">
        <f>'Financial Statements'!I51-'Financial Statements'!H51</f>
        <v>32912.3199101433</v>
      </c>
      <c r="I13" s="68">
        <f>'Financial Statements'!J51-'Financial Statements'!I51</f>
        <v>33763.425291006</v>
      </c>
      <c r="J13" s="68">
        <f>'Financial Statements'!K51-'Financial Statements'!J51</f>
        <v>34629.9757683387</v>
      </c>
      <c r="K13" s="68">
        <f>'Financial Statements'!L51-'Financial Statements'!K51</f>
        <v>35512.0233020324</v>
      </c>
      <c r="L13" s="68">
        <f>'Financial Statements'!M51-'Financial Statements'!L51</f>
        <v>36409.6111807325</v>
      </c>
      <c r="M13" s="68">
        <f>'Financial Statements'!N51-'Financial Statements'!M51</f>
        <v>37322.7737142134</v>
      </c>
      <c r="N13" s="68">
        <f>'Financial Statements'!O51-'Financial Statements'!N51</f>
        <v>38251.5359250682</v>
      </c>
      <c r="O13" s="68">
        <f>'Financial Statements'!P51-'Financial Statements'!O51</f>
        <v>39195.9132400467</v>
      </c>
      <c r="P13" s="68">
        <f>'Financial Statements'!Q51-'Financial Statements'!P51</f>
        <v>40155.9111813952</v>
      </c>
      <c r="Q13" s="68">
        <f>'Financial Statements'!R51-'Financial Statements'!Q51</f>
        <v>41360.5885168372</v>
      </c>
    </row>
    <row r="14" spans="1:17">
      <c r="A14" t="s">
        <v>149</v>
      </c>
      <c r="B14" s="189">
        <f>'Financial Statements'!C50-'Financial Statements'!B50</f>
        <v>-20000</v>
      </c>
      <c r="C14" s="189">
        <f>'Financial Statements'!D50-'Financial Statements'!C50</f>
        <v>4742300</v>
      </c>
      <c r="D14" s="189">
        <f>'Financial Statements'!E50-'Financial Statements'!D50</f>
        <v>174300</v>
      </c>
      <c r="E14" s="189">
        <f>'Financial Statements'!F50-'Financial Statements'!E50</f>
        <v>-18200</v>
      </c>
      <c r="F14" s="68">
        <f>'Financial Statements'!G50-'Financial Statements'!F50</f>
        <v>171684.276563307</v>
      </c>
      <c r="G14" s="68">
        <f>'Financial Statements'!H50-'Financial Statements'!G50</f>
        <v>176190.599382984</v>
      </c>
      <c r="H14" s="68">
        <f>'Financial Statements'!I50-'Financial Statements'!H50</f>
        <v>180781.052180664</v>
      </c>
      <c r="I14" s="68">
        <f>'Financial Statements'!J50-'Financial Statements'!I50</f>
        <v>185456.010575851</v>
      </c>
      <c r="J14" s="68">
        <f>'Financial Statements'!K50-'Financial Statements'!J50</f>
        <v>190215.805919588</v>
      </c>
      <c r="K14" s="68">
        <f>'Financial Statements'!L50-'Financial Statements'!K50</f>
        <v>195060.723617575</v>
      </c>
      <c r="L14" s="68">
        <f>'Financial Statements'!M50-'Financial Statements'!L50</f>
        <v>199991.001446031</v>
      </c>
      <c r="M14" s="68">
        <f>'Financial Statements'!N50-'Financial Statements'!M50</f>
        <v>205006.827861955</v>
      </c>
      <c r="N14" s="68">
        <f>'Financial Statements'!O50-'Financial Statements'!N50</f>
        <v>210108.340309646</v>
      </c>
      <c r="O14" s="68">
        <f>'Financial Statements'!P50-'Financial Statements'!O50</f>
        <v>215295.623525276</v>
      </c>
      <c r="P14" s="68">
        <f>'Financial Statements'!Q50-'Financial Statements'!P50</f>
        <v>220568.707841487</v>
      </c>
      <c r="Q14" s="68">
        <f>'Financial Statements'!R50-'Financial Statements'!Q50</f>
        <v>227185.769076732</v>
      </c>
    </row>
    <row r="15" spans="1:17">
      <c r="A15" s="16" t="s">
        <v>150</v>
      </c>
      <c r="B15" s="189">
        <f>-'Financial Statements'!C27</f>
        <v>0</v>
      </c>
      <c r="C15" s="189">
        <f>-'Financial Statements'!D27</f>
        <v>0</v>
      </c>
      <c r="D15" s="189">
        <f>-'Financial Statements'!E27</f>
        <v>0</v>
      </c>
      <c r="E15" s="189">
        <f>-'Financial Statements'!F27</f>
        <v>0</v>
      </c>
      <c r="F15" s="68">
        <f>-'Financial Statements'!G27</f>
        <v>0</v>
      </c>
      <c r="G15" s="68">
        <f>-'Financial Statements'!H27</f>
        <v>0</v>
      </c>
      <c r="H15" s="68">
        <f>-'Financial Statements'!I27</f>
        <v>0</v>
      </c>
      <c r="I15" s="68">
        <f>-'Financial Statements'!J27</f>
        <v>0</v>
      </c>
      <c r="J15" s="68">
        <f>-'Financial Statements'!K27</f>
        <v>0</v>
      </c>
      <c r="K15" s="68">
        <f>-'Financial Statements'!L27</f>
        <v>0</v>
      </c>
      <c r="L15" s="68">
        <f>-'Financial Statements'!M27</f>
        <v>0</v>
      </c>
      <c r="M15" s="68">
        <f>-'Financial Statements'!N27</f>
        <v>0</v>
      </c>
      <c r="N15" s="68">
        <f>-'Financial Statements'!O27</f>
        <v>0</v>
      </c>
      <c r="O15" s="68">
        <f>-'Financial Statements'!P27</f>
        <v>0</v>
      </c>
      <c r="P15" s="68">
        <f>-'Financial Statements'!Q27</f>
        <v>0</v>
      </c>
      <c r="Q15" s="68">
        <f>-'Financial Statements'!R27</f>
        <v>0</v>
      </c>
    </row>
    <row r="16" spans="1:17">
      <c r="A16" t="s">
        <v>151</v>
      </c>
      <c r="B16" s="189">
        <f>-'Financial Statements'!C28</f>
        <v>0</v>
      </c>
      <c r="C16" s="189">
        <f>-'Financial Statements'!D28</f>
        <v>0</v>
      </c>
      <c r="D16" s="189">
        <f>-'Financial Statements'!E28</f>
        <v>0</v>
      </c>
      <c r="E16" s="189">
        <f>-'Financial Statements'!F28</f>
        <v>0</v>
      </c>
      <c r="F16" s="68">
        <f>-'Financial Statements'!G28</f>
        <v>0</v>
      </c>
      <c r="G16" s="68">
        <f>-'Financial Statements'!H28</f>
        <v>0</v>
      </c>
      <c r="H16" s="68">
        <f>-'Financial Statements'!I28</f>
        <v>0</v>
      </c>
      <c r="I16" s="68">
        <f>-'Financial Statements'!J28</f>
        <v>0</v>
      </c>
      <c r="J16" s="68">
        <f>-'Financial Statements'!K28</f>
        <v>0</v>
      </c>
      <c r="K16" s="68">
        <f>-'Financial Statements'!L28</f>
        <v>0</v>
      </c>
      <c r="L16" s="68">
        <f>-'Financial Statements'!M28</f>
        <v>0</v>
      </c>
      <c r="M16" s="68">
        <f>-'Financial Statements'!N28</f>
        <v>0</v>
      </c>
      <c r="N16" s="68">
        <f>-'Financial Statements'!O28</f>
        <v>0</v>
      </c>
      <c r="O16" s="68">
        <f>-'Financial Statements'!P28</f>
        <v>0</v>
      </c>
      <c r="P16" s="68">
        <f>-'Financial Statements'!Q28</f>
        <v>0</v>
      </c>
      <c r="Q16" s="68">
        <f>-'Financial Statements'!R28</f>
        <v>0</v>
      </c>
    </row>
    <row r="17" spans="1:17">
      <c r="A17" t="s">
        <v>152</v>
      </c>
      <c r="B17" s="189">
        <f>B11+B12+B13+B14+B15+B16</f>
        <v>-1622800</v>
      </c>
      <c r="C17" s="189">
        <f t="shared" ref="C17:Q17" si="0">C11+C12+C13+C14+C15+C16</f>
        <v>5580800</v>
      </c>
      <c r="D17" s="189">
        <f t="shared" si="0"/>
        <v>1545000</v>
      </c>
      <c r="E17" s="189">
        <f t="shared" si="0"/>
        <v>1283400</v>
      </c>
      <c r="F17" s="68">
        <f t="shared" si="0"/>
        <v>1570941.39984803</v>
      </c>
      <c r="G17" s="68">
        <f t="shared" si="0"/>
        <v>1619341.30959957</v>
      </c>
      <c r="H17" s="68">
        <f t="shared" si="0"/>
        <v>1668962.43081494</v>
      </c>
      <c r="I17" s="68">
        <f t="shared" si="0"/>
        <v>1719825.84186316</v>
      </c>
      <c r="J17" s="68">
        <f t="shared" si="0"/>
        <v>1771952.64906239</v>
      </c>
      <c r="K17" s="68">
        <f t="shared" si="0"/>
        <v>1825363.97345865</v>
      </c>
      <c r="L17" s="68">
        <f t="shared" si="0"/>
        <v>1880080.93718465</v>
      </c>
      <c r="M17" s="68">
        <f t="shared" si="0"/>
        <v>1936124.64939949</v>
      </c>
      <c r="N17" s="68">
        <f t="shared" si="0"/>
        <v>1993516.19181047</v>
      </c>
      <c r="O17" s="68">
        <f t="shared" si="0"/>
        <v>2052276.60377873</v>
      </c>
      <c r="P17" s="68">
        <f t="shared" si="0"/>
        <v>2112426.86701093</v>
      </c>
      <c r="Q17" s="68">
        <f t="shared" si="0"/>
        <v>2175799.67302126</v>
      </c>
    </row>
    <row r="18" spans="1:17">
      <c r="A18" t="s">
        <v>153</v>
      </c>
      <c r="B18" s="189">
        <f>-('Financial Statements'!C34-'Financial Statements'!B34)</f>
        <v>-100900</v>
      </c>
      <c r="C18" s="189">
        <f>-('Financial Statements'!D34-'Financial Statements'!C34)</f>
        <v>100900</v>
      </c>
      <c r="D18" s="189">
        <f>-('Financial Statements'!E34-'Financial Statements'!D34)</f>
        <v>0</v>
      </c>
      <c r="E18" s="189">
        <f>-('Financial Statements'!F34-'Financial Statements'!E34)</f>
        <v>0</v>
      </c>
      <c r="F18" s="68">
        <f>-('Financial Statements'!G34-'Financial Statements'!F34)</f>
        <v>0</v>
      </c>
      <c r="G18" s="68">
        <f>-('Financial Statements'!H34-'Financial Statements'!G34)</f>
        <v>0</v>
      </c>
      <c r="H18" s="68">
        <f>-('Financial Statements'!I34-'Financial Statements'!H34)</f>
        <v>0</v>
      </c>
      <c r="I18" s="68">
        <f>-('Financial Statements'!J34-'Financial Statements'!I34)</f>
        <v>0</v>
      </c>
      <c r="J18" s="68">
        <f>-('Financial Statements'!K34-'Financial Statements'!J34)</f>
        <v>0</v>
      </c>
      <c r="K18" s="68">
        <f>-('Financial Statements'!L34-'Financial Statements'!K34)</f>
        <v>0</v>
      </c>
      <c r="L18" s="68">
        <f>-('Financial Statements'!M34-'Financial Statements'!L34)</f>
        <v>0</v>
      </c>
      <c r="M18" s="68">
        <f>-('Financial Statements'!N34-'Financial Statements'!M34)</f>
        <v>0</v>
      </c>
      <c r="N18" s="68">
        <f>-('Financial Statements'!O34-'Financial Statements'!N34)</f>
        <v>0</v>
      </c>
      <c r="O18" s="68">
        <f>-('Financial Statements'!P34-'Financial Statements'!O34)</f>
        <v>0</v>
      </c>
      <c r="P18" s="68">
        <f>-('Financial Statements'!Q34-'Financial Statements'!P34)</f>
        <v>0</v>
      </c>
      <c r="Q18" s="68">
        <f>-('Financial Statements'!R34-'Financial Statements'!Q34)</f>
        <v>0</v>
      </c>
    </row>
    <row r="19" spans="1:17">
      <c r="A19" t="s">
        <v>154</v>
      </c>
      <c r="B19" s="189">
        <f>-('Financial Statements'!C35-'Financial Statements'!B35)</f>
        <v>-366700</v>
      </c>
      <c r="C19" s="189">
        <f>-('Financial Statements'!D35-'Financial Statements'!C35)</f>
        <v>14000</v>
      </c>
      <c r="D19" s="189">
        <f>-('Financial Statements'!E35-'Financial Statements'!D35)</f>
        <v>95000</v>
      </c>
      <c r="E19" s="189">
        <f>-('Financial Statements'!F35-'Financial Statements'!E35)</f>
        <v>-940300</v>
      </c>
      <c r="F19" s="68">
        <f>-('Financial Statements'!G35-'Financial Statements'!F35)</f>
        <v>-138275.102081131</v>
      </c>
      <c r="G19" s="68">
        <f>-('Financial Statements'!H35-'Financial Statements'!G35)</f>
        <v>-141904.509854367</v>
      </c>
      <c r="H19" s="68">
        <f>-('Financial Statements'!I35-'Financial Statements'!H35)</f>
        <v>-145601.676198916</v>
      </c>
      <c r="I19" s="68">
        <f>-('Financial Statements'!J35-'Financial Statements'!I35)</f>
        <v>-149366.903640003</v>
      </c>
      <c r="J19" s="68">
        <f>-('Financial Statements'!K35-'Financial Statements'!J35)</f>
        <v>-153200.459048891</v>
      </c>
      <c r="K19" s="68">
        <f>-('Financial Statements'!L35-'Financial Statements'!K35)</f>
        <v>-157102.572292307</v>
      </c>
      <c r="L19" s="68">
        <f>-('Financial Statements'!M35-'Financial Statements'!L35)</f>
        <v>-161073.434876027</v>
      </c>
      <c r="M19" s="68">
        <f>-('Financial Statements'!N35-'Financial Statements'!M35)</f>
        <v>-165113.198583959</v>
      </c>
      <c r="N19" s="68">
        <f>-('Financial Statements'!O35-'Financial Statements'!N35)</f>
        <v>-169221.974114212</v>
      </c>
      <c r="O19" s="68">
        <f>-('Financial Statements'!P35-'Financial Statements'!O35)</f>
        <v>-173399.82971359</v>
      </c>
      <c r="P19" s="68">
        <f>-('Financial Statements'!Q35-'Financial Statements'!P35)</f>
        <v>-177646.789812102</v>
      </c>
      <c r="Q19" s="68">
        <f>-('Financial Statements'!R35-'Financial Statements'!Q35)</f>
        <v>-182976.193506466</v>
      </c>
    </row>
    <row r="20" spans="1:17">
      <c r="A20" t="s">
        <v>155</v>
      </c>
      <c r="B20" s="189">
        <f>-('Financial Statements'!C36-'Financial Statements'!B36)</f>
        <v>99500</v>
      </c>
      <c r="C20" s="189">
        <f>-('Financial Statements'!D36-'Financial Statements'!C36)</f>
        <v>48300</v>
      </c>
      <c r="D20" s="189">
        <f>-('Financial Statements'!E36-'Financial Statements'!D36)</f>
        <v>1200</v>
      </c>
      <c r="E20" s="189">
        <f>-('Financial Statements'!F36-'Financial Statements'!E36)</f>
        <v>-43400</v>
      </c>
      <c r="F20" s="68">
        <f>-('Financial Statements'!G36-'Financial Statements'!F36)</f>
        <v>-6446.27362070803</v>
      </c>
      <c r="G20" s="68">
        <f>-('Financial Statements'!H36-'Financial Statements'!G36)</f>
        <v>-6615.4736808438</v>
      </c>
      <c r="H20" s="68">
        <f>-('Financial Statements'!I36-'Financial Statements'!H36)</f>
        <v>-6787.83259086829</v>
      </c>
      <c r="I20" s="68">
        <f>-('Financial Statements'!J36-'Financial Statements'!I36)</f>
        <v>-6963.36445426341</v>
      </c>
      <c r="J20" s="68">
        <f>-('Financial Statements'!K36-'Financial Statements'!J36)</f>
        <v>-7142.08171235185</v>
      </c>
      <c r="K20" s="68">
        <f>-('Financial Statements'!L36-'Financial Statements'!K36)</f>
        <v>-7323.99508133487</v>
      </c>
      <c r="L20" s="68">
        <f>-('Financial Statements'!M36-'Financial Statements'!L36)</f>
        <v>-7509.11348905708</v>
      </c>
      <c r="M20" s="68">
        <f>-('Financial Statements'!N36-'Financial Statements'!M36)</f>
        <v>-7697.44401156183</v>
      </c>
      <c r="N20" s="68">
        <f>-('Financial Statements'!O36-'Financial Statements'!N36)</f>
        <v>-7888.99180950559</v>
      </c>
      <c r="O20" s="68">
        <f>-('Financial Statements'!P36-'Financial Statements'!O36)</f>
        <v>-8083.76006449905</v>
      </c>
      <c r="P20" s="68">
        <f>-('Financial Statements'!Q36-'Financial Statements'!P36)</f>
        <v>-8281.74991544982</v>
      </c>
      <c r="Q20" s="68">
        <f>-('Financial Statements'!R36-'Financial Statements'!Q36)</f>
        <v>-8530.20241291332</v>
      </c>
    </row>
    <row r="21" spans="1:17">
      <c r="A21" t="s">
        <v>156</v>
      </c>
      <c r="B21" s="189">
        <f>('Financial Statements'!C45-'Financial Statements'!B45)</f>
        <v>241600</v>
      </c>
      <c r="C21" s="189">
        <f>('Financial Statements'!D45-'Financial Statements'!C45)</f>
        <v>-79900</v>
      </c>
      <c r="D21" s="189">
        <f>('Financial Statements'!E45-'Financial Statements'!D45)</f>
        <v>144000</v>
      </c>
      <c r="E21" s="189">
        <f>('Financial Statements'!F45-'Financial Statements'!E45)</f>
        <v>403700</v>
      </c>
      <c r="F21" s="68">
        <f>('Financial Statements'!G45-'Financial Statements'!F45)</f>
        <v>59656.5263071617</v>
      </c>
      <c r="G21" s="68">
        <f>('Financial Statements'!H45-'Financial Statements'!G45)</f>
        <v>61222.3748008148</v>
      </c>
      <c r="H21" s="68">
        <f>('Financial Statements'!I45-'Financial Statements'!H45)</f>
        <v>62817.4566194208</v>
      </c>
      <c r="I21" s="68">
        <f>('Financial Statements'!J45-'Financial Statements'!I45)</f>
        <v>64441.90228253</v>
      </c>
      <c r="J21" s="68">
        <f>('Financial Statements'!K45-'Financial Statements'!J45)</f>
        <v>66095.8269273737</v>
      </c>
      <c r="K21" s="68">
        <f>('Financial Statements'!L45-'Financial Statements'!K45)</f>
        <v>67779.3297261847</v>
      </c>
      <c r="L21" s="68">
        <f>('Financial Statements'!M45-'Financial Statements'!L45)</f>
        <v>69492.4933009888</v>
      </c>
      <c r="M21" s="68">
        <f>('Financial Statements'!N45-'Financial Statements'!M45)</f>
        <v>71235.3831364675</v>
      </c>
      <c r="N21" s="68">
        <f>('Financial Statements'!O45-'Financial Statements'!N45)</f>
        <v>73008.0469915052</v>
      </c>
      <c r="O21" s="68">
        <f>('Financial Statements'!P45-'Financial Statements'!O45)</f>
        <v>74810.5143100643</v>
      </c>
      <c r="P21" s="68">
        <f>('Financial Statements'!Q45-'Financial Statements'!P45)</f>
        <v>76642.7956320755</v>
      </c>
      <c r="Q21" s="68">
        <f>('Financial Statements'!R45-'Financial Statements'!Q45)</f>
        <v>78942.079501038</v>
      </c>
    </row>
    <row r="22" spans="1:17">
      <c r="A22" t="s">
        <v>157</v>
      </c>
      <c r="B22" s="189">
        <f>('Financial Statements'!C46-'Financial Statements'!B46)</f>
        <v>28500</v>
      </c>
      <c r="C22" s="189">
        <f>('Financial Statements'!D46-'Financial Statements'!C46)</f>
        <v>2700</v>
      </c>
      <c r="D22" s="189">
        <f>('Financial Statements'!E46-'Financial Statements'!D46)</f>
        <v>23600</v>
      </c>
      <c r="E22" s="189">
        <f>('Financial Statements'!F46-'Financial Statements'!E46)</f>
        <v>-3700</v>
      </c>
      <c r="F22" s="68">
        <f>('Financial Statements'!G46-'Financial Statements'!F46)</f>
        <v>2615.23674396113</v>
      </c>
      <c r="G22" s="68">
        <f>('Financial Statements'!H46-'Financial Statements'!G46)</f>
        <v>2683.8807762166</v>
      </c>
      <c r="H22" s="68">
        <f>('Financial Statements'!I46-'Financial Statements'!H46)</f>
        <v>2753.80634580411</v>
      </c>
      <c r="I22" s="68">
        <f>('Financial Statements'!J46-'Financial Statements'!I46)</f>
        <v>2825.01917447033</v>
      </c>
      <c r="J22" s="68">
        <f>('Financial Statements'!K46-'Financial Statements'!J46)</f>
        <v>2897.524309628</v>
      </c>
      <c r="K22" s="68">
        <f>('Financial Statements'!L46-'Financial Statements'!K46)</f>
        <v>2971.32609881267</v>
      </c>
      <c r="L22" s="68">
        <f>('Financial Statements'!M46-'Financial Statements'!L46)</f>
        <v>3046.42816402807</v>
      </c>
      <c r="M22" s="68">
        <f>('Financial Statements'!N46-'Financial Statements'!M46)</f>
        <v>3122.83337600692</v>
      </c>
      <c r="N22" s="68">
        <f>('Financial Statements'!O46-'Financial Statements'!N46)</f>
        <v>3200.54382841433</v>
      </c>
      <c r="O22" s="68">
        <f>('Financial Statements'!P46-'Financial Statements'!O46)</f>
        <v>3279.56081202174</v>
      </c>
      <c r="P22" s="68">
        <f>('Financial Statements'!Q46-'Financial Statements'!P46)</f>
        <v>3359.88478888091</v>
      </c>
      <c r="Q22" s="68">
        <f>('Financial Statements'!R46-'Financial Statements'!Q46)</f>
        <v>3460.68133254736</v>
      </c>
    </row>
    <row r="23" spans="1:17">
      <c r="A23" t="s">
        <v>158</v>
      </c>
      <c r="B23" s="189">
        <f>('Financial Statements'!C47-'Financial Statements'!B47)</f>
        <v>-117600</v>
      </c>
      <c r="C23" s="189">
        <f>('Financial Statements'!D47-'Financial Statements'!C47)</f>
        <v>1278000</v>
      </c>
      <c r="D23" s="189">
        <f>('Financial Statements'!E47-'Financial Statements'!D47)</f>
        <v>266200</v>
      </c>
      <c r="E23" s="189">
        <f>('Financial Statements'!F47-'Financial Statements'!E47)</f>
        <v>46300</v>
      </c>
      <c r="F23" s="68">
        <f>('Financial Statements'!G47-'Financial Statements'!F47)</f>
        <v>69965.4982664078</v>
      </c>
      <c r="G23" s="68">
        <f>('Financial Statements'!H47-'Financial Statements'!G47)</f>
        <v>71801.9338896298</v>
      </c>
      <c r="H23" s="68">
        <f>('Financial Statements'!I47-'Financial Statements'!H47)</f>
        <v>73672.6545152296</v>
      </c>
      <c r="I23" s="68">
        <f>('Financial Statements'!J47-'Financial Statements'!I47)</f>
        <v>75577.813217246</v>
      </c>
      <c r="J23" s="68">
        <f>('Financial Statements'!K47-'Financial Statements'!J47)</f>
        <v>77517.5450292495</v>
      </c>
      <c r="K23" s="68">
        <f>('Financial Statements'!L47-'Financial Statements'!K47)</f>
        <v>79491.966260971</v>
      </c>
      <c r="L23" s="68">
        <f>('Financial Statements'!M47-'Financial Statements'!L47)</f>
        <v>81501.1738119763</v>
      </c>
      <c r="M23" s="68">
        <f>('Financial Statements'!N47-'Financial Statements'!M47)</f>
        <v>83545.2444830518</v>
      </c>
      <c r="N23" s="68">
        <f>('Financial Statements'!O47-'Financial Statements'!N47)</f>
        <v>85624.2342860773</v>
      </c>
      <c r="O23" s="68">
        <f>('Financial Statements'!P47-'Financial Statements'!O47)</f>
        <v>87738.1777530946</v>
      </c>
      <c r="P23" s="68">
        <f>('Financial Statements'!Q47-'Financial Statements'!P47)</f>
        <v>89887.0872453884</v>
      </c>
      <c r="Q23" s="68">
        <f>('Financial Statements'!R47-'Financial Statements'!Q47)</f>
        <v>92583.6998627498</v>
      </c>
    </row>
    <row r="24" spans="1:17">
      <c r="A24" t="s">
        <v>159</v>
      </c>
      <c r="B24" s="189">
        <f>B17+B18+B19+B20+B21+B22+B23</f>
        <v>-1838400</v>
      </c>
      <c r="C24" s="189">
        <f>C17+C18+C19+C20+C21+C22+C23</f>
        <v>6944800</v>
      </c>
      <c r="D24" s="189">
        <f>D17+D18+D19+D20+D21+D22+D23</f>
        <v>2075000</v>
      </c>
      <c r="E24" s="189">
        <f>E17+E18+E19+E20+E21+E22+E23</f>
        <v>746000</v>
      </c>
      <c r="F24" s="68">
        <f t="shared" ref="F24:Q24" si="1">F17+F18+F19+F20+F21+F22+F23</f>
        <v>1558457.28546372</v>
      </c>
      <c r="G24" s="68">
        <f t="shared" si="1"/>
        <v>1606529.51553102</v>
      </c>
      <c r="H24" s="68">
        <f t="shared" si="1"/>
        <v>1655816.83950561</v>
      </c>
      <c r="I24" s="68">
        <f t="shared" si="1"/>
        <v>1706340.30844314</v>
      </c>
      <c r="J24" s="68">
        <f t="shared" si="1"/>
        <v>1758121.0045674</v>
      </c>
      <c r="K24" s="68">
        <f t="shared" si="1"/>
        <v>1811180.02817098</v>
      </c>
      <c r="L24" s="68">
        <f t="shared" si="1"/>
        <v>1865538.48409656</v>
      </c>
      <c r="M24" s="68">
        <f t="shared" si="1"/>
        <v>1921217.46779949</v>
      </c>
      <c r="N24" s="68">
        <f t="shared" si="1"/>
        <v>1978238.05099275</v>
      </c>
      <c r="O24" s="68">
        <f t="shared" si="1"/>
        <v>2036621.26687582</v>
      </c>
      <c r="P24" s="68">
        <f t="shared" si="1"/>
        <v>2096388.09494972</v>
      </c>
      <c r="Q24" s="68">
        <f t="shared" si="1"/>
        <v>2159279.73779821</v>
      </c>
    </row>
    <row r="26" spans="1:3">
      <c r="A26" s="16" t="s">
        <v>160</v>
      </c>
      <c r="B26" s="16"/>
      <c r="C26" s="16"/>
    </row>
    <row r="27" spans="1:17">
      <c r="A27" t="s">
        <v>161</v>
      </c>
      <c r="B27" s="189">
        <f>-('Financial Statements'!C38-'Financial Statements'!B38-'Financial Statements'!C18)</f>
        <v>-244600</v>
      </c>
      <c r="C27" s="189">
        <f>-('Financial Statements'!D38-'Financial Statements'!C38-'Financial Statements'!D18)</f>
        <v>-436500</v>
      </c>
      <c r="D27" s="189">
        <f>-('Financial Statements'!E38-'Financial Statements'!D38-'Financial Statements'!E18)</f>
        <v>-234500</v>
      </c>
      <c r="E27" s="189">
        <f>-('Financial Statements'!F38-'Financial Statements'!E38-'Financial Statements'!F18)</f>
        <v>-361000</v>
      </c>
      <c r="F27" s="68">
        <f>-('Financial Statements'!G38-'Financial Statements'!F38-'Financial Statements'!G18)</f>
        <v>-141757.862878174</v>
      </c>
      <c r="G27" s="68">
        <f>-('Financial Statements'!H38-'Financial Statements'!G38-'Financial Statements'!H18)</f>
        <v>-145478.68522221</v>
      </c>
      <c r="H27" s="68">
        <f>-('Financial Statements'!I38-'Financial Statements'!H38-'Financial Statements'!I18)</f>
        <v>-149268.972785337</v>
      </c>
      <c r="I27" s="68">
        <f>-('Financial Statements'!J38-'Financial Statements'!I38-'Financial Statements'!J18)</f>
        <v>-153129.035712542</v>
      </c>
      <c r="J27" s="68">
        <f>-('Financial Statements'!K38-'Financial Statements'!J38-'Financial Statements'!K18)</f>
        <v>-157059.147596822</v>
      </c>
      <c r="K27" s="68">
        <f>-('Financial Statements'!L38-'Financial Statements'!K38-'Financial Statements'!L18)</f>
        <v>-161059.5440946</v>
      </c>
      <c r="L27" s="68">
        <f>-('Financial Statements'!M38-'Financial Statements'!L38-'Financial Statements'!M18)</f>
        <v>-165130.421535144</v>
      </c>
      <c r="M27" s="68">
        <f>-('Financial Statements'!N38-'Financial Statements'!M38-'Financial Statements'!N18)</f>
        <v>-169271.935525373</v>
      </c>
      <c r="N27" s="68">
        <f>-('Financial Statements'!O38-'Financial Statements'!N38-'Financial Statements'!O18)</f>
        <v>-173484.199551567</v>
      </c>
      <c r="O27" s="68">
        <f>-('Financial Statements'!P38-'Financial Statements'!O38-'Financial Statements'!P18)</f>
        <v>-177767.283579478</v>
      </c>
      <c r="P27" s="68">
        <f>-('Financial Statements'!Q38-'Financial Statements'!P38-'Financial Statements'!Q18)</f>
        <v>-182121.212654438</v>
      </c>
      <c r="Q27" s="68">
        <f>-('Financial Statements'!R38-'Financial Statements'!Q38-'Financial Statements'!R18)</f>
        <v>-187584.849034071</v>
      </c>
    </row>
    <row r="28" spans="1:17">
      <c r="A28" t="s">
        <v>162</v>
      </c>
      <c r="B28" s="189">
        <f>-('Financial Statements'!C39-'Financial Statements'!B39)</f>
        <v>0</v>
      </c>
      <c r="C28" s="189">
        <f>-('Financial Statements'!D39-'Financial Statements'!C39)</f>
        <v>0</v>
      </c>
      <c r="D28" s="189">
        <f>-('Financial Statements'!E39-'Financial Statements'!D39)</f>
        <v>0</v>
      </c>
      <c r="E28" s="189">
        <f>-('Financial Statements'!F39-'Financial Statements'!E39)</f>
        <v>0</v>
      </c>
      <c r="F28" s="68">
        <f>-('Financial Statements'!G39-'Financial Statements'!F39)</f>
        <v>0</v>
      </c>
      <c r="G28" s="68">
        <f>-('Financial Statements'!H39-'Financial Statements'!G39)</f>
        <v>0</v>
      </c>
      <c r="H28" s="68">
        <f>-('Financial Statements'!I39-'Financial Statements'!H39)</f>
        <v>0</v>
      </c>
      <c r="I28" s="68">
        <f>-('Financial Statements'!J39-'Financial Statements'!I39)</f>
        <v>0</v>
      </c>
      <c r="J28" s="68">
        <f>-('Financial Statements'!K39-'Financial Statements'!J39)</f>
        <v>0</v>
      </c>
      <c r="K28" s="68">
        <f>-('Financial Statements'!L39-'Financial Statements'!K39)</f>
        <v>0</v>
      </c>
      <c r="L28" s="68">
        <f>-('Financial Statements'!M39-'Financial Statements'!L39)</f>
        <v>0</v>
      </c>
      <c r="M28" s="68">
        <f>-('Financial Statements'!N39-'Financial Statements'!M39)</f>
        <v>0</v>
      </c>
      <c r="N28" s="68">
        <f>-('Financial Statements'!O39-'Financial Statements'!N39)</f>
        <v>0</v>
      </c>
      <c r="O28" s="68">
        <f>-('Financial Statements'!P39-'Financial Statements'!O39)</f>
        <v>0</v>
      </c>
      <c r="P28" s="68">
        <f>-('Financial Statements'!Q39-'Financial Statements'!P39)</f>
        <v>0</v>
      </c>
      <c r="Q28" s="68">
        <f>-('Financial Statements'!R39-'Financial Statements'!Q39)</f>
        <v>0</v>
      </c>
    </row>
    <row r="29" spans="1:17">
      <c r="A29" t="s">
        <v>163</v>
      </c>
      <c r="B29" s="189">
        <f>-('Financial Statements'!C40-'Financial Statements'!B40)</f>
        <v>-660100</v>
      </c>
      <c r="C29" s="189">
        <f>-('Financial Statements'!D40-'Financial Statements'!C40)</f>
        <v>602000</v>
      </c>
      <c r="D29" s="189">
        <f>-('Financial Statements'!E40-'Financial Statements'!D40)</f>
        <v>-1100</v>
      </c>
      <c r="E29" s="189">
        <f>-('Financial Statements'!F40-'Financial Statements'!E40)</f>
        <v>0</v>
      </c>
      <c r="F29" s="68">
        <f>-('Financial Statements'!G40-'Financial Statements'!F40)</f>
        <v>-160979.53633167</v>
      </c>
      <c r="G29" s="68">
        <f>-('Financial Statements'!H40-'Financial Statements'!G40)</f>
        <v>-165204.884002368</v>
      </c>
      <c r="H29" s="68">
        <f>-('Financial Statements'!I40-'Financial Statements'!H40)</f>
        <v>-169509.116036398</v>
      </c>
      <c r="I29" s="68">
        <f>-('Financial Statements'!J40-'Financial Statements'!I40)</f>
        <v>-173892.584632893</v>
      </c>
      <c r="J29" s="68">
        <f>-('Financial Statements'!K40-'Financial Statements'!J40)</f>
        <v>-178355.600482719</v>
      </c>
      <c r="K29" s="68">
        <f>-('Financial Statements'!L40-'Financial Statements'!K40)</f>
        <v>-182898.431196164</v>
      </c>
      <c r="L29" s="68">
        <f>-('Financial Statements'!M40-'Financial Statements'!L40)</f>
        <v>-187521.299723781</v>
      </c>
      <c r="M29" s="68">
        <f>-('Financial Statements'!N40-'Financial Statements'!M40)</f>
        <v>-192224.382772029</v>
      </c>
      <c r="N29" s="68">
        <f>-('Financial Statements'!O40-'Financial Statements'!N40)</f>
        <v>-197007.809215373</v>
      </c>
      <c r="O29" s="68">
        <f>-('Financial Statements'!P40-'Financial Statements'!O40)</f>
        <v>-201871.658506577</v>
      </c>
      <c r="P29" s="68">
        <f>-('Financial Statements'!Q40-'Financial Statements'!P40)</f>
        <v>-206815.959086999</v>
      </c>
      <c r="Q29" s="68">
        <f>-('Financial Statements'!R40-'Financial Statements'!Q40)</f>
        <v>-213020.43785961</v>
      </c>
    </row>
    <row r="30" spans="1:17">
      <c r="A30" t="s">
        <v>164</v>
      </c>
      <c r="B30" s="189">
        <f>-('Financial Statements'!C41-'Financial Statements'!B41)</f>
        <v>3453300</v>
      </c>
      <c r="C30" s="189">
        <f>-('Financial Statements'!D41-'Financial Statements'!C41)</f>
        <v>-6262800</v>
      </c>
      <c r="D30" s="189">
        <f>-('Financial Statements'!E41-'Financial Statements'!D41)</f>
        <v>-104400</v>
      </c>
      <c r="E30" s="189">
        <f>-('Financial Statements'!F41-'Financial Statements'!E41)</f>
        <v>-106400</v>
      </c>
      <c r="F30" s="68">
        <f>-('Financial Statements'!G41-'Financial Statements'!F41)</f>
        <v>-207411.070048607</v>
      </c>
      <c r="G30" s="68">
        <f>-('Financial Statements'!H41-'Financial Statements'!G41)</f>
        <v>-212855.140156383</v>
      </c>
      <c r="H30" s="68">
        <f>-('Financial Statements'!I41-'Financial Statements'!H41)</f>
        <v>-218400.847345379</v>
      </c>
      <c r="I30" s="68">
        <f>-('Financial Statements'!J41-'Financial Statements'!I41)</f>
        <v>-224048.645399971</v>
      </c>
      <c r="J30" s="68">
        <f>-('Financial Statements'!K41-'Financial Statements'!J41)</f>
        <v>-229798.934623997</v>
      </c>
      <c r="K30" s="68">
        <f>-('Financial Statements'!L41-'Financial Statements'!K41)</f>
        <v>-235652.059814915</v>
      </c>
      <c r="L30" s="68">
        <f>-('Financial Statements'!M41-'Financial Statements'!L41)</f>
        <v>-241608.308229194</v>
      </c>
      <c r="M30" s="68">
        <f>-('Financial Statements'!N41-'Financial Statements'!M41)</f>
        <v>-247667.907540965</v>
      </c>
      <c r="N30" s="68">
        <f>-('Financial Statements'!O41-'Financial Statements'!N41)</f>
        <v>-253831.02379612</v>
      </c>
      <c r="O30" s="68">
        <f>-('Financial Statements'!P41-'Financial Statements'!O41)</f>
        <v>-260097.759364082</v>
      </c>
      <c r="P30" s="68">
        <f>-('Financial Statements'!Q41-'Financial Statements'!P41)</f>
        <v>-266468.150889589</v>
      </c>
      <c r="Q30" s="68">
        <f>-('Financial Statements'!R41-'Financial Statements'!Q41)</f>
        <v>-274462.195416277</v>
      </c>
    </row>
    <row r="31" spans="1:17">
      <c r="A31" t="s">
        <v>165</v>
      </c>
      <c r="B31" s="189">
        <f>B27+B28+B29+B30</f>
        <v>2548600</v>
      </c>
      <c r="C31" s="189">
        <f>C27+C28+C29+C30</f>
        <v>-6097300</v>
      </c>
      <c r="D31" s="189">
        <f>D27+D28+D29+D30</f>
        <v>-340000</v>
      </c>
      <c r="E31" s="189">
        <f>E27+E28+E29+E30</f>
        <v>-467400</v>
      </c>
      <c r="F31" s="68">
        <f t="shared" ref="F31:Q31" si="2">F27+F28+F29+F30</f>
        <v>-510148.469258451</v>
      </c>
      <c r="G31" s="68">
        <f t="shared" si="2"/>
        <v>-523538.709380961</v>
      </c>
      <c r="H31" s="68">
        <f t="shared" si="2"/>
        <v>-537178.936167114</v>
      </c>
      <c r="I31" s="68">
        <f t="shared" si="2"/>
        <v>-551070.265745406</v>
      </c>
      <c r="J31" s="68">
        <f t="shared" si="2"/>
        <v>-565213.682703538</v>
      </c>
      <c r="K31" s="68">
        <f t="shared" si="2"/>
        <v>-579610.035105679</v>
      </c>
      <c r="L31" s="68">
        <f t="shared" si="2"/>
        <v>-594260.029488118</v>
      </c>
      <c r="M31" s="68">
        <f t="shared" si="2"/>
        <v>-609164.225838367</v>
      </c>
      <c r="N31" s="68">
        <f t="shared" si="2"/>
        <v>-624323.032563061</v>
      </c>
      <c r="O31" s="68">
        <f t="shared" si="2"/>
        <v>-639736.701450136</v>
      </c>
      <c r="P31" s="68">
        <f t="shared" si="2"/>
        <v>-655405.322631026</v>
      </c>
      <c r="Q31" s="68">
        <f t="shared" si="2"/>
        <v>-675067.482309958</v>
      </c>
    </row>
    <row r="33" spans="1:3">
      <c r="A33" s="16" t="s">
        <v>166</v>
      </c>
      <c r="B33" s="16"/>
      <c r="C33" s="16"/>
    </row>
    <row r="34" spans="1:17">
      <c r="A34" t="s">
        <v>167</v>
      </c>
      <c r="B34" s="189">
        <f>('Financial Statements'!C44+'Financial Statements'!C49-'Financial Statements'!B44-'Financial Statements'!B49)</f>
        <v>-1412700</v>
      </c>
      <c r="C34" s="189">
        <f>('Financial Statements'!D44+'Financial Statements'!D49-'Financial Statements'!C44-'Financial Statements'!C49)</f>
        <v>-493100</v>
      </c>
      <c r="D34" s="189">
        <f>('Financial Statements'!E44+'Financial Statements'!E49-'Financial Statements'!D44-'Financial Statements'!D49)</f>
        <v>-546000</v>
      </c>
      <c r="E34" s="189">
        <f>('Financial Statements'!F44+'Financial Statements'!F49-'Financial Statements'!E44-'Financial Statements'!E49)</f>
        <v>190800</v>
      </c>
      <c r="F34" s="68">
        <f>('Financial Statements'!G44+'Financial Statements'!G49-'Financial Statements'!F44-'Financial Statements'!F49)</f>
        <v>108187.214940862</v>
      </c>
      <c r="G34" s="68">
        <f>('Financial Statements'!H44+'Financial Statements'!H49-'Financial Statements'!G44-'Financial Statements'!G49)</f>
        <v>111026.883926538</v>
      </c>
      <c r="H34" s="68">
        <f>('Financial Statements'!I44+'Financial Statements'!I49-'Financial Statements'!H44-'Financial Statements'!H49)</f>
        <v>113919.567598217</v>
      </c>
      <c r="I34" s="68">
        <f>('Financial Statements'!J44+'Financial Statements'!J49-'Financial Statements'!I44-'Financial Statements'!I49)</f>
        <v>116865.50265333</v>
      </c>
      <c r="J34" s="68">
        <f>('Financial Statements'!K44+'Financial Statements'!K49-'Financial Statements'!J44-'Financial Statements'!J49)</f>
        <v>119864.89789345</v>
      </c>
      <c r="K34" s="68">
        <f>('Financial Statements'!L44+'Financial Statements'!L49-'Financial Statements'!K44-'Financial Statements'!K49)</f>
        <v>122917.933167589</v>
      </c>
      <c r="L34" s="68">
        <f>('Financial Statements'!M44+'Financial Statements'!M49-'Financial Statements'!L44-'Financial Statements'!L49)</f>
        <v>126024.758310943</v>
      </c>
      <c r="M34" s="68">
        <f>('Financial Statements'!N44+'Financial Statements'!N49-'Financial Statements'!M44-'Financial Statements'!M49)</f>
        <v>129185.492080092</v>
      </c>
      <c r="N34" s="68">
        <f>('Financial Statements'!O44+'Financial Statements'!O49-'Financial Statements'!N44-'Financial Statements'!N49)</f>
        <v>132400.221085858</v>
      </c>
      <c r="O34" s="68">
        <f>('Financial Statements'!P44+'Financial Statements'!P49-'Financial Statements'!O44-'Financial Statements'!O49)</f>
        <v>135668.998724917</v>
      </c>
      <c r="P34" s="68">
        <f>('Financial Statements'!Q44+'Financial Statements'!Q49-'Financial Statements'!P44-'Financial Statements'!P49)</f>
        <v>138991.844111455</v>
      </c>
      <c r="Q34" s="68">
        <f>('Financial Statements'!R44+'Financial Statements'!R49-'Financial Statements'!Q44-'Financial Statements'!Q49)</f>
        <v>143161.599434798</v>
      </c>
    </row>
    <row r="35" spans="1:17">
      <c r="A35" t="s">
        <v>168</v>
      </c>
      <c r="B35" s="189">
        <f>'Financial Statements'!C27+'Financial Statements'!C53-'Financial Statements'!B53</f>
        <v>0</v>
      </c>
      <c r="C35" s="189">
        <f>'Financial Statements'!D27+'Financial Statements'!D53-'Financial Statements'!C53</f>
        <v>0</v>
      </c>
      <c r="D35" s="189">
        <f>'Financial Statements'!E27+'Financial Statements'!E53-'Financial Statements'!D53</f>
        <v>0</v>
      </c>
      <c r="E35" s="189">
        <f>'Financial Statements'!F27+'Financial Statements'!F53-'Financial Statements'!E53</f>
        <v>0</v>
      </c>
      <c r="F35" s="68">
        <f>'Financial Statements'!G27+'Financial Statements'!G53-'Financial Statements'!F53</f>
        <v>0</v>
      </c>
      <c r="G35" s="68">
        <f>'Financial Statements'!H27+'Financial Statements'!H53-'Financial Statements'!G53</f>
        <v>0</v>
      </c>
      <c r="H35" s="68">
        <f>'Financial Statements'!I27+'Financial Statements'!I53-'Financial Statements'!H53</f>
        <v>0</v>
      </c>
      <c r="I35" s="68">
        <f>'Financial Statements'!J27+'Financial Statements'!J53-'Financial Statements'!I53</f>
        <v>0</v>
      </c>
      <c r="J35" s="68">
        <f>'Financial Statements'!K27+'Financial Statements'!K53-'Financial Statements'!J53</f>
        <v>0</v>
      </c>
      <c r="K35" s="68">
        <f>'Financial Statements'!L27+'Financial Statements'!L53-'Financial Statements'!K53</f>
        <v>0</v>
      </c>
      <c r="L35" s="68">
        <f>'Financial Statements'!M27+'Financial Statements'!M53-'Financial Statements'!L53</f>
        <v>0</v>
      </c>
      <c r="M35" s="68">
        <f>'Financial Statements'!N27+'Financial Statements'!N53-'Financial Statements'!M53</f>
        <v>0</v>
      </c>
      <c r="N35" s="68">
        <f>'Financial Statements'!O27+'Financial Statements'!O53-'Financial Statements'!N53</f>
        <v>0</v>
      </c>
      <c r="O35" s="68">
        <f>'Financial Statements'!P27+'Financial Statements'!P53-'Financial Statements'!O53</f>
        <v>0</v>
      </c>
      <c r="P35" s="68">
        <f>'Financial Statements'!Q27+'Financial Statements'!Q53-'Financial Statements'!P53</f>
        <v>0</v>
      </c>
      <c r="Q35" s="68">
        <f>'Financial Statements'!R27+'Financial Statements'!R53-'Financial Statements'!Q53</f>
        <v>0</v>
      </c>
    </row>
    <row r="36" spans="1:17">
      <c r="A36" t="s">
        <v>169</v>
      </c>
      <c r="B36" s="189">
        <f>'Financial Statements'!C28</f>
        <v>0</v>
      </c>
      <c r="C36" s="189">
        <f>'Financial Statements'!D28</f>
        <v>0</v>
      </c>
      <c r="D36" s="189">
        <f>'Financial Statements'!E28</f>
        <v>0</v>
      </c>
      <c r="E36" s="189">
        <f>'Financial Statements'!F28</f>
        <v>0</v>
      </c>
      <c r="F36" s="68">
        <f>'Financial Statements'!G28</f>
        <v>0</v>
      </c>
      <c r="G36" s="68">
        <f>'Financial Statements'!H28</f>
        <v>0</v>
      </c>
      <c r="H36" s="68">
        <f>'Financial Statements'!I28</f>
        <v>0</v>
      </c>
      <c r="I36" s="68">
        <f>'Financial Statements'!J28</f>
        <v>0</v>
      </c>
      <c r="J36" s="68">
        <f>'Financial Statements'!K28</f>
        <v>0</v>
      </c>
      <c r="K36" s="68">
        <f>'Financial Statements'!L28</f>
        <v>0</v>
      </c>
      <c r="L36" s="68">
        <f>'Financial Statements'!M28</f>
        <v>0</v>
      </c>
      <c r="M36" s="68">
        <f>'Financial Statements'!N28</f>
        <v>0</v>
      </c>
      <c r="N36" s="68">
        <f>'Financial Statements'!O28</f>
        <v>0</v>
      </c>
      <c r="O36" s="68">
        <f>'Financial Statements'!P28</f>
        <v>0</v>
      </c>
      <c r="P36" s="68">
        <f>'Financial Statements'!Q28</f>
        <v>0</v>
      </c>
      <c r="Q36" s="68">
        <f>'Financial Statements'!R28</f>
        <v>0</v>
      </c>
    </row>
    <row r="37" spans="1:17">
      <c r="A37" t="s">
        <v>170</v>
      </c>
      <c r="B37" s="189">
        <f>'Financial Statements'!C54-'Financial Statements'!B54</f>
        <v>0</v>
      </c>
      <c r="C37" s="189">
        <f>'Financial Statements'!D54-'Financial Statements'!C54</f>
        <v>0</v>
      </c>
      <c r="D37" s="189">
        <f>'Financial Statements'!E54-'Financial Statements'!D54</f>
        <v>0</v>
      </c>
      <c r="E37" s="189">
        <f>'Financial Statements'!F54-'Financial Statements'!E54</f>
        <v>0</v>
      </c>
      <c r="F37" s="68">
        <f>'Financial Statements'!G54-'Financial Statements'!F54</f>
        <v>0</v>
      </c>
      <c r="G37" s="68">
        <f>'Financial Statements'!H54-'Financial Statements'!G54</f>
        <v>0</v>
      </c>
      <c r="H37" s="68">
        <f>'Financial Statements'!I54-'Financial Statements'!H54</f>
        <v>0</v>
      </c>
      <c r="I37" s="68">
        <f>'Financial Statements'!J54-'Financial Statements'!I54</f>
        <v>0</v>
      </c>
      <c r="J37" s="68">
        <f>'Financial Statements'!K54-'Financial Statements'!J54</f>
        <v>0</v>
      </c>
      <c r="K37" s="68">
        <f>'Financial Statements'!L54-'Financial Statements'!K54</f>
        <v>0</v>
      </c>
      <c r="L37" s="68">
        <f>'Financial Statements'!M54-'Financial Statements'!L54</f>
        <v>0</v>
      </c>
      <c r="M37" s="68">
        <f>'Financial Statements'!N54-'Financial Statements'!M54</f>
        <v>0</v>
      </c>
      <c r="N37" s="68">
        <f>'Financial Statements'!O54-'Financial Statements'!N54</f>
        <v>0</v>
      </c>
      <c r="O37" s="68">
        <f>'Financial Statements'!P54-'Financial Statements'!O54</f>
        <v>0</v>
      </c>
      <c r="P37" s="68">
        <f>'Financial Statements'!Q54-'Financial Statements'!P54</f>
        <v>0</v>
      </c>
      <c r="Q37" s="68">
        <f>'Financial Statements'!R54-'Financial Statements'!Q54</f>
        <v>0</v>
      </c>
    </row>
    <row r="38" spans="1:17">
      <c r="A38" t="s">
        <v>171</v>
      </c>
      <c r="B38" s="189">
        <f>'Financial Statements'!C64</f>
        <v>0</v>
      </c>
      <c r="C38" s="189">
        <f>'Financial Statements'!D64</f>
        <v>0</v>
      </c>
      <c r="D38" s="189">
        <f>'Financial Statements'!E64</f>
        <v>0</v>
      </c>
      <c r="E38" s="189">
        <f>'Financial Statements'!F64</f>
        <v>0</v>
      </c>
      <c r="F38" s="68">
        <f>'Financial Statements'!G64</f>
        <v>0</v>
      </c>
      <c r="G38" s="68">
        <f>'Financial Statements'!H64</f>
        <v>0</v>
      </c>
      <c r="H38" s="68">
        <f>'Financial Statements'!I64</f>
        <v>0</v>
      </c>
      <c r="I38" s="68">
        <f>'Financial Statements'!J64</f>
        <v>0</v>
      </c>
      <c r="J38" s="68">
        <f>'Financial Statements'!K64</f>
        <v>0</v>
      </c>
      <c r="K38" s="68">
        <f>'Financial Statements'!L64</f>
        <v>0</v>
      </c>
      <c r="L38" s="68">
        <f>'Financial Statements'!M64</f>
        <v>0</v>
      </c>
      <c r="M38" s="68">
        <f>'Financial Statements'!N64</f>
        <v>0</v>
      </c>
      <c r="N38" s="68">
        <f>'Financial Statements'!O64</f>
        <v>0</v>
      </c>
      <c r="O38" s="68">
        <f>'Financial Statements'!P64</f>
        <v>0</v>
      </c>
      <c r="P38" s="68">
        <f>'Financial Statements'!Q64</f>
        <v>0</v>
      </c>
      <c r="Q38" s="68">
        <f>'Financial Statements'!R64</f>
        <v>0</v>
      </c>
    </row>
    <row r="39" spans="1:17">
      <c r="A39" t="s">
        <v>172</v>
      </c>
      <c r="B39" s="189">
        <f>'Financial Statements'!C55-'Financial Statements'!B55</f>
        <v>51400</v>
      </c>
      <c r="C39" s="189">
        <f>'Financial Statements'!D55-'Financial Statements'!C55</f>
        <v>-149800</v>
      </c>
      <c r="D39" s="189">
        <f>'Financial Statements'!E55-'Financial Statements'!D55</f>
        <v>-311400</v>
      </c>
      <c r="E39" s="189">
        <f>'Financial Statements'!F55-'Financial Statements'!E55</f>
        <v>-894700</v>
      </c>
      <c r="F39" s="68">
        <f>'Financial Statements'!G55-'Financial Statements'!F55</f>
        <v>-1123621.93536823</v>
      </c>
      <c r="G39" s="68">
        <f>'Financial Statements'!H55-'Financial Statements'!G55</f>
        <v>-1160280.7238545</v>
      </c>
      <c r="H39" s="68">
        <f>'Financial Statements'!I55-'Financial Statements'!H55</f>
        <v>-1197941.52506687</v>
      </c>
      <c r="I39" s="68">
        <f>'Financial Statements'!J55-'Financial Statements'!I55</f>
        <v>-1236624.43870636</v>
      </c>
      <c r="J39" s="68">
        <f>'Financial Statements'!K55-'Financial Statements'!J55</f>
        <v>-1276349.70776353</v>
      </c>
      <c r="K39" s="68">
        <f>'Financial Statements'!L55-'Financial Statements'!K55</f>
        <v>-1317137.70966634</v>
      </c>
      <c r="L39" s="68">
        <f>'Financial Statements'!M55-'Financial Statements'!L55</f>
        <v>-1359008.947027</v>
      </c>
      <c r="M39" s="68">
        <f>'Financial Statements'!N55-'Financial Statements'!M55</f>
        <v>-1401984.03798422</v>
      </c>
      <c r="N39" s="68">
        <f>'Financial Statements'!O55-'Financial Statements'!N55</f>
        <v>-1446083.70613731</v>
      </c>
      <c r="O39" s="68">
        <f>'Financial Statements'!P55-'Financial Statements'!O55</f>
        <v>-1491328.77006923</v>
      </c>
      <c r="P39" s="68">
        <f>'Financial Statements'!Q55-'Financial Statements'!P55</f>
        <v>-1537740.13245563</v>
      </c>
      <c r="Q39" s="68">
        <f>'Financial Statements'!R55-'Financial Statements'!Q55</f>
        <v>-1583872.33642931</v>
      </c>
    </row>
    <row r="40" spans="1:17">
      <c r="A40" t="s">
        <v>173</v>
      </c>
      <c r="B40" s="189">
        <f>'Financial Statements'!C65</f>
        <v>0</v>
      </c>
      <c r="C40" s="189">
        <f>'Financial Statements'!D65</f>
        <v>-65300</v>
      </c>
      <c r="D40" s="189">
        <f>'Financial Statements'!E65</f>
        <v>0</v>
      </c>
      <c r="E40" s="189">
        <f>'Financial Statements'!F65</f>
        <v>0</v>
      </c>
      <c r="F40" s="68">
        <f>'Financial Statements'!G65</f>
        <v>0</v>
      </c>
      <c r="G40" s="68">
        <f>'Financial Statements'!H65</f>
        <v>0</v>
      </c>
      <c r="H40" s="68">
        <f>'Financial Statements'!I65</f>
        <v>0</v>
      </c>
      <c r="I40" s="68">
        <f>'Financial Statements'!J65</f>
        <v>0</v>
      </c>
      <c r="J40" s="68">
        <f>'Financial Statements'!K65</f>
        <v>0</v>
      </c>
      <c r="K40" s="68">
        <f>'Financial Statements'!L65</f>
        <v>0</v>
      </c>
      <c r="L40" s="68">
        <f>'Financial Statements'!M65</f>
        <v>0</v>
      </c>
      <c r="M40" s="68">
        <f>'Financial Statements'!N65</f>
        <v>0</v>
      </c>
      <c r="N40" s="68">
        <f>'Financial Statements'!O65</f>
        <v>0</v>
      </c>
      <c r="O40" s="68">
        <f>'Financial Statements'!P65</f>
        <v>0</v>
      </c>
      <c r="P40" s="68">
        <f>'Financial Statements'!Q65</f>
        <v>0</v>
      </c>
      <c r="Q40" s="68">
        <f>'Financial Statements'!R65</f>
        <v>0</v>
      </c>
    </row>
    <row r="41" spans="1:17">
      <c r="A41" t="s">
        <v>174</v>
      </c>
      <c r="B41" s="189">
        <f>SUM(B34:B40)</f>
        <v>-1361300</v>
      </c>
      <c r="C41" s="189">
        <f>SUM(C34:C40)</f>
        <v>-708200</v>
      </c>
      <c r="D41" s="189">
        <f>SUM(D34:D40)</f>
        <v>-857400</v>
      </c>
      <c r="E41" s="189">
        <f>SUM(E34:E40)</f>
        <v>-703900</v>
      </c>
      <c r="F41" s="68">
        <f t="shared" ref="F41:Q41" si="3">SUM(F34:F40)</f>
        <v>-1015434.72042737</v>
      </c>
      <c r="G41" s="68">
        <f t="shared" si="3"/>
        <v>-1049253.83992796</v>
      </c>
      <c r="H41" s="68">
        <f t="shared" si="3"/>
        <v>-1084021.95746865</v>
      </c>
      <c r="I41" s="68">
        <f t="shared" si="3"/>
        <v>-1119758.93605303</v>
      </c>
      <c r="J41" s="68">
        <f t="shared" si="3"/>
        <v>-1156484.80987008</v>
      </c>
      <c r="K41" s="68">
        <f t="shared" si="3"/>
        <v>-1194219.77649875</v>
      </c>
      <c r="L41" s="68">
        <f t="shared" si="3"/>
        <v>-1232984.18871606</v>
      </c>
      <c r="M41" s="68">
        <f t="shared" si="3"/>
        <v>-1272798.54590413</v>
      </c>
      <c r="N41" s="68">
        <f t="shared" si="3"/>
        <v>-1313683.48505145</v>
      </c>
      <c r="O41" s="68">
        <f t="shared" si="3"/>
        <v>-1355659.77134431</v>
      </c>
      <c r="P41" s="68">
        <f t="shared" si="3"/>
        <v>-1398748.28834417</v>
      </c>
      <c r="Q41" s="68">
        <f t="shared" si="3"/>
        <v>-1440710.73699451</v>
      </c>
    </row>
    <row r="43" spans="1:17">
      <c r="A43" t="s">
        <v>175</v>
      </c>
      <c r="B43" s="189">
        <f t="shared" ref="B43:Q43" si="4">B24+B31+B41</f>
        <v>-651100</v>
      </c>
      <c r="C43" s="189">
        <f t="shared" si="4"/>
        <v>139300</v>
      </c>
      <c r="D43" s="189">
        <f t="shared" si="4"/>
        <v>877600</v>
      </c>
      <c r="E43" s="189">
        <f t="shared" si="4"/>
        <v>-425300</v>
      </c>
      <c r="F43" s="68">
        <f t="shared" si="4"/>
        <v>32874.0957779051</v>
      </c>
      <c r="G43" s="68">
        <f t="shared" si="4"/>
        <v>33736.9662221</v>
      </c>
      <c r="H43" s="68">
        <f t="shared" si="4"/>
        <v>34615.9458698377</v>
      </c>
      <c r="I43" s="68">
        <f t="shared" si="4"/>
        <v>35511.1066447021</v>
      </c>
      <c r="J43" s="68">
        <f t="shared" si="4"/>
        <v>36422.5119937889</v>
      </c>
      <c r="K43" s="68">
        <f t="shared" si="4"/>
        <v>37350.216566548</v>
      </c>
      <c r="L43" s="68">
        <f t="shared" si="4"/>
        <v>38294.265892382</v>
      </c>
      <c r="M43" s="68">
        <f t="shared" si="4"/>
        <v>39254.6960569955</v>
      </c>
      <c r="N43" s="68">
        <f t="shared" si="4"/>
        <v>40231.5333782379</v>
      </c>
      <c r="O43" s="68">
        <f t="shared" si="4"/>
        <v>41224.7940813769</v>
      </c>
      <c r="P43" s="68">
        <f t="shared" si="4"/>
        <v>42234.4839745203</v>
      </c>
      <c r="Q43" s="68">
        <f t="shared" si="4"/>
        <v>43501.5184937487</v>
      </c>
    </row>
    <row r="44" spans="1:17">
      <c r="A44" t="s">
        <v>176</v>
      </c>
      <c r="B44" s="189">
        <f>'Financial Statements'!B33</f>
        <v>1097800</v>
      </c>
      <c r="C44" s="189">
        <f>'Financial Statements'!C33</f>
        <v>446700</v>
      </c>
      <c r="D44" s="189">
        <f>'Financial Statements'!D33</f>
        <v>586000</v>
      </c>
      <c r="E44" s="189">
        <f>'Financial Statements'!E33</f>
        <v>1463600</v>
      </c>
      <c r="F44" s="68">
        <f>'Financial Statements'!F33</f>
        <v>1038300</v>
      </c>
      <c r="G44" s="68">
        <f>'Financial Statements'!G33</f>
        <v>1071174.0957779</v>
      </c>
      <c r="H44" s="68">
        <f>'Financial Statements'!H33</f>
        <v>1104911.06200001</v>
      </c>
      <c r="I44" s="68">
        <f>'Financial Statements'!I33</f>
        <v>1139527.00786984</v>
      </c>
      <c r="J44" s="68">
        <f>'Financial Statements'!J33</f>
        <v>1175038.11451455</v>
      </c>
      <c r="K44" s="68">
        <f>'Financial Statements'!K33</f>
        <v>1211460.62650833</v>
      </c>
      <c r="L44" s="68">
        <f>'Financial Statements'!L33</f>
        <v>1248810.84307488</v>
      </c>
      <c r="M44" s="68">
        <f>'Financial Statements'!M33</f>
        <v>1287105.10896726</v>
      </c>
      <c r="N44" s="68">
        <f>'Financial Statements'!N33</f>
        <v>1326359.80502426</v>
      </c>
      <c r="O44" s="68">
        <f>'Financial Statements'!O33</f>
        <v>1366591.3384025</v>
      </c>
      <c r="P44" s="68">
        <f>'Financial Statements'!P33</f>
        <v>1407816.13248388</v>
      </c>
      <c r="Q44" s="68">
        <f>'Financial Statements'!Q33</f>
        <v>1450050.6164584</v>
      </c>
    </row>
    <row r="45" spans="1:17">
      <c r="A45" t="s">
        <v>177</v>
      </c>
      <c r="B45" s="189">
        <f>B43+B44</f>
        <v>446700</v>
      </c>
      <c r="C45" s="189">
        <f t="shared" ref="C45:Q45" si="5">C43+C44</f>
        <v>586000</v>
      </c>
      <c r="D45" s="189">
        <f t="shared" si="5"/>
        <v>1463600</v>
      </c>
      <c r="E45" s="189">
        <f t="shared" si="5"/>
        <v>1038300</v>
      </c>
      <c r="F45" s="68">
        <f t="shared" si="5"/>
        <v>1071174.09577791</v>
      </c>
      <c r="G45" s="68">
        <f t="shared" si="5"/>
        <v>1104911.062</v>
      </c>
      <c r="H45" s="68">
        <f t="shared" si="5"/>
        <v>1139527.00786984</v>
      </c>
      <c r="I45" s="68">
        <f t="shared" si="5"/>
        <v>1175038.11451454</v>
      </c>
      <c r="J45" s="68">
        <f t="shared" si="5"/>
        <v>1211460.62650833</v>
      </c>
      <c r="K45" s="68">
        <f t="shared" si="5"/>
        <v>1248810.84307488</v>
      </c>
      <c r="L45" s="68">
        <f t="shared" si="5"/>
        <v>1287105.10896727</v>
      </c>
      <c r="M45" s="68">
        <f t="shared" si="5"/>
        <v>1326359.80502426</v>
      </c>
      <c r="N45" s="68">
        <f t="shared" si="5"/>
        <v>1366591.3384025</v>
      </c>
      <c r="O45" s="68">
        <f t="shared" si="5"/>
        <v>1407816.13248388</v>
      </c>
      <c r="P45" s="68">
        <f t="shared" si="5"/>
        <v>1450050.6164584</v>
      </c>
      <c r="Q45" s="68">
        <f t="shared" si="5"/>
        <v>1493552.13495215</v>
      </c>
    </row>
    <row r="48" spans="1:3">
      <c r="A48" s="100" t="s">
        <v>178</v>
      </c>
      <c r="B48" s="17"/>
      <c r="C48" s="17"/>
    </row>
    <row r="49" spans="1:3">
      <c r="A49" s="100"/>
      <c r="C49" s="17"/>
    </row>
    <row r="50" ht="16" spans="1:17">
      <c r="A50" s="100" t="s">
        <v>179</v>
      </c>
      <c r="B50" s="189">
        <f>'Financial Statements'!C29</f>
        <v>-1590800</v>
      </c>
      <c r="C50" s="189">
        <f>'Financial Statements'!D29</f>
        <v>827000</v>
      </c>
      <c r="D50" s="189">
        <f>'Financial Statements'!E29</f>
        <v>1341900</v>
      </c>
      <c r="E50" s="189">
        <f>'Financial Statements'!F29</f>
        <v>1327900</v>
      </c>
      <c r="F50" s="68">
        <f>'Financial Statements'!G29</f>
        <v>1368000.92820436</v>
      </c>
      <c r="G50" s="68">
        <f>'Financial Statements'!H29</f>
        <v>1411074.11091536</v>
      </c>
      <c r="H50" s="68">
        <f>'Financial Statements'!I29</f>
        <v>1455269.05872413</v>
      </c>
      <c r="I50" s="68">
        <f>'Financial Statements'!J29</f>
        <v>1500606.4059963</v>
      </c>
      <c r="J50" s="68">
        <f>'Financial Statements'!K29</f>
        <v>1547106.86737447</v>
      </c>
      <c r="K50" s="68">
        <f>'Financial Statements'!L29</f>
        <v>1594791.22653905</v>
      </c>
      <c r="L50" s="68">
        <f>'Financial Statements'!M29</f>
        <v>1643680.32455789</v>
      </c>
      <c r="M50" s="68">
        <f>'Financial Statements'!N29</f>
        <v>1693795.04782332</v>
      </c>
      <c r="N50" s="68">
        <f>'Financial Statements'!O29</f>
        <v>1745156.31557576</v>
      </c>
      <c r="O50" s="68">
        <f>'Financial Statements'!P29</f>
        <v>1797785.06701341</v>
      </c>
      <c r="P50" s="68">
        <f>'Financial Statements'!Q29</f>
        <v>1851702.24798805</v>
      </c>
      <c r="Q50" s="68">
        <f>'Financial Statements'!R29</f>
        <v>1907253.31542769</v>
      </c>
    </row>
    <row r="51" spans="1:17">
      <c r="A51" s="16" t="s">
        <v>180</v>
      </c>
      <c r="B51" s="189">
        <f>-('Financial Statements'!C57-'Financial Statements'!B57)</f>
        <v>1539400</v>
      </c>
      <c r="C51" s="189">
        <f>-('Financial Statements'!D57-'Financial Statements'!C57)</f>
        <v>-611900</v>
      </c>
      <c r="D51" s="189">
        <f>-('Financial Statements'!E57-'Financial Statements'!D57)</f>
        <v>-1030500</v>
      </c>
      <c r="E51" s="189">
        <f>-('Financial Statements'!F57-'Financial Statements'!E57)</f>
        <v>-433200</v>
      </c>
      <c r="F51" s="68">
        <f>-('Financial Statements'!G57-'Financial Statements'!F57)</f>
        <v>-244378.992836127</v>
      </c>
      <c r="G51" s="68">
        <f>-('Financial Statements'!H57-'Financial Statements'!G57)</f>
        <v>-250793.387060866</v>
      </c>
      <c r="H51" s="68">
        <f>-('Financial Statements'!I57-'Financial Statements'!H57)</f>
        <v>-257327.533657257</v>
      </c>
      <c r="I51" s="68">
        <f>-('Financial Statements'!J57-'Financial Statements'!I57)</f>
        <v>-263981.967289941</v>
      </c>
      <c r="J51" s="68">
        <f>-('Financial Statements'!K57-'Financial Statements'!J57)</f>
        <v>-270757.159610942</v>
      </c>
      <c r="K51" s="68">
        <f>-('Financial Statements'!L57-'Financial Statements'!K57)</f>
        <v>-277653.516872704</v>
      </c>
      <c r="L51" s="68">
        <f>-('Financial Statements'!M57-'Financial Statements'!L57)</f>
        <v>-284671.377530884</v>
      </c>
      <c r="M51" s="68">
        <f>-('Financial Statements'!N57-'Financial Statements'!M57)</f>
        <v>-291811.009839095</v>
      </c>
      <c r="N51" s="68">
        <f>-('Financial Statements'!O57-'Financial Statements'!N57)</f>
        <v>-299072.609438449</v>
      </c>
      <c r="O51" s="68">
        <f>-('Financial Statements'!P57-'Financial Statements'!O57)</f>
        <v>-306456.296944182</v>
      </c>
      <c r="P51" s="68">
        <f>-('Financial Statements'!Q57-'Financial Statements'!P57)</f>
        <v>-313962.115532417</v>
      </c>
      <c r="Q51" s="68">
        <f>-('Financial Statements'!R57-'Financial Statements'!Q57)</f>
        <v>-323380.978998385</v>
      </c>
    </row>
    <row r="52" spans="1:17">
      <c r="A52" t="s">
        <v>173</v>
      </c>
      <c r="B52" s="189">
        <f>'Financial Statements'!C65</f>
        <v>0</v>
      </c>
      <c r="C52" s="189">
        <f>'Financial Statements'!D65</f>
        <v>-65300</v>
      </c>
      <c r="D52" s="189">
        <f>'Financial Statements'!E65</f>
        <v>0</v>
      </c>
      <c r="E52" s="189">
        <f>'Financial Statements'!F65</f>
        <v>0</v>
      </c>
      <c r="F52" s="68">
        <f>'Financial Statements'!G65</f>
        <v>0</v>
      </c>
      <c r="G52" s="68">
        <f>'Financial Statements'!H65</f>
        <v>0</v>
      </c>
      <c r="H52" s="68">
        <f>'Financial Statements'!I65</f>
        <v>0</v>
      </c>
      <c r="I52" s="68">
        <f>'Financial Statements'!J65</f>
        <v>0</v>
      </c>
      <c r="J52" s="68">
        <f>'Financial Statements'!K65</f>
        <v>0</v>
      </c>
      <c r="K52" s="68">
        <f>'Financial Statements'!L65</f>
        <v>0</v>
      </c>
      <c r="L52" s="68">
        <f>'Financial Statements'!M65</f>
        <v>0</v>
      </c>
      <c r="M52" s="68">
        <f>'Financial Statements'!N65</f>
        <v>0</v>
      </c>
      <c r="N52" s="68">
        <f>'Financial Statements'!O65</f>
        <v>0</v>
      </c>
      <c r="O52" s="68">
        <f>'Financial Statements'!P65</f>
        <v>0</v>
      </c>
      <c r="P52" s="68">
        <f>'Financial Statements'!Q65</f>
        <v>0</v>
      </c>
      <c r="Q52" s="68">
        <f>'Financial Statements'!R65</f>
        <v>0</v>
      </c>
    </row>
    <row r="53" ht="15.95" spans="1:17">
      <c r="A53" s="16" t="s">
        <v>181</v>
      </c>
      <c r="B53" s="190">
        <f t="shared" ref="B53:Q53" si="6">SUM(B50:B52)</f>
        <v>-51400</v>
      </c>
      <c r="C53" s="190">
        <f t="shared" si="6"/>
        <v>149800</v>
      </c>
      <c r="D53" s="190">
        <f t="shared" si="6"/>
        <v>311400</v>
      </c>
      <c r="E53" s="190">
        <f t="shared" si="6"/>
        <v>894700</v>
      </c>
      <c r="F53" s="192">
        <f t="shared" si="6"/>
        <v>1123621.93536823</v>
      </c>
      <c r="G53" s="192">
        <f t="shared" si="6"/>
        <v>1160280.7238545</v>
      </c>
      <c r="H53" s="192">
        <f t="shared" si="6"/>
        <v>1197941.52506687</v>
      </c>
      <c r="I53" s="192">
        <f t="shared" si="6"/>
        <v>1236624.43870636</v>
      </c>
      <c r="J53" s="192">
        <f t="shared" si="6"/>
        <v>1276349.70776353</v>
      </c>
      <c r="K53" s="192">
        <f t="shared" si="6"/>
        <v>1317137.70966634</v>
      </c>
      <c r="L53" s="192">
        <f t="shared" si="6"/>
        <v>1359008.947027</v>
      </c>
      <c r="M53" s="192">
        <f t="shared" si="6"/>
        <v>1401984.03798422</v>
      </c>
      <c r="N53" s="192">
        <f t="shared" si="6"/>
        <v>1446083.70613731</v>
      </c>
      <c r="O53" s="192">
        <f t="shared" si="6"/>
        <v>1491328.77006923</v>
      </c>
      <c r="P53" s="192">
        <f t="shared" si="6"/>
        <v>1537740.13245563</v>
      </c>
      <c r="Q53" s="192">
        <f t="shared" si="6"/>
        <v>1583872.3364293</v>
      </c>
    </row>
    <row r="54" ht="15.95" spans="1:3">
      <c r="A54" s="16"/>
      <c r="B54" s="17"/>
      <c r="C54" s="17"/>
    </row>
    <row r="55" spans="1:3">
      <c r="A55" s="16" t="s">
        <v>182</v>
      </c>
      <c r="B55" s="16"/>
      <c r="C55" s="16"/>
    </row>
    <row r="56" spans="1:17">
      <c r="A56" t="s">
        <v>183</v>
      </c>
      <c r="B56" s="189">
        <f>B24</f>
        <v>-1838400</v>
      </c>
      <c r="C56" s="189">
        <f>C24</f>
        <v>6944800</v>
      </c>
      <c r="D56" s="189">
        <f>D24</f>
        <v>2075000</v>
      </c>
      <c r="E56" s="189">
        <f>E24</f>
        <v>746000</v>
      </c>
      <c r="F56" s="68">
        <f t="shared" ref="F56:Q56" si="7">F24</f>
        <v>1558457.28546372</v>
      </c>
      <c r="G56" s="68">
        <f t="shared" si="7"/>
        <v>1606529.51553102</v>
      </c>
      <c r="H56" s="68">
        <f t="shared" si="7"/>
        <v>1655816.83950561</v>
      </c>
      <c r="I56" s="68">
        <f t="shared" si="7"/>
        <v>1706340.30844314</v>
      </c>
      <c r="J56" s="68">
        <f t="shared" si="7"/>
        <v>1758121.0045674</v>
      </c>
      <c r="K56" s="68">
        <f t="shared" si="7"/>
        <v>1811180.02817098</v>
      </c>
      <c r="L56" s="68">
        <f t="shared" si="7"/>
        <v>1865538.48409656</v>
      </c>
      <c r="M56" s="68">
        <f t="shared" si="7"/>
        <v>1921217.46779949</v>
      </c>
      <c r="N56" s="68">
        <f t="shared" si="7"/>
        <v>1978238.05099275</v>
      </c>
      <c r="O56" s="68">
        <f t="shared" si="7"/>
        <v>2036621.26687582</v>
      </c>
      <c r="P56" s="68">
        <f t="shared" si="7"/>
        <v>2096388.09494972</v>
      </c>
      <c r="Q56" s="68">
        <f t="shared" si="7"/>
        <v>2159279.73779821</v>
      </c>
    </row>
    <row r="57" spans="1:17">
      <c r="A57" t="s">
        <v>184</v>
      </c>
      <c r="B57" s="189">
        <f>-B43</f>
        <v>651100</v>
      </c>
      <c r="C57" s="189">
        <f>-C43</f>
        <v>-139300</v>
      </c>
      <c r="D57" s="189">
        <f>-D43</f>
        <v>-877600</v>
      </c>
      <c r="E57" s="189">
        <f>-E43</f>
        <v>425300</v>
      </c>
      <c r="F57" s="68">
        <f t="shared" ref="F57:Q57" si="8">-F43</f>
        <v>-32874.0957779051</v>
      </c>
      <c r="G57" s="68">
        <f t="shared" si="8"/>
        <v>-33736.9662221</v>
      </c>
      <c r="H57" s="68">
        <f t="shared" si="8"/>
        <v>-34615.9458698377</v>
      </c>
      <c r="I57" s="68">
        <f t="shared" si="8"/>
        <v>-35511.1066447021</v>
      </c>
      <c r="J57" s="68">
        <f t="shared" si="8"/>
        <v>-36422.5119937889</v>
      </c>
      <c r="K57" s="68">
        <f t="shared" si="8"/>
        <v>-37350.216566548</v>
      </c>
      <c r="L57" s="68">
        <f t="shared" si="8"/>
        <v>-38294.265892382</v>
      </c>
      <c r="M57" s="68">
        <f t="shared" si="8"/>
        <v>-39254.6960569955</v>
      </c>
      <c r="N57" s="68">
        <f t="shared" si="8"/>
        <v>-40231.5333782379</v>
      </c>
      <c r="O57" s="68">
        <f t="shared" si="8"/>
        <v>-41224.7940813769</v>
      </c>
      <c r="P57" s="68">
        <f t="shared" si="8"/>
        <v>-42234.4839745203</v>
      </c>
      <c r="Q57" s="68">
        <f t="shared" si="8"/>
        <v>-43501.5184937487</v>
      </c>
    </row>
    <row r="58" spans="1:17">
      <c r="A58" t="s">
        <v>185</v>
      </c>
      <c r="B58" s="189">
        <f>B31</f>
        <v>2548600</v>
      </c>
      <c r="C58" s="189">
        <f>C31</f>
        <v>-6097300</v>
      </c>
      <c r="D58" s="189">
        <f>D31</f>
        <v>-340000</v>
      </c>
      <c r="E58" s="189">
        <f>E31</f>
        <v>-467400</v>
      </c>
      <c r="F58" s="68">
        <f t="shared" ref="F58:Q58" si="9">F31</f>
        <v>-510148.469258451</v>
      </c>
      <c r="G58" s="68">
        <f t="shared" si="9"/>
        <v>-523538.709380961</v>
      </c>
      <c r="H58" s="68">
        <f t="shared" si="9"/>
        <v>-537178.936167114</v>
      </c>
      <c r="I58" s="68">
        <f t="shared" si="9"/>
        <v>-551070.265745406</v>
      </c>
      <c r="J58" s="68">
        <f t="shared" si="9"/>
        <v>-565213.682703538</v>
      </c>
      <c r="K58" s="68">
        <f t="shared" si="9"/>
        <v>-579610.035105679</v>
      </c>
      <c r="L58" s="68">
        <f t="shared" si="9"/>
        <v>-594260.029488118</v>
      </c>
      <c r="M58" s="68">
        <f t="shared" si="9"/>
        <v>-609164.225838367</v>
      </c>
      <c r="N58" s="68">
        <f t="shared" si="9"/>
        <v>-624323.032563061</v>
      </c>
      <c r="O58" s="68">
        <f t="shared" si="9"/>
        <v>-639736.701450136</v>
      </c>
      <c r="P58" s="68">
        <f t="shared" si="9"/>
        <v>-655405.322631026</v>
      </c>
      <c r="Q58" s="68">
        <f t="shared" si="9"/>
        <v>-675067.482309958</v>
      </c>
    </row>
    <row r="59" spans="1:17">
      <c r="A59" t="s">
        <v>167</v>
      </c>
      <c r="B59" s="189">
        <f t="shared" ref="B59:E60" si="10">B34</f>
        <v>-1412700</v>
      </c>
      <c r="C59" s="189">
        <f t="shared" si="10"/>
        <v>-493100</v>
      </c>
      <c r="D59" s="189">
        <f t="shared" si="10"/>
        <v>-546000</v>
      </c>
      <c r="E59" s="189">
        <f t="shared" si="10"/>
        <v>190800</v>
      </c>
      <c r="F59" s="68">
        <f t="shared" ref="F59:Q59" si="11">F34</f>
        <v>108187.214940862</v>
      </c>
      <c r="G59" s="68">
        <f t="shared" si="11"/>
        <v>111026.883926538</v>
      </c>
      <c r="H59" s="68">
        <f t="shared" si="11"/>
        <v>113919.567598217</v>
      </c>
      <c r="I59" s="68">
        <f t="shared" si="11"/>
        <v>116865.50265333</v>
      </c>
      <c r="J59" s="68">
        <f t="shared" si="11"/>
        <v>119864.89789345</v>
      </c>
      <c r="K59" s="68">
        <f t="shared" si="11"/>
        <v>122917.933167589</v>
      </c>
      <c r="L59" s="68">
        <f t="shared" si="11"/>
        <v>126024.758310943</v>
      </c>
      <c r="M59" s="68">
        <f t="shared" si="11"/>
        <v>129185.492080092</v>
      </c>
      <c r="N59" s="68">
        <f t="shared" si="11"/>
        <v>132400.221085858</v>
      </c>
      <c r="O59" s="68">
        <f t="shared" si="11"/>
        <v>135668.998724917</v>
      </c>
      <c r="P59" s="68">
        <f t="shared" si="11"/>
        <v>138991.844111455</v>
      </c>
      <c r="Q59" s="68">
        <f t="shared" si="11"/>
        <v>143161.599434798</v>
      </c>
    </row>
    <row r="60" spans="1:17">
      <c r="A60" t="s">
        <v>168</v>
      </c>
      <c r="B60" s="189">
        <f t="shared" si="10"/>
        <v>0</v>
      </c>
      <c r="C60" s="189">
        <f t="shared" si="10"/>
        <v>0</v>
      </c>
      <c r="D60" s="189">
        <f t="shared" si="10"/>
        <v>0</v>
      </c>
      <c r="E60" s="189">
        <f t="shared" si="10"/>
        <v>0</v>
      </c>
      <c r="F60" s="68">
        <f t="shared" ref="F60:Q60" si="12">F35</f>
        <v>0</v>
      </c>
      <c r="G60" s="68">
        <f t="shared" si="12"/>
        <v>0</v>
      </c>
      <c r="H60" s="68">
        <f t="shared" si="12"/>
        <v>0</v>
      </c>
      <c r="I60" s="68">
        <f t="shared" si="12"/>
        <v>0</v>
      </c>
      <c r="J60" s="68">
        <f t="shared" si="12"/>
        <v>0</v>
      </c>
      <c r="K60" s="68">
        <f t="shared" si="12"/>
        <v>0</v>
      </c>
      <c r="L60" s="68">
        <f t="shared" si="12"/>
        <v>0</v>
      </c>
      <c r="M60" s="68">
        <f t="shared" si="12"/>
        <v>0</v>
      </c>
      <c r="N60" s="68">
        <f t="shared" si="12"/>
        <v>0</v>
      </c>
      <c r="O60" s="68">
        <f t="shared" si="12"/>
        <v>0</v>
      </c>
      <c r="P60" s="68">
        <f t="shared" si="12"/>
        <v>0</v>
      </c>
      <c r="Q60" s="68">
        <f t="shared" si="12"/>
        <v>0</v>
      </c>
    </row>
    <row r="61" spans="1:17">
      <c r="A61" t="s">
        <v>169</v>
      </c>
      <c r="B61" s="189">
        <f>'Financial Statements'!C28</f>
        <v>0</v>
      </c>
      <c r="C61" s="189">
        <f>'Financial Statements'!D28</f>
        <v>0</v>
      </c>
      <c r="D61" s="189">
        <f>'Financial Statements'!E28</f>
        <v>0</v>
      </c>
      <c r="E61" s="189">
        <f>'Financial Statements'!F28</f>
        <v>0</v>
      </c>
      <c r="F61" s="68">
        <f>'Financial Statements'!G28</f>
        <v>0</v>
      </c>
      <c r="G61" s="68">
        <f>'Financial Statements'!H28</f>
        <v>0</v>
      </c>
      <c r="H61" s="68">
        <f>'Financial Statements'!I28</f>
        <v>0</v>
      </c>
      <c r="I61" s="68">
        <f>'Financial Statements'!J28</f>
        <v>0</v>
      </c>
      <c r="J61" s="68">
        <f>'Financial Statements'!K28</f>
        <v>0</v>
      </c>
      <c r="K61" s="68">
        <f>'Financial Statements'!L28</f>
        <v>0</v>
      </c>
      <c r="L61" s="68">
        <f>'Financial Statements'!M28</f>
        <v>0</v>
      </c>
      <c r="M61" s="68">
        <f>'Financial Statements'!N28</f>
        <v>0</v>
      </c>
      <c r="N61" s="68">
        <f>'Financial Statements'!O28</f>
        <v>0</v>
      </c>
      <c r="O61" s="68">
        <f>'Financial Statements'!P28</f>
        <v>0</v>
      </c>
      <c r="P61" s="68">
        <f>'Financial Statements'!Q28</f>
        <v>0</v>
      </c>
      <c r="Q61" s="68">
        <f>'Financial Statements'!R28</f>
        <v>0</v>
      </c>
    </row>
    <row r="62" spans="1:17">
      <c r="A62" t="s">
        <v>186</v>
      </c>
      <c r="B62" s="189">
        <f>B37</f>
        <v>0</v>
      </c>
      <c r="C62" s="189">
        <f>C37</f>
        <v>0</v>
      </c>
      <c r="D62" s="189">
        <f>D37</f>
        <v>0</v>
      </c>
      <c r="E62" s="189">
        <f>E37</f>
        <v>0</v>
      </c>
      <c r="F62" s="68">
        <f t="shared" ref="F62:Q62" si="13">F37</f>
        <v>0</v>
      </c>
      <c r="G62" s="68">
        <f t="shared" si="13"/>
        <v>0</v>
      </c>
      <c r="H62" s="68">
        <f t="shared" si="13"/>
        <v>0</v>
      </c>
      <c r="I62" s="68">
        <f t="shared" si="13"/>
        <v>0</v>
      </c>
      <c r="J62" s="68">
        <f t="shared" si="13"/>
        <v>0</v>
      </c>
      <c r="K62" s="68">
        <f t="shared" si="13"/>
        <v>0</v>
      </c>
      <c r="L62" s="68">
        <f t="shared" si="13"/>
        <v>0</v>
      </c>
      <c r="M62" s="68">
        <f t="shared" si="13"/>
        <v>0</v>
      </c>
      <c r="N62" s="68">
        <f t="shared" si="13"/>
        <v>0</v>
      </c>
      <c r="O62" s="68">
        <f t="shared" si="13"/>
        <v>0</v>
      </c>
      <c r="P62" s="68">
        <f t="shared" si="13"/>
        <v>0</v>
      </c>
      <c r="Q62" s="68">
        <f t="shared" si="13"/>
        <v>0</v>
      </c>
    </row>
    <row r="63" spans="1:17">
      <c r="A63" t="s">
        <v>173</v>
      </c>
      <c r="B63" s="189">
        <f>'Financial Statements'!C65</f>
        <v>0</v>
      </c>
      <c r="C63" s="189">
        <f>'Financial Statements'!D65</f>
        <v>-65300</v>
      </c>
      <c r="D63" s="189">
        <f>'Financial Statements'!E65</f>
        <v>0</v>
      </c>
      <c r="E63" s="189">
        <f>'Financial Statements'!F65</f>
        <v>0</v>
      </c>
      <c r="F63" s="68">
        <f>'Financial Statements'!G65</f>
        <v>0</v>
      </c>
      <c r="G63" s="68">
        <f>'Financial Statements'!H65</f>
        <v>0</v>
      </c>
      <c r="H63" s="68">
        <f>'Financial Statements'!I65</f>
        <v>0</v>
      </c>
      <c r="I63" s="68">
        <f>'Financial Statements'!J65</f>
        <v>0</v>
      </c>
      <c r="J63" s="68">
        <f>'Financial Statements'!K65</f>
        <v>0</v>
      </c>
      <c r="K63" s="68">
        <f>'Financial Statements'!L65</f>
        <v>0</v>
      </c>
      <c r="L63" s="68">
        <f>'Financial Statements'!M65</f>
        <v>0</v>
      </c>
      <c r="M63" s="68">
        <f>'Financial Statements'!N65</f>
        <v>0</v>
      </c>
      <c r="N63" s="68">
        <f>'Financial Statements'!O65</f>
        <v>0</v>
      </c>
      <c r="O63" s="68">
        <f>'Financial Statements'!P65</f>
        <v>0</v>
      </c>
      <c r="P63" s="68">
        <f>'Financial Statements'!Q65</f>
        <v>0</v>
      </c>
      <c r="Q63" s="68">
        <f>'Financial Statements'!R65</f>
        <v>0</v>
      </c>
    </row>
    <row r="64" ht="15.95" spans="1:17">
      <c r="A64" t="s">
        <v>181</v>
      </c>
      <c r="B64" s="190">
        <f>SUM(B56:B63)</f>
        <v>-51400</v>
      </c>
      <c r="C64" s="190">
        <f>SUM(C56:C63)</f>
        <v>149800</v>
      </c>
      <c r="D64" s="190">
        <f>SUM(D56:D63)</f>
        <v>311400</v>
      </c>
      <c r="E64" s="190">
        <f>SUM(E56:E63)</f>
        <v>894700</v>
      </c>
      <c r="F64" s="192">
        <f t="shared" ref="F64:Q64" si="14">SUM(F56:F63)</f>
        <v>1123621.93536823</v>
      </c>
      <c r="G64" s="192">
        <f t="shared" si="14"/>
        <v>1160280.7238545</v>
      </c>
      <c r="H64" s="192">
        <f t="shared" si="14"/>
        <v>1197941.52506687</v>
      </c>
      <c r="I64" s="192">
        <f t="shared" si="14"/>
        <v>1236624.43870636</v>
      </c>
      <c r="J64" s="192">
        <f t="shared" si="14"/>
        <v>1276349.70776353</v>
      </c>
      <c r="K64" s="192">
        <f t="shared" si="14"/>
        <v>1317137.70966634</v>
      </c>
      <c r="L64" s="192">
        <f t="shared" si="14"/>
        <v>1359008.947027</v>
      </c>
      <c r="M64" s="192">
        <f t="shared" si="14"/>
        <v>1401984.03798422</v>
      </c>
      <c r="N64" s="192">
        <f t="shared" si="14"/>
        <v>1446083.70613731</v>
      </c>
      <c r="O64" s="192">
        <f t="shared" si="14"/>
        <v>1491328.77006923</v>
      </c>
      <c r="P64" s="192">
        <f t="shared" si="14"/>
        <v>1537740.13245563</v>
      </c>
      <c r="Q64" s="192">
        <f t="shared" si="14"/>
        <v>1583872.33642931</v>
      </c>
    </row>
    <row r="65" ht="15.95" spans="5:17">
      <c r="E65" s="189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</row>
    <row r="66" spans="1:17">
      <c r="A66" t="s">
        <v>187</v>
      </c>
      <c r="E66" s="189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</row>
    <row r="67" spans="1:17">
      <c r="A67" t="s">
        <v>188</v>
      </c>
      <c r="B67" s="189">
        <f>-'Financial Statements'!C64</f>
        <v>0</v>
      </c>
      <c r="C67" s="189">
        <f>-'Financial Statements'!D64</f>
        <v>0</v>
      </c>
      <c r="D67" s="189">
        <f>-'Financial Statements'!E64</f>
        <v>0</v>
      </c>
      <c r="E67" s="189">
        <f>-'Financial Statements'!F64</f>
        <v>0</v>
      </c>
      <c r="F67" s="68">
        <f>-'Financial Statements'!G64</f>
        <v>0</v>
      </c>
      <c r="G67" s="68">
        <f>-'Financial Statements'!H64</f>
        <v>0</v>
      </c>
      <c r="H67" s="68">
        <f>-'Financial Statements'!I64</f>
        <v>0</v>
      </c>
      <c r="I67" s="68">
        <f>-'Financial Statements'!J64</f>
        <v>0</v>
      </c>
      <c r="J67" s="68">
        <f>-'Financial Statements'!K64</f>
        <v>0</v>
      </c>
      <c r="K67" s="68">
        <f>-'Financial Statements'!L64</f>
        <v>0</v>
      </c>
      <c r="L67" s="68">
        <f>-'Financial Statements'!M64</f>
        <v>0</v>
      </c>
      <c r="M67" s="68">
        <f>-'Financial Statements'!N64</f>
        <v>0</v>
      </c>
      <c r="N67" s="68">
        <f>-'Financial Statements'!O64</f>
        <v>0</v>
      </c>
      <c r="O67" s="68">
        <f>-'Financial Statements'!P64</f>
        <v>0</v>
      </c>
      <c r="P67" s="68">
        <f>-'Financial Statements'!Q64</f>
        <v>0</v>
      </c>
      <c r="Q67" s="68">
        <f>-'Financial Statements'!R64</f>
        <v>0</v>
      </c>
    </row>
    <row r="68" spans="1:17">
      <c r="A68" t="s">
        <v>189</v>
      </c>
      <c r="B68" s="189">
        <f>-('Financial Statements'!C55-'Financial Statements'!B55)</f>
        <v>-51400</v>
      </c>
      <c r="C68" s="189">
        <f>-('Financial Statements'!D55-'Financial Statements'!C55)</f>
        <v>149800</v>
      </c>
      <c r="D68" s="189">
        <f>-('Financial Statements'!E55-'Financial Statements'!D55)</f>
        <v>311400</v>
      </c>
      <c r="E68" s="189">
        <f>-('Financial Statements'!F55-'Financial Statements'!E55)</f>
        <v>894700</v>
      </c>
      <c r="F68" s="68">
        <f>-('Financial Statements'!G55-'Financial Statements'!F55)</f>
        <v>1123621.93536823</v>
      </c>
      <c r="G68" s="68">
        <f>-('Financial Statements'!H55-'Financial Statements'!G55)</f>
        <v>1160280.7238545</v>
      </c>
      <c r="H68" s="68">
        <f>-('Financial Statements'!I55-'Financial Statements'!H55)</f>
        <v>1197941.52506687</v>
      </c>
      <c r="I68" s="68">
        <f>-('Financial Statements'!J55-'Financial Statements'!I55)</f>
        <v>1236624.43870636</v>
      </c>
      <c r="J68" s="68">
        <f>-('Financial Statements'!K55-'Financial Statements'!J55)</f>
        <v>1276349.70776353</v>
      </c>
      <c r="K68" s="68">
        <f>-('Financial Statements'!L55-'Financial Statements'!K55)</f>
        <v>1317137.70966634</v>
      </c>
      <c r="L68" s="68">
        <f>-('Financial Statements'!M55-'Financial Statements'!L55)</f>
        <v>1359008.947027</v>
      </c>
      <c r="M68" s="68">
        <f>-('Financial Statements'!N55-'Financial Statements'!M55)</f>
        <v>1401984.03798422</v>
      </c>
      <c r="N68" s="68">
        <f>-('Financial Statements'!O55-'Financial Statements'!N55)</f>
        <v>1446083.70613731</v>
      </c>
      <c r="O68" s="68">
        <f>-('Financial Statements'!P55-'Financial Statements'!O55)</f>
        <v>1491328.77006923</v>
      </c>
      <c r="P68" s="68">
        <f>-('Financial Statements'!Q55-'Financial Statements'!P55)</f>
        <v>1537740.13245563</v>
      </c>
      <c r="Q68" s="68">
        <f>-('Financial Statements'!R55-'Financial Statements'!Q55)</f>
        <v>1583872.33642931</v>
      </c>
    </row>
    <row r="69" ht="15.95" spans="1:17">
      <c r="A69" t="s">
        <v>190</v>
      </c>
      <c r="B69" s="190">
        <f>B67+B68</f>
        <v>-51400</v>
      </c>
      <c r="C69" s="190">
        <f>C67+C68</f>
        <v>149800</v>
      </c>
      <c r="D69" s="190">
        <f>D67+D68</f>
        <v>311400</v>
      </c>
      <c r="E69" s="190">
        <f>E67+E68</f>
        <v>894700</v>
      </c>
      <c r="F69" s="192">
        <f t="shared" ref="F69:Q69" si="15">F67+F68</f>
        <v>1123621.93536823</v>
      </c>
      <c r="G69" s="192">
        <f t="shared" si="15"/>
        <v>1160280.7238545</v>
      </c>
      <c r="H69" s="192">
        <f t="shared" si="15"/>
        <v>1197941.52506687</v>
      </c>
      <c r="I69" s="192">
        <f t="shared" si="15"/>
        <v>1236624.43870636</v>
      </c>
      <c r="J69" s="192">
        <f t="shared" si="15"/>
        <v>1276349.70776353</v>
      </c>
      <c r="K69" s="192">
        <f t="shared" si="15"/>
        <v>1317137.70966634</v>
      </c>
      <c r="L69" s="192">
        <f t="shared" si="15"/>
        <v>1359008.947027</v>
      </c>
      <c r="M69" s="192">
        <f t="shared" si="15"/>
        <v>1401984.03798422</v>
      </c>
      <c r="N69" s="192">
        <f t="shared" si="15"/>
        <v>1446083.70613731</v>
      </c>
      <c r="O69" s="192">
        <f t="shared" si="15"/>
        <v>1491328.77006923</v>
      </c>
      <c r="P69" s="192">
        <f t="shared" si="15"/>
        <v>1537740.13245563</v>
      </c>
      <c r="Q69" s="192">
        <f t="shared" si="15"/>
        <v>1583872.33642931</v>
      </c>
    </row>
    <row r="70" ht="15.95" spans="2:17">
      <c r="B70" s="189"/>
      <c r="C70" s="189"/>
      <c r="D70" s="189"/>
      <c r="E70" s="189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</row>
    <row r="71" spans="5:17">
      <c r="E71" s="189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</row>
    <row r="72" spans="1:17">
      <c r="A72" s="100" t="s">
        <v>191</v>
      </c>
      <c r="B72" s="17"/>
      <c r="C72" s="17"/>
      <c r="E72" s="189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</row>
    <row r="74" spans="1:17">
      <c r="A74" t="s">
        <v>192</v>
      </c>
      <c r="B74" s="193">
        <f>'Financial Statements'!C71</f>
        <v>-1141146.82964095</v>
      </c>
      <c r="C74" s="193">
        <f>'Financial Statements'!D71</f>
        <v>949013.925548375</v>
      </c>
      <c r="D74" s="193">
        <f>'Financial Statements'!E71</f>
        <v>1455511.83469364</v>
      </c>
      <c r="E74" s="193">
        <f>'Financial Statements'!F71</f>
        <v>1473446.69158191</v>
      </c>
      <c r="F74" s="196">
        <f>'Financial Statements'!G71</f>
        <v>1520098.16770895</v>
      </c>
      <c r="G74" s="196">
        <f>'Financial Statements'!H71</f>
        <v>1567974.13926242</v>
      </c>
      <c r="H74" s="196">
        <f>'Financial Statements'!I71</f>
        <v>1617097.46673799</v>
      </c>
      <c r="I74" s="196">
        <f>'Financial Statements'!J71</f>
        <v>1667491.11269778</v>
      </c>
      <c r="J74" s="196">
        <f>'Financial Statements'!K71</f>
        <v>1719178.12974136</v>
      </c>
      <c r="K74" s="196">
        <f>'Financial Statements'!L71</f>
        <v>1772181.6480211</v>
      </c>
      <c r="L74" s="196">
        <f>'Financial Statements'!M71</f>
        <v>1826524.8622999</v>
      </c>
      <c r="M74" s="196">
        <f>'Financial Statements'!N71</f>
        <v>1882231.01854977</v>
      </c>
      <c r="N74" s="196">
        <f>'Financial Statements'!O71</f>
        <v>1939323.4000902</v>
      </c>
      <c r="O74" s="196">
        <f>'Financial Statements'!P71</f>
        <v>1997825.31326593</v>
      </c>
      <c r="P74" s="196">
        <f>'Financial Statements'!Q71</f>
        <v>2057760.07266391</v>
      </c>
      <c r="Q74" s="196">
        <f>'Financial Statements'!R71</f>
        <v>2119492.87484383</v>
      </c>
    </row>
    <row r="75" spans="1:17">
      <c r="A75" t="s">
        <v>193</v>
      </c>
      <c r="B75" s="189">
        <f>-('Financial Statements'!C75-'Financial Statements'!B75)</f>
        <v>2952100</v>
      </c>
      <c r="C75" s="189">
        <f>-('Financial Statements'!D75-'Financial Statements'!C75)</f>
        <v>-118800</v>
      </c>
      <c r="D75" s="189">
        <f>-('Financial Statements'!E75-'Financial Statements'!D75)</f>
        <v>-484500</v>
      </c>
      <c r="E75" s="189">
        <f>-('Financial Statements'!F75-'Financial Statements'!E75)</f>
        <v>-624000</v>
      </c>
      <c r="F75" s="68">
        <f>-('Financial Statements'!G75-'Financial Statements'!F75)</f>
        <v>-352566.20777699</v>
      </c>
      <c r="G75" s="68">
        <f>-('Financial Statements'!H75-'Financial Statements'!G75)</f>
        <v>-361820.270987403</v>
      </c>
      <c r="H75" s="68">
        <f>-('Financial Statements'!I75-'Financial Statements'!H75)</f>
        <v>-371247.101255475</v>
      </c>
      <c r="I75" s="68">
        <f>-('Financial Statements'!J75-'Financial Statements'!I75)</f>
        <v>-380847.469943272</v>
      </c>
      <c r="J75" s="68">
        <f>-('Financial Statements'!K75-'Financial Statements'!J75)</f>
        <v>-390622.057504391</v>
      </c>
      <c r="K75" s="68">
        <f>-('Financial Statements'!L75-'Financial Statements'!K75)</f>
        <v>-400571.450040294</v>
      </c>
      <c r="L75" s="68">
        <f>-('Financial Statements'!M75-'Financial Statements'!L75)</f>
        <v>-410696.135841826</v>
      </c>
      <c r="M75" s="68">
        <f>-('Financial Statements'!N75-'Financial Statements'!M75)</f>
        <v>-420996.501919188</v>
      </c>
      <c r="N75" s="68">
        <f>-('Financial Statements'!O75-'Financial Statements'!N75)</f>
        <v>-431472.830524307</v>
      </c>
      <c r="O75" s="68">
        <f>-('Financial Statements'!P75-'Financial Statements'!O75)</f>
        <v>-442125.295669099</v>
      </c>
      <c r="P75" s="68">
        <f>-('Financial Statements'!Q75-'Financial Statements'!P75)</f>
        <v>-452953.959643871</v>
      </c>
      <c r="Q75" s="68">
        <f>-('Financial Statements'!R75-'Financial Statements'!Q75)</f>
        <v>-466542.578433184</v>
      </c>
    </row>
    <row r="76" spans="1:17">
      <c r="A76" t="s">
        <v>173</v>
      </c>
      <c r="B76" s="189">
        <f>'Financial Statements'!C65</f>
        <v>0</v>
      </c>
      <c r="C76" s="189">
        <f>'Financial Statements'!D65</f>
        <v>-65300</v>
      </c>
      <c r="D76" s="189">
        <f>'Financial Statements'!E65</f>
        <v>0</v>
      </c>
      <c r="E76" s="189">
        <f>'Financial Statements'!F65</f>
        <v>0</v>
      </c>
      <c r="F76" s="68">
        <f>'Financial Statements'!G65</f>
        <v>0</v>
      </c>
      <c r="G76" s="68">
        <f>'Financial Statements'!H65</f>
        <v>0</v>
      </c>
      <c r="H76" s="68">
        <f>'Financial Statements'!I65</f>
        <v>0</v>
      </c>
      <c r="I76" s="68">
        <f>'Financial Statements'!J65</f>
        <v>0</v>
      </c>
      <c r="J76" s="68">
        <f>'Financial Statements'!K65</f>
        <v>0</v>
      </c>
      <c r="K76" s="68">
        <f>'Financial Statements'!L65</f>
        <v>0</v>
      </c>
      <c r="L76" s="68">
        <f>'Financial Statements'!M65</f>
        <v>0</v>
      </c>
      <c r="M76" s="68">
        <f>'Financial Statements'!N65</f>
        <v>0</v>
      </c>
      <c r="N76" s="68">
        <f>'Financial Statements'!O65</f>
        <v>0</v>
      </c>
      <c r="O76" s="68">
        <f>'Financial Statements'!P65</f>
        <v>0</v>
      </c>
      <c r="P76" s="68">
        <f>'Financial Statements'!Q65</f>
        <v>0</v>
      </c>
      <c r="Q76" s="68">
        <f>'Financial Statements'!R65</f>
        <v>0</v>
      </c>
    </row>
    <row r="77" ht="15.95" spans="1:17">
      <c r="A77" t="s">
        <v>194</v>
      </c>
      <c r="B77" s="190">
        <f t="shared" ref="B77:Q77" si="16">SUM(B74:B76)</f>
        <v>1810953.17035905</v>
      </c>
      <c r="C77" s="190">
        <f t="shared" si="16"/>
        <v>764913.925548375</v>
      </c>
      <c r="D77" s="190">
        <f t="shared" si="16"/>
        <v>971011.834693643</v>
      </c>
      <c r="E77" s="190">
        <f t="shared" si="16"/>
        <v>849446.691581914</v>
      </c>
      <c r="F77" s="192">
        <f t="shared" si="16"/>
        <v>1167531.95993196</v>
      </c>
      <c r="G77" s="192">
        <f t="shared" si="16"/>
        <v>1206153.86827501</v>
      </c>
      <c r="H77" s="192">
        <f t="shared" si="16"/>
        <v>1245850.36548252</v>
      </c>
      <c r="I77" s="192">
        <f t="shared" si="16"/>
        <v>1286643.64275451</v>
      </c>
      <c r="J77" s="192">
        <f t="shared" si="16"/>
        <v>1328556.07223697</v>
      </c>
      <c r="K77" s="192">
        <f t="shared" si="16"/>
        <v>1371610.19798081</v>
      </c>
      <c r="L77" s="192">
        <f t="shared" si="16"/>
        <v>1415828.72645808</v>
      </c>
      <c r="M77" s="192">
        <f t="shared" si="16"/>
        <v>1461234.51663058</v>
      </c>
      <c r="N77" s="192">
        <f t="shared" si="16"/>
        <v>1507850.5695659</v>
      </c>
      <c r="O77" s="192">
        <f t="shared" si="16"/>
        <v>1555700.01759683</v>
      </c>
      <c r="P77" s="192">
        <f t="shared" si="16"/>
        <v>1604806.11302004</v>
      </c>
      <c r="Q77" s="192">
        <f t="shared" si="16"/>
        <v>1652950.29641065</v>
      </c>
    </row>
    <row r="78" ht="15.95" spans="2:17">
      <c r="B78" s="189"/>
      <c r="C78" s="189"/>
      <c r="D78" s="189"/>
      <c r="E78" s="189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  <row r="79" spans="1:17">
      <c r="A79" t="s">
        <v>182</v>
      </c>
      <c r="B79" s="189"/>
      <c r="C79" s="189"/>
      <c r="D79" s="189"/>
      <c r="E79" s="189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</row>
    <row r="80" spans="1:17">
      <c r="A80" t="s">
        <v>195</v>
      </c>
      <c r="B80" s="189">
        <f>B24</f>
        <v>-1838400</v>
      </c>
      <c r="C80" s="189">
        <f>C24</f>
        <v>6944800</v>
      </c>
      <c r="D80" s="189">
        <f>D24</f>
        <v>2075000</v>
      </c>
      <c r="E80" s="189">
        <f>E24</f>
        <v>746000</v>
      </c>
      <c r="F80" s="68">
        <f t="shared" ref="F80:Q80" si="17">F24</f>
        <v>1558457.28546372</v>
      </c>
      <c r="G80" s="68">
        <f t="shared" si="17"/>
        <v>1606529.51553102</v>
      </c>
      <c r="H80" s="68">
        <f t="shared" si="17"/>
        <v>1655816.83950561</v>
      </c>
      <c r="I80" s="68">
        <f t="shared" si="17"/>
        <v>1706340.30844314</v>
      </c>
      <c r="J80" s="68">
        <f t="shared" si="17"/>
        <v>1758121.0045674</v>
      </c>
      <c r="K80" s="68">
        <f t="shared" si="17"/>
        <v>1811180.02817098</v>
      </c>
      <c r="L80" s="68">
        <f t="shared" si="17"/>
        <v>1865538.48409656</v>
      </c>
      <c r="M80" s="68">
        <f t="shared" si="17"/>
        <v>1921217.46779949</v>
      </c>
      <c r="N80" s="68">
        <f t="shared" si="17"/>
        <v>1978238.05099275</v>
      </c>
      <c r="O80" s="68">
        <f t="shared" si="17"/>
        <v>2036621.26687582</v>
      </c>
      <c r="P80" s="68">
        <f t="shared" si="17"/>
        <v>2096388.09494972</v>
      </c>
      <c r="Q80" s="68">
        <f t="shared" si="17"/>
        <v>2159279.73779821</v>
      </c>
    </row>
    <row r="81" spans="1:17">
      <c r="A81" t="s">
        <v>196</v>
      </c>
      <c r="B81" s="189">
        <f>-('Financial Statements'!C33-'Financial Statements'!B33)</f>
        <v>651100</v>
      </c>
      <c r="C81" s="189">
        <f>-('Financial Statements'!D33-'Financial Statements'!C33)</f>
        <v>-139300</v>
      </c>
      <c r="D81" s="189">
        <f>-('Financial Statements'!E33-'Financial Statements'!D33)</f>
        <v>-877600</v>
      </c>
      <c r="E81" s="189">
        <f>-('Financial Statements'!F33-'Financial Statements'!E33)</f>
        <v>425300</v>
      </c>
      <c r="F81" s="68">
        <f>-('Financial Statements'!G33-'Financial Statements'!F33)</f>
        <v>-32874.0957779037</v>
      </c>
      <c r="G81" s="68">
        <f>-('Financial Statements'!H33-'Financial Statements'!G33)</f>
        <v>-33736.9662221028</v>
      </c>
      <c r="H81" s="68">
        <f>-('Financial Statements'!I33-'Financial Statements'!H33)</f>
        <v>-34615.9458698356</v>
      </c>
      <c r="I81" s="68">
        <f>-('Financial Statements'!J33-'Financial Statements'!I33)</f>
        <v>-35511.1066447038</v>
      </c>
      <c r="J81" s="68">
        <f>-('Financial Statements'!K33-'Financial Statements'!J33)</f>
        <v>-36422.5119937866</v>
      </c>
      <c r="K81" s="68">
        <f>-('Financial Statements'!L33-'Financial Statements'!K33)</f>
        <v>-37350.2165665519</v>
      </c>
      <c r="L81" s="68">
        <f>-('Financial Statements'!M33-'Financial Statements'!L33)</f>
        <v>-38294.2658923771</v>
      </c>
      <c r="M81" s="68">
        <f>-('Financial Statements'!N33-'Financial Statements'!M33)</f>
        <v>-39254.6960569974</v>
      </c>
      <c r="N81" s="68">
        <f>-('Financial Statements'!O33-'Financial Statements'!N33)</f>
        <v>-40231.5333782397</v>
      </c>
      <c r="O81" s="68">
        <f>-('Financial Statements'!P33-'Financial Statements'!O33)</f>
        <v>-41224.794081382</v>
      </c>
      <c r="P81" s="68">
        <f>-('Financial Statements'!Q33-'Financial Statements'!P33)</f>
        <v>-42234.4839745166</v>
      </c>
      <c r="Q81" s="68">
        <f>-('Financial Statements'!R33-'Financial Statements'!Q33)</f>
        <v>-43501.518493752</v>
      </c>
    </row>
    <row r="82" spans="1:17">
      <c r="A82" t="s">
        <v>197</v>
      </c>
      <c r="B82" s="189">
        <f>B31</f>
        <v>2548600</v>
      </c>
      <c r="C82" s="189">
        <f>C31</f>
        <v>-6097300</v>
      </c>
      <c r="D82" s="189">
        <f>D31</f>
        <v>-340000</v>
      </c>
      <c r="E82" s="189">
        <f>E31</f>
        <v>-467400</v>
      </c>
      <c r="F82" s="68">
        <f t="shared" ref="F82:Q82" si="18">F31</f>
        <v>-510148.469258451</v>
      </c>
      <c r="G82" s="68">
        <f t="shared" si="18"/>
        <v>-523538.709380961</v>
      </c>
      <c r="H82" s="68">
        <f t="shared" si="18"/>
        <v>-537178.936167114</v>
      </c>
      <c r="I82" s="68">
        <f t="shared" si="18"/>
        <v>-551070.265745406</v>
      </c>
      <c r="J82" s="68">
        <f t="shared" si="18"/>
        <v>-565213.682703538</v>
      </c>
      <c r="K82" s="68">
        <f t="shared" si="18"/>
        <v>-579610.035105679</v>
      </c>
      <c r="L82" s="68">
        <f t="shared" si="18"/>
        <v>-594260.029488118</v>
      </c>
      <c r="M82" s="68">
        <f t="shared" si="18"/>
        <v>-609164.225838367</v>
      </c>
      <c r="N82" s="68">
        <f t="shared" si="18"/>
        <v>-624323.032563061</v>
      </c>
      <c r="O82" s="68">
        <f t="shared" si="18"/>
        <v>-639736.701450136</v>
      </c>
      <c r="P82" s="68">
        <f t="shared" si="18"/>
        <v>-655405.322631026</v>
      </c>
      <c r="Q82" s="68">
        <f t="shared" si="18"/>
        <v>-675067.482309958</v>
      </c>
    </row>
    <row r="83" spans="1:17">
      <c r="A83" t="s">
        <v>198</v>
      </c>
      <c r="B83" s="189">
        <f>-'Financial Statements'!C20</f>
        <v>370000</v>
      </c>
      <c r="C83" s="189">
        <f>-'Financial Statements'!D20</f>
        <v>162100</v>
      </c>
      <c r="D83" s="189">
        <f>-'Financial Statements'!E20</f>
        <v>147300</v>
      </c>
      <c r="E83" s="189">
        <f>-'Financial Statements'!F20</f>
        <v>178900</v>
      </c>
      <c r="F83" s="68">
        <f>-'Financial Statements'!G20</f>
        <v>186951.663769406</v>
      </c>
      <c r="G83" s="68">
        <f>-'Financial Statements'!H20</f>
        <v>192855.054046288</v>
      </c>
      <c r="H83" s="68">
        <f>-'Financial Statements'!I20</f>
        <v>198912.815392895</v>
      </c>
      <c r="I83" s="68">
        <f>-'Financial Statements'!J20</f>
        <v>205127.809532466</v>
      </c>
      <c r="J83" s="68">
        <f>-'Financial Statements'!K20</f>
        <v>211502.910185437</v>
      </c>
      <c r="K83" s="68">
        <f>-'Financial Statements'!L20</f>
        <v>218041.001538523</v>
      </c>
      <c r="L83" s="68">
        <f>-'Financial Statements'!M20</f>
        <v>224744.976656766</v>
      </c>
      <c r="M83" s="68">
        <f>-'Financial Statements'!N20</f>
        <v>231617.735838328</v>
      </c>
      <c r="N83" s="68">
        <f>-'Financial Statements'!O20</f>
        <v>238662.184911876</v>
      </c>
      <c r="O83" s="68">
        <f>-'Financial Statements'!P20</f>
        <v>245881.233476445</v>
      </c>
      <c r="P83" s="68">
        <f>-'Financial Statements'!Q20</f>
        <v>253277.793083777</v>
      </c>
      <c r="Q83" s="68">
        <f>-'Financial Statements'!R20</f>
        <v>260876.12687629</v>
      </c>
    </row>
    <row r="84" spans="1:17">
      <c r="A84" t="s">
        <v>199</v>
      </c>
      <c r="B84" s="189">
        <f>-(IF('Financial Statements'!C22=0,0,(-'Financial Statements'!C23)/'Financial Statements'!C22))*B83</f>
        <v>79653.1703590527</v>
      </c>
      <c r="C84" s="189">
        <f>-(IF('Financial Statements'!D22=0,0,(-'Financial Statements'!D23)/'Financial Statements'!D22))*C83</f>
        <v>-40086.0744516246</v>
      </c>
      <c r="D84" s="189">
        <f>-(IF('Financial Statements'!E22=0,0,(-'Financial Statements'!E23)/'Financial Statements'!E22))*D83</f>
        <v>-33688.1653063571</v>
      </c>
      <c r="E84" s="189">
        <f>-(IF('Financial Statements'!F22=0,0,(-'Financial Statements'!F23)/'Financial Statements'!F22))*E83</f>
        <v>-33353.308418086</v>
      </c>
      <c r="F84" s="68">
        <f>-(IF('Financial Statements'!G22=0,0,(-'Financial Statements'!G23)/'Financial Statements'!G22))*F83</f>
        <v>-34854.4242648146</v>
      </c>
      <c r="G84" s="68">
        <f>-(IF('Financial Statements'!H22=0,0,(-'Financial Statements'!H23)/'Financial Statements'!H22))*G83</f>
        <v>-35955.0256992313</v>
      </c>
      <c r="H84" s="68">
        <f>-(IF('Financial Statements'!I22=0,0,(-'Financial Statements'!I23)/'Financial Statements'!I22))*H83</f>
        <v>-37084.4073790331</v>
      </c>
      <c r="I84" s="68">
        <f>-(IF('Financial Statements'!J22=0,0,(-'Financial Statements'!J23)/'Financial Statements'!J22))*I83</f>
        <v>-38243.1028309824</v>
      </c>
      <c r="J84" s="68">
        <f>-(IF('Financial Statements'!K22=0,0,(-'Financial Statements'!K23)/'Financial Statements'!K22))*J83</f>
        <v>-39431.6478185447</v>
      </c>
      <c r="K84" s="68">
        <f>-(IF('Financial Statements'!L22=0,0,(-'Financial Statements'!L23)/'Financial Statements'!L22))*K83</f>
        <v>-40650.5800564714</v>
      </c>
      <c r="L84" s="68">
        <f>-(IF('Financial Statements'!M22=0,0,(-'Financial Statements'!M23)/'Financial Statements'!M22))*L83</f>
        <v>-41900.4389147493</v>
      </c>
      <c r="M84" s="68">
        <f>-(IF('Financial Statements'!N22=0,0,(-'Financial Statements'!N23)/'Financial Statements'!N22))*M83</f>
        <v>-43181.7651118756</v>
      </c>
      <c r="N84" s="68">
        <f>-(IF('Financial Statements'!O22=0,0,(-'Financial Statements'!O23)/'Financial Statements'!O22))*N83</f>
        <v>-44495.1003974291</v>
      </c>
      <c r="O84" s="68">
        <f>-(IF('Financial Statements'!P22=0,0,(-'Financial Statements'!P23)/'Financial Statements'!P22))*O83</f>
        <v>-45840.98722392</v>
      </c>
      <c r="P84" s="68">
        <f>-(IF('Financial Statements'!Q22=0,0,(-'Financial Statements'!Q23)/'Financial Statements'!Q22))*P83</f>
        <v>-47219.9684079116</v>
      </c>
      <c r="Q84" s="68">
        <f>-(IF('Financial Statements'!R22=0,0,(-'Financial Statements'!R23)/'Financial Statements'!R22))*Q83</f>
        <v>-48636.5674601489</v>
      </c>
    </row>
    <row r="85" spans="1:17">
      <c r="A85" t="s">
        <v>173</v>
      </c>
      <c r="B85" s="189">
        <f>'Financial Statements'!C65</f>
        <v>0</v>
      </c>
      <c r="C85" s="189">
        <f>'Financial Statements'!D65</f>
        <v>-65300</v>
      </c>
      <c r="D85" s="189">
        <f>'Financial Statements'!E65</f>
        <v>0</v>
      </c>
      <c r="E85" s="189">
        <f>'Financial Statements'!F65</f>
        <v>0</v>
      </c>
      <c r="F85" s="68">
        <f>'Financial Statements'!G65</f>
        <v>0</v>
      </c>
      <c r="G85" s="68">
        <f>'Financial Statements'!H65</f>
        <v>0</v>
      </c>
      <c r="H85" s="68">
        <f>'Financial Statements'!I65</f>
        <v>0</v>
      </c>
      <c r="I85" s="68">
        <f>'Financial Statements'!J65</f>
        <v>0</v>
      </c>
      <c r="J85" s="68">
        <f>'Financial Statements'!K65</f>
        <v>0</v>
      </c>
      <c r="K85" s="68">
        <f>'Financial Statements'!L65</f>
        <v>0</v>
      </c>
      <c r="L85" s="68">
        <f>'Financial Statements'!M65</f>
        <v>0</v>
      </c>
      <c r="M85" s="68">
        <f>'Financial Statements'!N65</f>
        <v>0</v>
      </c>
      <c r="N85" s="68">
        <f>'Financial Statements'!O65</f>
        <v>0</v>
      </c>
      <c r="O85" s="68">
        <f>'Financial Statements'!P65</f>
        <v>0</v>
      </c>
      <c r="P85" s="68">
        <f>'Financial Statements'!Q65</f>
        <v>0</v>
      </c>
      <c r="Q85" s="68">
        <f>'Financial Statements'!R65</f>
        <v>0</v>
      </c>
    </row>
    <row r="86" ht="15.95" spans="1:17">
      <c r="A86" t="s">
        <v>194</v>
      </c>
      <c r="B86" s="190">
        <f>SUM(B80:B85)</f>
        <v>1810953.17035905</v>
      </c>
      <c r="C86" s="190">
        <f>SUM(C80:C85)</f>
        <v>764913.925548375</v>
      </c>
      <c r="D86" s="190">
        <f>SUM(D80:D85)</f>
        <v>971011.834693643</v>
      </c>
      <c r="E86" s="190">
        <f>SUM(E80:E85)</f>
        <v>849446.691581914</v>
      </c>
      <c r="F86" s="192">
        <f t="shared" ref="F86:Q86" si="19">SUM(F80:F85)</f>
        <v>1167531.95993196</v>
      </c>
      <c r="G86" s="192">
        <f t="shared" si="19"/>
        <v>1206153.86827501</v>
      </c>
      <c r="H86" s="192">
        <f t="shared" si="19"/>
        <v>1245850.36548252</v>
      </c>
      <c r="I86" s="192">
        <f t="shared" si="19"/>
        <v>1286643.64275451</v>
      </c>
      <c r="J86" s="192">
        <f t="shared" si="19"/>
        <v>1328556.07223697</v>
      </c>
      <c r="K86" s="192">
        <f t="shared" si="19"/>
        <v>1371610.1979808</v>
      </c>
      <c r="L86" s="192">
        <f t="shared" si="19"/>
        <v>1415828.72645808</v>
      </c>
      <c r="M86" s="192">
        <f t="shared" si="19"/>
        <v>1461234.51663058</v>
      </c>
      <c r="N86" s="192">
        <f t="shared" si="19"/>
        <v>1507850.5695659</v>
      </c>
      <c r="O86" s="192">
        <f t="shared" si="19"/>
        <v>1555700.01759683</v>
      </c>
      <c r="P86" s="192">
        <f t="shared" si="19"/>
        <v>1604806.11302004</v>
      </c>
      <c r="Q86" s="192">
        <f t="shared" si="19"/>
        <v>1652950.29641065</v>
      </c>
    </row>
    <row r="87" ht="15.95" spans="2:17">
      <c r="B87" s="189"/>
      <c r="C87" s="189"/>
      <c r="D87" s="189"/>
      <c r="E87" s="189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</row>
    <row r="88" spans="1:17">
      <c r="A88" t="s">
        <v>187</v>
      </c>
      <c r="B88" s="189"/>
      <c r="C88" s="189"/>
      <c r="D88" s="189"/>
      <c r="E88" s="189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</row>
    <row r="89" spans="1:17">
      <c r="A89" t="s">
        <v>200</v>
      </c>
      <c r="B89" s="189">
        <f>-'Financial Statements'!C64</f>
        <v>0</v>
      </c>
      <c r="C89" s="189">
        <f>-'Financial Statements'!D64</f>
        <v>0</v>
      </c>
      <c r="D89" s="189">
        <f>-'Financial Statements'!E64</f>
        <v>0</v>
      </c>
      <c r="E89" s="189">
        <f>-'Financial Statements'!F64</f>
        <v>0</v>
      </c>
      <c r="F89" s="68">
        <f>-'Financial Statements'!G64</f>
        <v>0</v>
      </c>
      <c r="G89" s="68">
        <f>-'Financial Statements'!H64</f>
        <v>0</v>
      </c>
      <c r="H89" s="68">
        <f>-'Financial Statements'!I64</f>
        <v>0</v>
      </c>
      <c r="I89" s="68">
        <f>-'Financial Statements'!J64</f>
        <v>0</v>
      </c>
      <c r="J89" s="68">
        <f>-'Financial Statements'!K64</f>
        <v>0</v>
      </c>
      <c r="K89" s="68">
        <f>-'Financial Statements'!L64</f>
        <v>0</v>
      </c>
      <c r="L89" s="68">
        <f>-'Financial Statements'!M64</f>
        <v>0</v>
      </c>
      <c r="M89" s="68">
        <f>-'Financial Statements'!N64</f>
        <v>0</v>
      </c>
      <c r="N89" s="68">
        <f>-'Financial Statements'!O64</f>
        <v>0</v>
      </c>
      <c r="O89" s="68">
        <f>-'Financial Statements'!P64</f>
        <v>0</v>
      </c>
      <c r="P89" s="68">
        <f>-'Financial Statements'!Q64</f>
        <v>0</v>
      </c>
      <c r="Q89" s="68">
        <f>-'Financial Statements'!R64</f>
        <v>0</v>
      </c>
    </row>
    <row r="90" spans="1:17">
      <c r="A90" t="s">
        <v>198</v>
      </c>
      <c r="B90" s="189">
        <f>-'Financial Statements'!C20</f>
        <v>370000</v>
      </c>
      <c r="C90" s="189">
        <f>-'Financial Statements'!D20</f>
        <v>162100</v>
      </c>
      <c r="D90" s="189">
        <f>-'Financial Statements'!E20</f>
        <v>147300</v>
      </c>
      <c r="E90" s="189">
        <f>-'Financial Statements'!F20</f>
        <v>178900</v>
      </c>
      <c r="F90" s="68">
        <f>-'Financial Statements'!G20</f>
        <v>186951.663769406</v>
      </c>
      <c r="G90" s="68">
        <f>-'Financial Statements'!H20</f>
        <v>192855.054046288</v>
      </c>
      <c r="H90" s="68">
        <f>-'Financial Statements'!I20</f>
        <v>198912.815392895</v>
      </c>
      <c r="I90" s="68">
        <f>-'Financial Statements'!J20</f>
        <v>205127.809532466</v>
      </c>
      <c r="J90" s="68">
        <f>-'Financial Statements'!K20</f>
        <v>211502.910185437</v>
      </c>
      <c r="K90" s="68">
        <f>-'Financial Statements'!L20</f>
        <v>218041.001538523</v>
      </c>
      <c r="L90" s="68">
        <f>-'Financial Statements'!M20</f>
        <v>224744.976656766</v>
      </c>
      <c r="M90" s="68">
        <f>-'Financial Statements'!N20</f>
        <v>231617.735838328</v>
      </c>
      <c r="N90" s="68">
        <f>-'Financial Statements'!O20</f>
        <v>238662.184911876</v>
      </c>
      <c r="O90" s="68">
        <f>-'Financial Statements'!P20</f>
        <v>245881.233476445</v>
      </c>
      <c r="P90" s="68">
        <f>-'Financial Statements'!Q20</f>
        <v>253277.793083777</v>
      </c>
      <c r="Q90" s="68">
        <f>-'Financial Statements'!R20</f>
        <v>260876.12687629</v>
      </c>
    </row>
    <row r="91" spans="1:17">
      <c r="A91" t="s">
        <v>199</v>
      </c>
      <c r="B91" s="189">
        <f>-(IF('Financial Statements'!C22=0,0,(-'Financial Statements'!C23)/'Financial Statements'!C22))*B90</f>
        <v>79653.1703590527</v>
      </c>
      <c r="C91" s="189">
        <f>-(IF('Financial Statements'!D22=0,0,(-'Financial Statements'!D23)/'Financial Statements'!D22))*C90</f>
        <v>-40086.0744516246</v>
      </c>
      <c r="D91" s="189">
        <f>-(IF('Financial Statements'!E22=0,0,(-'Financial Statements'!E23)/'Financial Statements'!E22))*D90</f>
        <v>-33688.1653063571</v>
      </c>
      <c r="E91" s="189">
        <f>-(IF('Financial Statements'!F22=0,0,(-'Financial Statements'!F23)/'Financial Statements'!F22))*E90</f>
        <v>-33353.308418086</v>
      </c>
      <c r="F91" s="68">
        <f>-(IF('Financial Statements'!G22=0,0,(-'Financial Statements'!G23)/'Financial Statements'!G22))*F90</f>
        <v>-34854.4242648146</v>
      </c>
      <c r="G91" s="68">
        <f>-(IF('Financial Statements'!H22=0,0,(-'Financial Statements'!H23)/'Financial Statements'!H22))*G90</f>
        <v>-35955.0256992313</v>
      </c>
      <c r="H91" s="68">
        <f>-(IF('Financial Statements'!I22=0,0,(-'Financial Statements'!I23)/'Financial Statements'!I22))*H90</f>
        <v>-37084.4073790331</v>
      </c>
      <c r="I91" s="68">
        <f>-(IF('Financial Statements'!J22=0,0,(-'Financial Statements'!J23)/'Financial Statements'!J22))*I90</f>
        <v>-38243.1028309824</v>
      </c>
      <c r="J91" s="68">
        <f>-(IF('Financial Statements'!K22=0,0,(-'Financial Statements'!K23)/'Financial Statements'!K22))*J90</f>
        <v>-39431.6478185447</v>
      </c>
      <c r="K91" s="68">
        <f>-(IF('Financial Statements'!L22=0,0,(-'Financial Statements'!L23)/'Financial Statements'!L22))*K90</f>
        <v>-40650.5800564714</v>
      </c>
      <c r="L91" s="68">
        <f>-(IF('Financial Statements'!M22=0,0,(-'Financial Statements'!M23)/'Financial Statements'!M22))*L90</f>
        <v>-41900.4389147493</v>
      </c>
      <c r="M91" s="68">
        <f>-(IF('Financial Statements'!N22=0,0,(-'Financial Statements'!N23)/'Financial Statements'!N22))*M90</f>
        <v>-43181.7651118756</v>
      </c>
      <c r="N91" s="68">
        <f>-(IF('Financial Statements'!O22=0,0,(-'Financial Statements'!O23)/'Financial Statements'!O22))*N90</f>
        <v>-44495.1003974291</v>
      </c>
      <c r="O91" s="68">
        <f>-(IF('Financial Statements'!P22=0,0,(-'Financial Statements'!P23)/'Financial Statements'!P22))*O90</f>
        <v>-45840.98722392</v>
      </c>
      <c r="P91" s="68">
        <f>-(IF('Financial Statements'!Q22=0,0,(-'Financial Statements'!Q23)/'Financial Statements'!Q22))*P90</f>
        <v>-47219.9684079116</v>
      </c>
      <c r="Q91" s="68">
        <f>-(IF('Financial Statements'!R22=0,0,(-'Financial Statements'!R23)/'Financial Statements'!R22))*Q90</f>
        <v>-48636.5674601489</v>
      </c>
    </row>
    <row r="92" spans="1:17">
      <c r="A92" t="s">
        <v>201</v>
      </c>
      <c r="B92" s="189">
        <f>-'Financial Statements'!C28</f>
        <v>0</v>
      </c>
      <c r="C92" s="189">
        <f>-'Financial Statements'!D28</f>
        <v>0</v>
      </c>
      <c r="D92" s="189">
        <f>-'Financial Statements'!E28</f>
        <v>0</v>
      </c>
      <c r="E92" s="189">
        <f>-'Financial Statements'!F28</f>
        <v>0</v>
      </c>
      <c r="F92" s="68">
        <f>-'Financial Statements'!G28</f>
        <v>0</v>
      </c>
      <c r="G92" s="68">
        <f>-'Financial Statements'!H28</f>
        <v>0</v>
      </c>
      <c r="H92" s="68">
        <f>-'Financial Statements'!I28</f>
        <v>0</v>
      </c>
      <c r="I92" s="68">
        <f>-'Financial Statements'!J28</f>
        <v>0</v>
      </c>
      <c r="J92" s="68">
        <f>-'Financial Statements'!K28</f>
        <v>0</v>
      </c>
      <c r="K92" s="68">
        <f>-'Financial Statements'!L28</f>
        <v>0</v>
      </c>
      <c r="L92" s="68">
        <f>-'Financial Statements'!M28</f>
        <v>0</v>
      </c>
      <c r="M92" s="68">
        <f>-'Financial Statements'!N28</f>
        <v>0</v>
      </c>
      <c r="N92" s="68">
        <f>-'Financial Statements'!O28</f>
        <v>0</v>
      </c>
      <c r="O92" s="68">
        <f>-'Financial Statements'!P28</f>
        <v>0</v>
      </c>
      <c r="P92" s="68">
        <f>-'Financial Statements'!Q28</f>
        <v>0</v>
      </c>
      <c r="Q92" s="68">
        <f>-'Financial Statements'!R28</f>
        <v>0</v>
      </c>
    </row>
    <row r="93" spans="1:17">
      <c r="A93" t="s">
        <v>202</v>
      </c>
      <c r="B93" s="189">
        <f>-'Financial Statements'!C27-('Financial Statements'!C53-'Financial Statements'!B53)</f>
        <v>0</v>
      </c>
      <c r="C93" s="189">
        <f>-'Financial Statements'!D27-('Financial Statements'!D53-'Financial Statements'!C53)</f>
        <v>0</v>
      </c>
      <c r="D93" s="189">
        <f>-'Financial Statements'!E27-('Financial Statements'!E53-'Financial Statements'!D53)</f>
        <v>0</v>
      </c>
      <c r="E93" s="189">
        <f>-'Financial Statements'!F27-('Financial Statements'!F53-'Financial Statements'!E53)</f>
        <v>0</v>
      </c>
      <c r="F93" s="68">
        <f>-'Financial Statements'!G27-('Financial Statements'!G53-'Financial Statements'!F53)</f>
        <v>0</v>
      </c>
      <c r="G93" s="68">
        <f>-'Financial Statements'!H27-('Financial Statements'!H53-'Financial Statements'!G53)</f>
        <v>0</v>
      </c>
      <c r="H93" s="68">
        <f>-'Financial Statements'!I27-('Financial Statements'!I53-'Financial Statements'!H53)</f>
        <v>0</v>
      </c>
      <c r="I93" s="68">
        <f>-'Financial Statements'!J27-('Financial Statements'!J53-'Financial Statements'!I53)</f>
        <v>0</v>
      </c>
      <c r="J93" s="68">
        <f>-'Financial Statements'!K27-('Financial Statements'!K53-'Financial Statements'!J53)</f>
        <v>0</v>
      </c>
      <c r="K93" s="68">
        <f>-'Financial Statements'!L27-('Financial Statements'!L53-'Financial Statements'!K53)</f>
        <v>0</v>
      </c>
      <c r="L93" s="68">
        <f>-'Financial Statements'!M27-('Financial Statements'!M53-'Financial Statements'!L53)</f>
        <v>0</v>
      </c>
      <c r="M93" s="68">
        <f>-'Financial Statements'!N27-('Financial Statements'!N53-'Financial Statements'!M53)</f>
        <v>0</v>
      </c>
      <c r="N93" s="68">
        <f>-'Financial Statements'!O27-('Financial Statements'!O53-'Financial Statements'!N53)</f>
        <v>0</v>
      </c>
      <c r="O93" s="68">
        <f>-'Financial Statements'!P27-('Financial Statements'!P53-'Financial Statements'!O53)</f>
        <v>0</v>
      </c>
      <c r="P93" s="68">
        <f>-'Financial Statements'!Q27-('Financial Statements'!Q53-'Financial Statements'!P53)</f>
        <v>0</v>
      </c>
      <c r="Q93" s="68">
        <f>-'Financial Statements'!R27-('Financial Statements'!R53-'Financial Statements'!Q53)</f>
        <v>0</v>
      </c>
    </row>
    <row r="94" spans="1:17">
      <c r="A94" t="s">
        <v>189</v>
      </c>
      <c r="B94" s="189">
        <f>-('Financial Statements'!C55-'Financial Statements'!B55)</f>
        <v>-51400</v>
      </c>
      <c r="C94" s="189">
        <f>-('Financial Statements'!D55-'Financial Statements'!C55)</f>
        <v>149800</v>
      </c>
      <c r="D94" s="189">
        <f>-('Financial Statements'!E55-'Financial Statements'!D55)</f>
        <v>311400</v>
      </c>
      <c r="E94" s="189">
        <f>-('Financial Statements'!F55-'Financial Statements'!E55)</f>
        <v>894700</v>
      </c>
      <c r="F94" s="68">
        <f>-('Financial Statements'!G55-'Financial Statements'!F55)</f>
        <v>1123621.93536823</v>
      </c>
      <c r="G94" s="68">
        <f>-('Financial Statements'!H55-'Financial Statements'!G55)</f>
        <v>1160280.7238545</v>
      </c>
      <c r="H94" s="68">
        <f>-('Financial Statements'!I55-'Financial Statements'!H55)</f>
        <v>1197941.52506687</v>
      </c>
      <c r="I94" s="68">
        <f>-('Financial Statements'!J55-'Financial Statements'!I55)</f>
        <v>1236624.43870636</v>
      </c>
      <c r="J94" s="68">
        <f>-('Financial Statements'!K55-'Financial Statements'!J55)</f>
        <v>1276349.70776353</v>
      </c>
      <c r="K94" s="68">
        <f>-('Financial Statements'!L55-'Financial Statements'!K55)</f>
        <v>1317137.70966634</v>
      </c>
      <c r="L94" s="68">
        <f>-('Financial Statements'!M55-'Financial Statements'!L55)</f>
        <v>1359008.947027</v>
      </c>
      <c r="M94" s="68">
        <f>-('Financial Statements'!N55-'Financial Statements'!M55)</f>
        <v>1401984.03798422</v>
      </c>
      <c r="N94" s="68">
        <f>-('Financial Statements'!O55-'Financial Statements'!N55)</f>
        <v>1446083.70613731</v>
      </c>
      <c r="O94" s="68">
        <f>-('Financial Statements'!P55-'Financial Statements'!O55)</f>
        <v>1491328.77006923</v>
      </c>
      <c r="P94" s="68">
        <f>-('Financial Statements'!Q55-'Financial Statements'!P55)</f>
        <v>1537740.13245563</v>
      </c>
      <c r="Q94" s="68">
        <f>-('Financial Statements'!R55-'Financial Statements'!Q55)</f>
        <v>1583872.33642931</v>
      </c>
    </row>
    <row r="95" spans="1:17">
      <c r="A95" t="s">
        <v>203</v>
      </c>
      <c r="B95" s="189">
        <f>-('Financial Statements'!C44+'Financial Statements'!C49-'Financial Statements'!B49-'Financial Statements'!B44)</f>
        <v>1412700</v>
      </c>
      <c r="C95" s="189">
        <f>-('Financial Statements'!D44+'Financial Statements'!D49-'Financial Statements'!C49-'Financial Statements'!C44)</f>
        <v>493100</v>
      </c>
      <c r="D95" s="189">
        <f>-('Financial Statements'!E44+'Financial Statements'!E49-'Financial Statements'!D49-'Financial Statements'!D44)</f>
        <v>546000</v>
      </c>
      <c r="E95" s="189">
        <f>-('Financial Statements'!F44+'Financial Statements'!F49-'Financial Statements'!E49-'Financial Statements'!E44)</f>
        <v>-190800</v>
      </c>
      <c r="F95" s="68">
        <f>-('Financial Statements'!G44+'Financial Statements'!G49-'Financial Statements'!F49-'Financial Statements'!F44)</f>
        <v>-108187.214940862</v>
      </c>
      <c r="G95" s="68">
        <f>-('Financial Statements'!H44+'Financial Statements'!H49-'Financial Statements'!G49-'Financial Statements'!G44)</f>
        <v>-111026.883926538</v>
      </c>
      <c r="H95" s="68">
        <f>-('Financial Statements'!I44+'Financial Statements'!I49-'Financial Statements'!H49-'Financial Statements'!H44)</f>
        <v>-113919.567598217</v>
      </c>
      <c r="I95" s="68">
        <f>-('Financial Statements'!J44+'Financial Statements'!J49-'Financial Statements'!I49-'Financial Statements'!I44)</f>
        <v>-116865.50265333</v>
      </c>
      <c r="J95" s="68">
        <f>-('Financial Statements'!K44+'Financial Statements'!K49-'Financial Statements'!J49-'Financial Statements'!J44)</f>
        <v>-119864.89789345</v>
      </c>
      <c r="K95" s="68">
        <f>-('Financial Statements'!L44+'Financial Statements'!L49-'Financial Statements'!K49-'Financial Statements'!K44)</f>
        <v>-122917.933167589</v>
      </c>
      <c r="L95" s="68">
        <f>-('Financial Statements'!M44+'Financial Statements'!M49-'Financial Statements'!L49-'Financial Statements'!L44)</f>
        <v>-126024.758310943</v>
      </c>
      <c r="M95" s="68">
        <f>-('Financial Statements'!N44+'Financial Statements'!N49-'Financial Statements'!M49-'Financial Statements'!M44)</f>
        <v>-129185.492080092</v>
      </c>
      <c r="N95" s="68">
        <f>-('Financial Statements'!O44+'Financial Statements'!O49-'Financial Statements'!N49-'Financial Statements'!N44)</f>
        <v>-132400.221085858</v>
      </c>
      <c r="O95" s="68">
        <f>-('Financial Statements'!P44+'Financial Statements'!P49-'Financial Statements'!O49-'Financial Statements'!O44)</f>
        <v>-135668.998724917</v>
      </c>
      <c r="P95" s="68">
        <f>-('Financial Statements'!Q44+'Financial Statements'!Q49-'Financial Statements'!P49-'Financial Statements'!P44)</f>
        <v>-138991.844111455</v>
      </c>
      <c r="Q95" s="68">
        <f>-('Financial Statements'!R44+'Financial Statements'!R49-'Financial Statements'!Q49-'Financial Statements'!Q44)</f>
        <v>-143161.599434798</v>
      </c>
    </row>
    <row r="96" spans="1:17">
      <c r="A96" t="s">
        <v>204</v>
      </c>
      <c r="B96" s="189">
        <f>-('Financial Statements'!C54-'Financial Statements'!B54)</f>
        <v>0</v>
      </c>
      <c r="C96" s="189">
        <f>-('Financial Statements'!D54-'Financial Statements'!C54)</f>
        <v>0</v>
      </c>
      <c r="D96" s="189">
        <f>-('Financial Statements'!E54-'Financial Statements'!D54)</f>
        <v>0</v>
      </c>
      <c r="E96" s="189">
        <f>-('Financial Statements'!F54-'Financial Statements'!E54)</f>
        <v>0</v>
      </c>
      <c r="F96" s="68">
        <f>-('Financial Statements'!G54-'Financial Statements'!F54)</f>
        <v>0</v>
      </c>
      <c r="G96" s="68">
        <f>-('Financial Statements'!H54-'Financial Statements'!G54)</f>
        <v>0</v>
      </c>
      <c r="H96" s="68">
        <f>-('Financial Statements'!I54-'Financial Statements'!H54)</f>
        <v>0</v>
      </c>
      <c r="I96" s="68">
        <f>-('Financial Statements'!J54-'Financial Statements'!I54)</f>
        <v>0</v>
      </c>
      <c r="J96" s="68">
        <f>-('Financial Statements'!K54-'Financial Statements'!J54)</f>
        <v>0</v>
      </c>
      <c r="K96" s="68">
        <f>-('Financial Statements'!L54-'Financial Statements'!K54)</f>
        <v>0</v>
      </c>
      <c r="L96" s="68">
        <f>-('Financial Statements'!M54-'Financial Statements'!L54)</f>
        <v>0</v>
      </c>
      <c r="M96" s="68">
        <f>-('Financial Statements'!N54-'Financial Statements'!M54)</f>
        <v>0</v>
      </c>
      <c r="N96" s="68">
        <f>-('Financial Statements'!O54-'Financial Statements'!N54)</f>
        <v>0</v>
      </c>
      <c r="O96" s="68">
        <f>-('Financial Statements'!P54-'Financial Statements'!O54)</f>
        <v>0</v>
      </c>
      <c r="P96" s="68">
        <f>-('Financial Statements'!Q54-'Financial Statements'!P54)</f>
        <v>0</v>
      </c>
      <c r="Q96" s="68">
        <f>-('Financial Statements'!R54-'Financial Statements'!Q54)</f>
        <v>0</v>
      </c>
    </row>
    <row r="97" ht="15.95" spans="1:17">
      <c r="A97" t="s">
        <v>194</v>
      </c>
      <c r="B97" s="190">
        <f t="shared" ref="B97:Q97" si="20">SUM(B89:B96)</f>
        <v>1810953.17035905</v>
      </c>
      <c r="C97" s="190">
        <f t="shared" si="20"/>
        <v>764913.925548375</v>
      </c>
      <c r="D97" s="190">
        <f t="shared" si="20"/>
        <v>971011.834693643</v>
      </c>
      <c r="E97" s="190">
        <f t="shared" si="20"/>
        <v>849446.691581914</v>
      </c>
      <c r="F97" s="192">
        <f t="shared" si="20"/>
        <v>1167531.95993196</v>
      </c>
      <c r="G97" s="192">
        <f t="shared" si="20"/>
        <v>1206153.86827501</v>
      </c>
      <c r="H97" s="192">
        <f t="shared" si="20"/>
        <v>1245850.36548252</v>
      </c>
      <c r="I97" s="192">
        <f t="shared" si="20"/>
        <v>1286643.64275451</v>
      </c>
      <c r="J97" s="192">
        <f t="shared" si="20"/>
        <v>1328556.07223697</v>
      </c>
      <c r="K97" s="192">
        <f t="shared" si="20"/>
        <v>1371610.19798081</v>
      </c>
      <c r="L97" s="192">
        <f t="shared" si="20"/>
        <v>1415828.72645808</v>
      </c>
      <c r="M97" s="192">
        <f t="shared" si="20"/>
        <v>1461234.51663058</v>
      </c>
      <c r="N97" s="192">
        <f t="shared" si="20"/>
        <v>1507850.5695659</v>
      </c>
      <c r="O97" s="192">
        <f t="shared" si="20"/>
        <v>1555700.01759683</v>
      </c>
      <c r="P97" s="192">
        <f t="shared" si="20"/>
        <v>1604806.11302004</v>
      </c>
      <c r="Q97" s="192">
        <f t="shared" si="20"/>
        <v>1652950.29641065</v>
      </c>
    </row>
    <row r="98" ht="15.95" spans="2:17">
      <c r="B98" s="189"/>
      <c r="C98" s="189"/>
      <c r="D98" s="189"/>
      <c r="E98" s="189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</row>
    <row r="99" spans="1:17">
      <c r="A99" t="s">
        <v>205</v>
      </c>
      <c r="B99" s="189"/>
      <c r="C99" s="189"/>
      <c r="D99" s="189"/>
      <c r="E99" s="189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</row>
    <row r="100" spans="1:17">
      <c r="A100" t="s">
        <v>206</v>
      </c>
      <c r="B100" s="189">
        <f>'Financial Statements'!C19</f>
        <v>-939500</v>
      </c>
      <c r="C100" s="189">
        <f>'Financial Statements'!D19</f>
        <v>1262200</v>
      </c>
      <c r="D100" s="189">
        <f>'Financial Statements'!E19</f>
        <v>1887900</v>
      </c>
      <c r="E100" s="189">
        <f>'Financial Statements'!F19</f>
        <v>1811400</v>
      </c>
      <c r="F100" s="68">
        <f>'Financial Statements'!G19</f>
        <v>1868751.57188875</v>
      </c>
      <c r="G100" s="68">
        <f>'Financial Statements'!H19</f>
        <v>1927608.49244612</v>
      </c>
      <c r="H100" s="68">
        <f>'Financial Statements'!I19</f>
        <v>1987998.86550653</v>
      </c>
      <c r="I100" s="68">
        <f>'Financial Statements'!J19</f>
        <v>2049950.92038105</v>
      </c>
      <c r="J100" s="68">
        <f>'Financial Statements'!K19</f>
        <v>2113492.99706943</v>
      </c>
      <c r="K100" s="68">
        <f>'Financial Statements'!L19</f>
        <v>2178653.53091192</v>
      </c>
      <c r="L100" s="68">
        <f>'Financial Statements'!M19</f>
        <v>2245461.03667851</v>
      </c>
      <c r="M100" s="68">
        <f>'Financial Statements'!N19</f>
        <v>2313944.09209375</v>
      </c>
      <c r="N100" s="68">
        <f>'Financial Statements'!O19</f>
        <v>2384131.3207958</v>
      </c>
      <c r="O100" s="68">
        <f>'Financial Statements'!P19</f>
        <v>2456051.37472917</v>
      </c>
      <c r="P100" s="68">
        <f>'Financial Statements'!Q19</f>
        <v>2529732.91597105</v>
      </c>
      <c r="Q100" s="68">
        <f>'Financial Statements'!R19</f>
        <v>2605624.90345018</v>
      </c>
    </row>
    <row r="101" spans="1:17">
      <c r="A101" t="s">
        <v>207</v>
      </c>
      <c r="B101" s="189">
        <f>'Financial Statements'!C23+(IF('Financial Statements'!C22=0,0,(-'Financial Statements'!C23)/'Financial Statements'!C22))*'Financial Statements'!C20</f>
        <v>-202146.829640947</v>
      </c>
      <c r="C101" s="189">
        <f>'Financial Statements'!D23+(IF('Financial Statements'!D22=0,0,(-'Financial Statements'!D23)/'Financial Statements'!D22))*'Financial Statements'!D20</f>
        <v>-311786.074451625</v>
      </c>
      <c r="D101" s="189">
        <f>'Financial Statements'!E23+(IF('Financial Statements'!E22=0,0,(-'Financial Statements'!E23)/'Financial Statements'!E22))*'Financial Statements'!E20</f>
        <v>-431588.165306357</v>
      </c>
      <c r="E101" s="189">
        <f>'Financial Statements'!F23+(IF('Financial Statements'!F22=0,0,(-'Financial Statements'!F23)/'Financial Statements'!F22))*'Financial Statements'!F20</f>
        <v>-337653.308418086</v>
      </c>
      <c r="F101" s="68">
        <f>'Financial Statements'!G23+(IF('Financial Statements'!G22=0,0,(-'Financial Statements'!G23)/'Financial Statements'!G22))*'Financial Statements'!G20</f>
        <v>-348343.90574127</v>
      </c>
      <c r="G101" s="68">
        <f>'Financial Statements'!H23+(IF('Financial Statements'!H22=0,0,(-'Financial Statements'!H23)/'Financial Statements'!H22))*'Financial Statements'!H20</f>
        <v>-359315.106994167</v>
      </c>
      <c r="H101" s="68">
        <f>'Financial Statements'!I23+(IF('Financial Statements'!I22=0,0,(-'Financial Statements'!I23)/'Financial Statements'!I22))*'Financial Statements'!I20</f>
        <v>-370572.150861036</v>
      </c>
      <c r="I101" s="68">
        <f>'Financial Statements'!J23+(IF('Financial Statements'!J22=0,0,(-'Financial Statements'!J23)/'Financial Statements'!J22))*'Financial Statements'!J20</f>
        <v>-382120.29941557</v>
      </c>
      <c r="J101" s="68">
        <f>'Financial Statements'!K23+(IF('Financial Statements'!K22=0,0,(-'Financial Statements'!K23)/'Financial Statements'!K22))*'Financial Statements'!K20</f>
        <v>-393964.835364332</v>
      </c>
      <c r="K101" s="68">
        <f>'Financial Statements'!L23+(IF('Financial Statements'!L22=0,0,(-'Financial Statements'!L23)/'Financial Statements'!L22))*'Financial Statements'!L20</f>
        <v>-406111.059185798</v>
      </c>
      <c r="L101" s="68">
        <f>'Financial Statements'!M23+(IF('Financial Statements'!M22=0,0,(-'Financial Statements'!M23)/'Financial Statements'!M22))*'Financial Statements'!M20</f>
        <v>-418564.286164516</v>
      </c>
      <c r="M101" s="68">
        <f>'Financial Statements'!N23+(IF('Financial Statements'!N22=0,0,(-'Financial Statements'!N23)/'Financial Statements'!N22))*'Financial Statements'!N20</f>
        <v>-431329.843320051</v>
      </c>
      <c r="N101" s="68">
        <f>'Financial Statements'!O23+(IF('Financial Statements'!O22=0,0,(-'Financial Statements'!O23)/'Financial Statements'!O22))*'Financial Statements'!O20</f>
        <v>-444413.066230476</v>
      </c>
      <c r="O101" s="68">
        <f>'Financial Statements'!P23+(IF('Financial Statements'!P22=0,0,(-'Financial Statements'!P23)/'Financial Statements'!P22))*'Financial Statements'!P20</f>
        <v>-457819.2957503</v>
      </c>
      <c r="P101" s="68">
        <f>'Financial Statements'!Q23+(IF('Financial Statements'!Q22=0,0,(-'Financial Statements'!Q23)/'Financial Statements'!Q22))*'Financial Statements'!Q20</f>
        <v>-471553.874622809</v>
      </c>
      <c r="Q101" s="68">
        <f>'Financial Statements'!R23+(IF('Financial Statements'!R22=0,0,(-'Financial Statements'!R23)/'Financial Statements'!R22))*'Financial Statements'!R20</f>
        <v>-485700.490861494</v>
      </c>
    </row>
    <row r="102" spans="1:17">
      <c r="A102" t="s">
        <v>148</v>
      </c>
      <c r="B102" s="189">
        <f>'Financial Statements'!C51-'Financial Statements'!B51</f>
        <v>-12000</v>
      </c>
      <c r="C102" s="189">
        <f>'Financial Statements'!D51-'Financial Statements'!C51</f>
        <v>11500</v>
      </c>
      <c r="D102" s="189">
        <f>'Financial Statements'!E51-'Financial Statements'!D51</f>
        <v>28800</v>
      </c>
      <c r="E102" s="189">
        <f>'Financial Statements'!F51-'Financial Statements'!E51</f>
        <v>-26300</v>
      </c>
      <c r="F102" s="68">
        <f>'Financial Statements'!G51-'Financial Statements'!F51</f>
        <v>31256.1950803682</v>
      </c>
      <c r="G102" s="68">
        <f>'Financial Statements'!H51-'Financial Statements'!G51</f>
        <v>32076.5993012231</v>
      </c>
      <c r="H102" s="68">
        <f>'Financial Statements'!I51-'Financial Statements'!H51</f>
        <v>32912.3199101433</v>
      </c>
      <c r="I102" s="68">
        <f>'Financial Statements'!J51-'Financial Statements'!I51</f>
        <v>33763.425291006</v>
      </c>
      <c r="J102" s="68">
        <f>'Financial Statements'!K51-'Financial Statements'!J51</f>
        <v>34629.9757683387</v>
      </c>
      <c r="K102" s="68">
        <f>'Financial Statements'!L51-'Financial Statements'!K51</f>
        <v>35512.0233020324</v>
      </c>
      <c r="L102" s="68">
        <f>'Financial Statements'!M51-'Financial Statements'!L51</f>
        <v>36409.6111807325</v>
      </c>
      <c r="M102" s="68">
        <f>'Financial Statements'!N51-'Financial Statements'!M51</f>
        <v>37322.7737142134</v>
      </c>
      <c r="N102" s="68">
        <f>'Financial Statements'!O51-'Financial Statements'!N51</f>
        <v>38251.5359250682</v>
      </c>
      <c r="O102" s="68">
        <f>'Financial Statements'!P51-'Financial Statements'!O51</f>
        <v>39195.9132400467</v>
      </c>
      <c r="P102" s="68">
        <f>'Financial Statements'!Q51-'Financial Statements'!P51</f>
        <v>40155.9111813952</v>
      </c>
      <c r="Q102" s="68">
        <f>'Financial Statements'!R51-'Financial Statements'!Q51</f>
        <v>41360.5885168372</v>
      </c>
    </row>
    <row r="103" spans="1:17">
      <c r="A103" t="s">
        <v>208</v>
      </c>
      <c r="B103" s="189">
        <f>SUM(B100:B102)</f>
        <v>-1153646.82964095</v>
      </c>
      <c r="C103" s="189">
        <f>SUM(C100:C102)</f>
        <v>961913.925548375</v>
      </c>
      <c r="D103" s="189">
        <f>SUM(D100:D102)</f>
        <v>1485111.83469364</v>
      </c>
      <c r="E103" s="189">
        <f>SUM(E100:E102)</f>
        <v>1447446.69158191</v>
      </c>
      <c r="F103" s="68">
        <f t="shared" ref="F103:Q103" si="21">SUM(F100:F102)</f>
        <v>1551663.86122785</v>
      </c>
      <c r="G103" s="68">
        <f t="shared" si="21"/>
        <v>1600369.98475318</v>
      </c>
      <c r="H103" s="68">
        <f t="shared" si="21"/>
        <v>1650339.03455564</v>
      </c>
      <c r="I103" s="68">
        <f t="shared" si="21"/>
        <v>1701594.04625649</v>
      </c>
      <c r="J103" s="68">
        <f t="shared" si="21"/>
        <v>1754158.13747344</v>
      </c>
      <c r="K103" s="68">
        <f t="shared" si="21"/>
        <v>1808054.49502815</v>
      </c>
      <c r="L103" s="68">
        <f t="shared" si="21"/>
        <v>1863306.36169473</v>
      </c>
      <c r="M103" s="68">
        <f t="shared" si="21"/>
        <v>1919937.02248791</v>
      </c>
      <c r="N103" s="68">
        <f t="shared" si="21"/>
        <v>1977969.7904904</v>
      </c>
      <c r="O103" s="68">
        <f t="shared" si="21"/>
        <v>2037427.99221892</v>
      </c>
      <c r="P103" s="68">
        <f t="shared" si="21"/>
        <v>2098334.95252963</v>
      </c>
      <c r="Q103" s="68">
        <f t="shared" si="21"/>
        <v>2161285.00110552</v>
      </c>
    </row>
    <row r="104" spans="1:17">
      <c r="A104" t="s">
        <v>147</v>
      </c>
      <c r="B104" s="189">
        <f>-'Financial Statements'!C18</f>
        <v>0</v>
      </c>
      <c r="C104" s="189">
        <f>-'Financial Statements'!D18</f>
        <v>0</v>
      </c>
      <c r="D104" s="189">
        <f>-'Financial Statements'!E18</f>
        <v>0</v>
      </c>
      <c r="E104" s="189">
        <f>-'Financial Statements'!F18</f>
        <v>0</v>
      </c>
      <c r="F104" s="68">
        <f>-'Financial Statements'!G18</f>
        <v>0</v>
      </c>
      <c r="G104" s="68">
        <f>-'Financial Statements'!H18</f>
        <v>0</v>
      </c>
      <c r="H104" s="68">
        <f>-'Financial Statements'!I18</f>
        <v>0</v>
      </c>
      <c r="I104" s="68">
        <f>-'Financial Statements'!J18</f>
        <v>0</v>
      </c>
      <c r="J104" s="68">
        <f>-'Financial Statements'!K18</f>
        <v>0</v>
      </c>
      <c r="K104" s="68">
        <f>-'Financial Statements'!L18</f>
        <v>0</v>
      </c>
      <c r="L104" s="68">
        <f>-'Financial Statements'!M18</f>
        <v>0</v>
      </c>
      <c r="M104" s="68">
        <f>-'Financial Statements'!N18</f>
        <v>0</v>
      </c>
      <c r="N104" s="68">
        <f>-'Financial Statements'!O18</f>
        <v>0</v>
      </c>
      <c r="O104" s="68">
        <f>-'Financial Statements'!P18</f>
        <v>0</v>
      </c>
      <c r="P104" s="68">
        <f>-'Financial Statements'!Q18</f>
        <v>0</v>
      </c>
      <c r="Q104" s="68">
        <f>-'Financial Statements'!R18</f>
        <v>0</v>
      </c>
    </row>
    <row r="105" spans="1:17">
      <c r="A105" t="s">
        <v>209</v>
      </c>
      <c r="B105" s="189">
        <f>'Financial Statements'!C21</f>
        <v>500</v>
      </c>
      <c r="C105" s="189">
        <f>'Financial Statements'!D21</f>
        <v>-1400</v>
      </c>
      <c r="D105" s="189">
        <f>'Financial Statements'!E21</f>
        <v>-800</v>
      </c>
      <c r="E105" s="189">
        <f>'Financial Statements'!F21</f>
        <v>-300</v>
      </c>
      <c r="F105" s="68">
        <f>'Financial Statements'!G21</f>
        <v>-309.498438537389</v>
      </c>
      <c r="G105" s="68">
        <f>'Financial Statements'!H21</f>
        <v>-319.246189540597</v>
      </c>
      <c r="H105" s="68">
        <f>'Financial Statements'!I21</f>
        <v>-329.247907503566</v>
      </c>
      <c r="I105" s="68">
        <f>'Financial Statements'!J21</f>
        <v>-339.5082677014</v>
      </c>
      <c r="J105" s="68">
        <f>'Financial Statements'!K21</f>
        <v>-350.031963741211</v>
      </c>
      <c r="K105" s="68">
        <f>'Financial Statements'!L21</f>
        <v>-360.823705020192</v>
      </c>
      <c r="L105" s="68">
        <f>'Financial Statements'!M21</f>
        <v>-371.888214090512</v>
      </c>
      <c r="M105" s="68">
        <f>'Financial Statements'!N21</f>
        <v>-383.230223930731</v>
      </c>
      <c r="N105" s="68">
        <f>'Financial Statements'!O21</f>
        <v>-394.854475123519</v>
      </c>
      <c r="O105" s="68">
        <f>'Financial Statements'!P21</f>
        <v>-406.765712939578</v>
      </c>
      <c r="P105" s="68">
        <f>'Financial Statements'!Q21</f>
        <v>-418.968684327766</v>
      </c>
      <c r="Q105" s="68">
        <f>'Financial Statements'!R21</f>
        <v>-431.537744857599</v>
      </c>
    </row>
    <row r="106" spans="1:17">
      <c r="A106" t="s">
        <v>210</v>
      </c>
      <c r="B106" s="189">
        <f>'Financial Statements'!C24</f>
        <v>0</v>
      </c>
      <c r="C106" s="189">
        <f>'Financial Statements'!D24</f>
        <v>0</v>
      </c>
      <c r="D106" s="189">
        <f>'Financial Statements'!E24</f>
        <v>0</v>
      </c>
      <c r="E106" s="189">
        <f>'Financial Statements'!F24</f>
        <v>0</v>
      </c>
      <c r="F106" s="68">
        <f>'Financial Statements'!G24</f>
        <v>0</v>
      </c>
      <c r="G106" s="68">
        <f>'Financial Statements'!H24</f>
        <v>0</v>
      </c>
      <c r="H106" s="68">
        <f>'Financial Statements'!I24</f>
        <v>0</v>
      </c>
      <c r="I106" s="68">
        <f>'Financial Statements'!J24</f>
        <v>0</v>
      </c>
      <c r="J106" s="68">
        <f>'Financial Statements'!K24</f>
        <v>0</v>
      </c>
      <c r="K106" s="68">
        <f>'Financial Statements'!L24</f>
        <v>0</v>
      </c>
      <c r="L106" s="68">
        <f>'Financial Statements'!M24</f>
        <v>0</v>
      </c>
      <c r="M106" s="68">
        <f>'Financial Statements'!N24</f>
        <v>0</v>
      </c>
      <c r="N106" s="68">
        <f>'Financial Statements'!O24</f>
        <v>0</v>
      </c>
      <c r="O106" s="68">
        <f>'Financial Statements'!P24</f>
        <v>0</v>
      </c>
      <c r="P106" s="68">
        <f>'Financial Statements'!Q24</f>
        <v>0</v>
      </c>
      <c r="Q106" s="68">
        <f>'Financial Statements'!R24</f>
        <v>0</v>
      </c>
    </row>
    <row r="107" spans="1:17">
      <c r="A107" t="s">
        <v>211</v>
      </c>
      <c r="B107" s="189">
        <f>'Financial Statements'!C26</f>
        <v>0</v>
      </c>
      <c r="C107" s="189">
        <f>'Financial Statements'!D26</f>
        <v>0</v>
      </c>
      <c r="D107" s="189">
        <f>'Financial Statements'!E26</f>
        <v>0</v>
      </c>
      <c r="E107" s="189">
        <f>'Financial Statements'!F26</f>
        <v>0</v>
      </c>
      <c r="F107" s="68">
        <f>'Financial Statements'!G26</f>
        <v>0</v>
      </c>
      <c r="G107" s="68">
        <f>'Financial Statements'!H26</f>
        <v>0</v>
      </c>
      <c r="H107" s="68">
        <f>'Financial Statements'!I26</f>
        <v>0</v>
      </c>
      <c r="I107" s="68">
        <f>'Financial Statements'!J26</f>
        <v>0</v>
      </c>
      <c r="J107" s="68">
        <f>'Financial Statements'!K26</f>
        <v>0</v>
      </c>
      <c r="K107" s="68">
        <f>'Financial Statements'!L26</f>
        <v>0</v>
      </c>
      <c r="L107" s="68">
        <f>'Financial Statements'!M26</f>
        <v>0</v>
      </c>
      <c r="M107" s="68">
        <f>'Financial Statements'!N26</f>
        <v>0</v>
      </c>
      <c r="N107" s="68">
        <f>'Financial Statements'!O26</f>
        <v>0</v>
      </c>
      <c r="O107" s="68">
        <f>'Financial Statements'!P26</f>
        <v>0</v>
      </c>
      <c r="P107" s="68">
        <f>'Financial Statements'!Q26</f>
        <v>0</v>
      </c>
      <c r="Q107" s="68">
        <f>'Financial Statements'!R26</f>
        <v>0</v>
      </c>
    </row>
    <row r="108" spans="1:17">
      <c r="A108" t="s">
        <v>212</v>
      </c>
      <c r="B108" s="189">
        <f>SUM(B103:B107)</f>
        <v>-1153146.82964095</v>
      </c>
      <c r="C108" s="189">
        <f>SUM(C103:C107)</f>
        <v>960513.925548375</v>
      </c>
      <c r="D108" s="189">
        <f>SUM(D103:D107)</f>
        <v>1484311.83469364</v>
      </c>
      <c r="E108" s="189">
        <f>SUM(E103:E107)</f>
        <v>1447146.69158191</v>
      </c>
      <c r="F108" s="68">
        <f t="shared" ref="F108:Q108" si="22">SUM(F103:F107)</f>
        <v>1551354.36278931</v>
      </c>
      <c r="G108" s="68">
        <f t="shared" si="22"/>
        <v>1600050.73856364</v>
      </c>
      <c r="H108" s="68">
        <f t="shared" si="22"/>
        <v>1650009.78664813</v>
      </c>
      <c r="I108" s="68">
        <f t="shared" si="22"/>
        <v>1701254.53798879</v>
      </c>
      <c r="J108" s="68">
        <f t="shared" si="22"/>
        <v>1753808.1055097</v>
      </c>
      <c r="K108" s="68">
        <f t="shared" si="22"/>
        <v>1807693.67132313</v>
      </c>
      <c r="L108" s="68">
        <f t="shared" si="22"/>
        <v>1862934.47348064</v>
      </c>
      <c r="M108" s="68">
        <f t="shared" si="22"/>
        <v>1919553.79226398</v>
      </c>
      <c r="N108" s="68">
        <f t="shared" si="22"/>
        <v>1977574.93601527</v>
      </c>
      <c r="O108" s="68">
        <f t="shared" si="22"/>
        <v>2037021.22650598</v>
      </c>
      <c r="P108" s="68">
        <f t="shared" si="22"/>
        <v>2097915.98384531</v>
      </c>
      <c r="Q108" s="68">
        <f t="shared" si="22"/>
        <v>2160853.46336067</v>
      </c>
    </row>
    <row r="109" spans="1:17">
      <c r="A109" t="s">
        <v>213</v>
      </c>
      <c r="B109" s="189">
        <f>-('Financial Statements'!C37-'Financial Statements'!B37)+('Financial Statements'!C48-'Financial Statements'!C44-'Financial Statements'!B48+'Financial Statements'!B44)</f>
        <v>435500</v>
      </c>
      <c r="C109" s="189">
        <f>-('Financial Statements'!D37-'Financial Statements'!C37)+('Financial Statements'!D48-'Financial Statements'!D44-'Financial Statements'!C48+'Financial Statements'!C44)</f>
        <v>1224700</v>
      </c>
      <c r="D109" s="189">
        <f>-('Financial Statements'!E37-'Financial Statements'!D37)+('Financial Statements'!E48-'Financial Statements'!E44-'Financial Statements'!D48+'Financial Statements'!D44)</f>
        <v>-347600</v>
      </c>
      <c r="E109" s="189">
        <f>-('Financial Statements'!F37-'Financial Statements'!E37)+('Financial Statements'!F48-'Financial Statements'!F44-'Financial Statements'!E48+'Financial Statements'!E44)</f>
        <v>-112100</v>
      </c>
      <c r="F109" s="68">
        <f>-('Financial Statements'!G37-'Financial Statements'!F37)+('Financial Statements'!G48-'Financial Statements'!G44-'Financial Statements'!F48+'Financial Statements'!F44)</f>
        <v>-45358.2101622121</v>
      </c>
      <c r="G109" s="68">
        <f>-('Financial Statements'!H37-'Financial Statements'!G37)+('Financial Statements'!H48-'Financial Statements'!H44-'Financial Statements'!G48+'Financial Statements'!G44)</f>
        <v>-46548.7602906525</v>
      </c>
      <c r="H109" s="68">
        <f>-('Financial Statements'!I37-'Financial Statements'!H37)+('Financial Statements'!I48-'Financial Statements'!I44-'Financial Statements'!H48+'Financial Statements'!H44)</f>
        <v>-47761.5371791655</v>
      </c>
      <c r="I109" s="68">
        <f>-('Financial Statements'!J37-'Financial Statements'!I37)+('Financial Statements'!J48-'Financial Statements'!J44-'Financial Statements'!I48+'Financial Statements'!I44)</f>
        <v>-48996.6400647229</v>
      </c>
      <c r="J109" s="68">
        <f>-('Financial Statements'!K37-'Financial Statements'!J37)+('Financial Statements'!K48-'Financial Statements'!K44-'Financial Statements'!J48+'Financial Statements'!J44)</f>
        <v>-50254.1564887771</v>
      </c>
      <c r="K109" s="68">
        <f>-('Financial Statements'!L37-'Financial Statements'!K37)+('Financial Statements'!L48-'Financial Statements'!L44-'Financial Statements'!K48+'Financial Statements'!K44)</f>
        <v>-51534.1618542271</v>
      </c>
      <c r="L109" s="68">
        <f>-('Financial Statements'!M37-'Financial Statements'!L37)+('Financial Statements'!M48-'Financial Statements'!M44-'Financial Statements'!L48+'Financial Statements'!L44)</f>
        <v>-52836.7189804679</v>
      </c>
      <c r="M109" s="68">
        <f>-('Financial Statements'!N37-'Financial Statements'!M37)+('Financial Statements'!N48-'Financial Statements'!N44-'Financial Statements'!M48+'Financial Statements'!M44)</f>
        <v>-54161.8776569907</v>
      </c>
      <c r="N109" s="68">
        <f>-('Financial Statements'!O37-'Financial Statements'!N37)+('Financial Statements'!O48-'Financial Statements'!O44-'Financial Statements'!N48+'Financial Statements'!N44)</f>
        <v>-55509.6741959611</v>
      </c>
      <c r="O109" s="68">
        <f>-('Financial Statements'!P37-'Financial Statements'!O37)+('Financial Statements'!P48-'Financial Statements'!P44-'Financial Statements'!O48+'Financial Statements'!O44)</f>
        <v>-56880.1309842886</v>
      </c>
      <c r="P109" s="68">
        <f>-('Financial Statements'!Q37-'Financial Statements'!P37)+('Financial Statements'!Q48-'Financial Statements'!Q44-'Financial Statements'!P48+'Financial Statements'!P44)</f>
        <v>-58273.2560357256</v>
      </c>
      <c r="Q109" s="68">
        <f>-('Financial Statements'!R37-'Financial Statements'!Q37)+('Financial Statements'!R48-'Financial Statements'!R44-'Financial Statements'!Q48+'Financial Statements'!Q44)</f>
        <v>-60021.4537167959</v>
      </c>
    </row>
    <row r="110" spans="1:17">
      <c r="A110" t="s">
        <v>161</v>
      </c>
      <c r="B110" s="189">
        <f>-('Financial Statements'!C38-'Financial Statements'!B38-'Financial Statements'!C18)</f>
        <v>-244600</v>
      </c>
      <c r="C110" s="189">
        <f>-('Financial Statements'!D38-'Financial Statements'!C38-'Financial Statements'!D18)</f>
        <v>-436500</v>
      </c>
      <c r="D110" s="189">
        <f>-('Financial Statements'!E38-'Financial Statements'!D38-'Financial Statements'!E18)</f>
        <v>-234500</v>
      </c>
      <c r="E110" s="189">
        <f>-('Financial Statements'!F38-'Financial Statements'!E38-'Financial Statements'!F18)</f>
        <v>-361000</v>
      </c>
      <c r="F110" s="68">
        <f>-('Financial Statements'!G38-'Financial Statements'!F38-'Financial Statements'!G18)</f>
        <v>-141757.862878174</v>
      </c>
      <c r="G110" s="68">
        <f>-('Financial Statements'!H38-'Financial Statements'!G38-'Financial Statements'!H18)</f>
        <v>-145478.68522221</v>
      </c>
      <c r="H110" s="68">
        <f>-('Financial Statements'!I38-'Financial Statements'!H38-'Financial Statements'!I18)</f>
        <v>-149268.972785337</v>
      </c>
      <c r="I110" s="68">
        <f>-('Financial Statements'!J38-'Financial Statements'!I38-'Financial Statements'!J18)</f>
        <v>-153129.035712542</v>
      </c>
      <c r="J110" s="68">
        <f>-('Financial Statements'!K38-'Financial Statements'!J38-'Financial Statements'!K18)</f>
        <v>-157059.147596822</v>
      </c>
      <c r="K110" s="68">
        <f>-('Financial Statements'!L38-'Financial Statements'!K38-'Financial Statements'!L18)</f>
        <v>-161059.5440946</v>
      </c>
      <c r="L110" s="68">
        <f>-('Financial Statements'!M38-'Financial Statements'!L38-'Financial Statements'!M18)</f>
        <v>-165130.421535144</v>
      </c>
      <c r="M110" s="68">
        <f>-('Financial Statements'!N38-'Financial Statements'!M38-'Financial Statements'!N18)</f>
        <v>-169271.935525373</v>
      </c>
      <c r="N110" s="68">
        <f>-('Financial Statements'!O38-'Financial Statements'!N38-'Financial Statements'!O18)</f>
        <v>-173484.199551567</v>
      </c>
      <c r="O110" s="68">
        <f>-('Financial Statements'!P38-'Financial Statements'!O38-'Financial Statements'!P18)</f>
        <v>-177767.283579478</v>
      </c>
      <c r="P110" s="68">
        <f>-('Financial Statements'!Q38-'Financial Statements'!P38-'Financial Statements'!Q18)</f>
        <v>-182121.212654438</v>
      </c>
      <c r="Q110" s="68">
        <f>-('Financial Statements'!R38-'Financial Statements'!Q38-'Financial Statements'!R18)</f>
        <v>-187584.849034071</v>
      </c>
    </row>
    <row r="111" spans="1:17">
      <c r="A111" t="s">
        <v>162</v>
      </c>
      <c r="B111" s="189">
        <f>-('Financial Statements'!C39-'Financial Statements'!B39)</f>
        <v>0</v>
      </c>
      <c r="C111" s="189">
        <f>-('Financial Statements'!D39-'Financial Statements'!C39)</f>
        <v>0</v>
      </c>
      <c r="D111" s="189">
        <f>-('Financial Statements'!E39-'Financial Statements'!D39)</f>
        <v>0</v>
      </c>
      <c r="E111" s="189">
        <f>-('Financial Statements'!F39-'Financial Statements'!E39)</f>
        <v>0</v>
      </c>
      <c r="F111" s="68">
        <f>-('Financial Statements'!G39-'Financial Statements'!F39)</f>
        <v>0</v>
      </c>
      <c r="G111" s="68">
        <f>-('Financial Statements'!H39-'Financial Statements'!G39)</f>
        <v>0</v>
      </c>
      <c r="H111" s="68">
        <f>-('Financial Statements'!I39-'Financial Statements'!H39)</f>
        <v>0</v>
      </c>
      <c r="I111" s="68">
        <f>-('Financial Statements'!J39-'Financial Statements'!I39)</f>
        <v>0</v>
      </c>
      <c r="J111" s="68">
        <f>-('Financial Statements'!K39-'Financial Statements'!J39)</f>
        <v>0</v>
      </c>
      <c r="K111" s="68">
        <f>-('Financial Statements'!L39-'Financial Statements'!K39)</f>
        <v>0</v>
      </c>
      <c r="L111" s="68">
        <f>-('Financial Statements'!M39-'Financial Statements'!L39)</f>
        <v>0</v>
      </c>
      <c r="M111" s="68">
        <f>-('Financial Statements'!N39-'Financial Statements'!M39)</f>
        <v>0</v>
      </c>
      <c r="N111" s="68">
        <f>-('Financial Statements'!O39-'Financial Statements'!N39)</f>
        <v>0</v>
      </c>
      <c r="O111" s="68">
        <f>-('Financial Statements'!P39-'Financial Statements'!O39)</f>
        <v>0</v>
      </c>
      <c r="P111" s="68">
        <f>-('Financial Statements'!Q39-'Financial Statements'!P39)</f>
        <v>0</v>
      </c>
      <c r="Q111" s="68">
        <f>-('Financial Statements'!R39-'Financial Statements'!Q39)</f>
        <v>0</v>
      </c>
    </row>
    <row r="112" spans="1:17">
      <c r="A112" t="s">
        <v>163</v>
      </c>
      <c r="B112" s="189">
        <f>-('Financial Statements'!C40-'Financial Statements'!B40)</f>
        <v>-660100</v>
      </c>
      <c r="C112" s="189">
        <f>-('Financial Statements'!D40-'Financial Statements'!C40)</f>
        <v>602000</v>
      </c>
      <c r="D112" s="189">
        <f>-('Financial Statements'!E40-'Financial Statements'!D40)</f>
        <v>-1100</v>
      </c>
      <c r="E112" s="189">
        <f>-('Financial Statements'!F40-'Financial Statements'!E40)</f>
        <v>0</v>
      </c>
      <c r="F112" s="68">
        <f>-('Financial Statements'!G40-'Financial Statements'!F40)</f>
        <v>-160979.53633167</v>
      </c>
      <c r="G112" s="68">
        <f>-('Financial Statements'!H40-'Financial Statements'!G40)</f>
        <v>-165204.884002368</v>
      </c>
      <c r="H112" s="68">
        <f>-('Financial Statements'!I40-'Financial Statements'!H40)</f>
        <v>-169509.116036398</v>
      </c>
      <c r="I112" s="68">
        <f>-('Financial Statements'!J40-'Financial Statements'!I40)</f>
        <v>-173892.584632893</v>
      </c>
      <c r="J112" s="68">
        <f>-('Financial Statements'!K40-'Financial Statements'!J40)</f>
        <v>-178355.600482719</v>
      </c>
      <c r="K112" s="68">
        <f>-('Financial Statements'!L40-'Financial Statements'!K40)</f>
        <v>-182898.431196164</v>
      </c>
      <c r="L112" s="68">
        <f>-('Financial Statements'!M40-'Financial Statements'!L40)</f>
        <v>-187521.299723781</v>
      </c>
      <c r="M112" s="68">
        <f>-('Financial Statements'!N40-'Financial Statements'!M40)</f>
        <v>-192224.382772029</v>
      </c>
      <c r="N112" s="68">
        <f>-('Financial Statements'!O40-'Financial Statements'!N40)</f>
        <v>-197007.809215373</v>
      </c>
      <c r="O112" s="68">
        <f>-('Financial Statements'!P40-'Financial Statements'!O40)</f>
        <v>-201871.658506577</v>
      </c>
      <c r="P112" s="68">
        <f>-('Financial Statements'!Q40-'Financial Statements'!P40)</f>
        <v>-206815.959086999</v>
      </c>
      <c r="Q112" s="68">
        <f>-('Financial Statements'!R40-'Financial Statements'!Q40)</f>
        <v>-213020.43785961</v>
      </c>
    </row>
    <row r="113" spans="1:17">
      <c r="A113" t="s">
        <v>164</v>
      </c>
      <c r="B113" s="189">
        <f>-('Financial Statements'!C41-'Financial Statements'!B41)</f>
        <v>3453300</v>
      </c>
      <c r="C113" s="189">
        <f>-('Financial Statements'!D41-'Financial Statements'!C41)</f>
        <v>-6262800</v>
      </c>
      <c r="D113" s="189">
        <f>-('Financial Statements'!E41-'Financial Statements'!D41)</f>
        <v>-104400</v>
      </c>
      <c r="E113" s="189">
        <f>-('Financial Statements'!F41-'Financial Statements'!E41)</f>
        <v>-106400</v>
      </c>
      <c r="F113" s="68">
        <f>-('Financial Statements'!G41-'Financial Statements'!F41)</f>
        <v>-207411.070048607</v>
      </c>
      <c r="G113" s="68">
        <f>-('Financial Statements'!H41-'Financial Statements'!G41)</f>
        <v>-212855.140156383</v>
      </c>
      <c r="H113" s="68">
        <f>-('Financial Statements'!I41-'Financial Statements'!H41)</f>
        <v>-218400.847345379</v>
      </c>
      <c r="I113" s="68">
        <f>-('Financial Statements'!J41-'Financial Statements'!I41)</f>
        <v>-224048.645399971</v>
      </c>
      <c r="J113" s="68">
        <f>-('Financial Statements'!K41-'Financial Statements'!J41)</f>
        <v>-229798.934623997</v>
      </c>
      <c r="K113" s="68">
        <f>-('Financial Statements'!L41-'Financial Statements'!K41)</f>
        <v>-235652.059814915</v>
      </c>
      <c r="L113" s="68">
        <f>-('Financial Statements'!M41-'Financial Statements'!L41)</f>
        <v>-241608.308229194</v>
      </c>
      <c r="M113" s="68">
        <f>-('Financial Statements'!N41-'Financial Statements'!M41)</f>
        <v>-247667.907540965</v>
      </c>
      <c r="N113" s="68">
        <f>-('Financial Statements'!O41-'Financial Statements'!N41)</f>
        <v>-253831.02379612</v>
      </c>
      <c r="O113" s="68">
        <f>-('Financial Statements'!P41-'Financial Statements'!O41)</f>
        <v>-260097.759364082</v>
      </c>
      <c r="P113" s="68">
        <f>-('Financial Statements'!Q41-'Financial Statements'!P41)</f>
        <v>-266468.150889589</v>
      </c>
      <c r="Q113" s="68">
        <f>-('Financial Statements'!R41-'Financial Statements'!Q41)</f>
        <v>-274462.195416277</v>
      </c>
    </row>
    <row r="114" spans="1:17">
      <c r="A114" t="s">
        <v>149</v>
      </c>
      <c r="B114" s="189">
        <f>('Financial Statements'!C50-'Financial Statements'!B50)</f>
        <v>-20000</v>
      </c>
      <c r="C114" s="189">
        <f>('Financial Statements'!D50-'Financial Statements'!C50)</f>
        <v>4742300</v>
      </c>
      <c r="D114" s="189">
        <f>('Financial Statements'!E50-'Financial Statements'!D50)</f>
        <v>174300</v>
      </c>
      <c r="E114" s="189">
        <f>('Financial Statements'!F50-'Financial Statements'!E50)</f>
        <v>-18200</v>
      </c>
      <c r="F114" s="68">
        <f>('Financial Statements'!G50-'Financial Statements'!F50)</f>
        <v>171684.276563307</v>
      </c>
      <c r="G114" s="68">
        <f>('Financial Statements'!H50-'Financial Statements'!G50)</f>
        <v>176190.599382984</v>
      </c>
      <c r="H114" s="68">
        <f>('Financial Statements'!I50-'Financial Statements'!H50)</f>
        <v>180781.052180664</v>
      </c>
      <c r="I114" s="68">
        <f>('Financial Statements'!J50-'Financial Statements'!I50)</f>
        <v>185456.010575851</v>
      </c>
      <c r="J114" s="68">
        <f>('Financial Statements'!K50-'Financial Statements'!J50)</f>
        <v>190215.805919588</v>
      </c>
      <c r="K114" s="68">
        <f>('Financial Statements'!L50-'Financial Statements'!K50)</f>
        <v>195060.723617575</v>
      </c>
      <c r="L114" s="68">
        <f>('Financial Statements'!M50-'Financial Statements'!L50)</f>
        <v>199991.001446031</v>
      </c>
      <c r="M114" s="68">
        <f>('Financial Statements'!N50-'Financial Statements'!M50)</f>
        <v>205006.827861955</v>
      </c>
      <c r="N114" s="68">
        <f>('Financial Statements'!O50-'Financial Statements'!N50)</f>
        <v>210108.340309646</v>
      </c>
      <c r="O114" s="68">
        <f>('Financial Statements'!P50-'Financial Statements'!O50)</f>
        <v>215295.623525276</v>
      </c>
      <c r="P114" s="68">
        <f>('Financial Statements'!Q50-'Financial Statements'!P50)</f>
        <v>220568.707841487</v>
      </c>
      <c r="Q114" s="68">
        <f>('Financial Statements'!R50-'Financial Statements'!Q50)</f>
        <v>227185.769076732</v>
      </c>
    </row>
    <row r="115" spans="1:17">
      <c r="A115" t="s">
        <v>173</v>
      </c>
      <c r="B115" s="189">
        <f>'Financial Statements'!C65</f>
        <v>0</v>
      </c>
      <c r="C115" s="189">
        <f>'Financial Statements'!D65</f>
        <v>-65300</v>
      </c>
      <c r="D115" s="189">
        <f>'Financial Statements'!E65</f>
        <v>0</v>
      </c>
      <c r="E115" s="189">
        <f>'Financial Statements'!F65</f>
        <v>0</v>
      </c>
      <c r="F115" s="68">
        <f>'Financial Statements'!G65</f>
        <v>0</v>
      </c>
      <c r="G115" s="68">
        <f>'Financial Statements'!H65</f>
        <v>0</v>
      </c>
      <c r="H115" s="68">
        <f>'Financial Statements'!I65</f>
        <v>0</v>
      </c>
      <c r="I115" s="68">
        <f>'Financial Statements'!J65</f>
        <v>0</v>
      </c>
      <c r="J115" s="68">
        <f>'Financial Statements'!K65</f>
        <v>0</v>
      </c>
      <c r="K115" s="68">
        <f>'Financial Statements'!L65</f>
        <v>0</v>
      </c>
      <c r="L115" s="68">
        <f>'Financial Statements'!M65</f>
        <v>0</v>
      </c>
      <c r="M115" s="68">
        <f>'Financial Statements'!N65</f>
        <v>0</v>
      </c>
      <c r="N115" s="68">
        <f>'Financial Statements'!O65</f>
        <v>0</v>
      </c>
      <c r="O115" s="68">
        <f>'Financial Statements'!P65</f>
        <v>0</v>
      </c>
      <c r="P115" s="68">
        <f>'Financial Statements'!Q65</f>
        <v>0</v>
      </c>
      <c r="Q115" s="68">
        <f>'Financial Statements'!R65</f>
        <v>0</v>
      </c>
    </row>
    <row r="116" ht="15.95" spans="1:17">
      <c r="A116" t="s">
        <v>194</v>
      </c>
      <c r="B116" s="190">
        <f>SUM(B108:B115)</f>
        <v>1810953.17035905</v>
      </c>
      <c r="C116" s="190">
        <f>SUM(C108:C115)</f>
        <v>764913.925548376</v>
      </c>
      <c r="D116" s="190">
        <f>SUM(D108:D115)</f>
        <v>971011.834693643</v>
      </c>
      <c r="E116" s="190">
        <f>SUM(E108:E115)</f>
        <v>849446.691581914</v>
      </c>
      <c r="F116" s="192">
        <f t="shared" ref="F116:Q116" si="23">SUM(F108:F115)</f>
        <v>1167531.95993196</v>
      </c>
      <c r="G116" s="192">
        <f t="shared" si="23"/>
        <v>1206153.86827501</v>
      </c>
      <c r="H116" s="192">
        <f t="shared" si="23"/>
        <v>1245850.36548252</v>
      </c>
      <c r="I116" s="192">
        <f t="shared" si="23"/>
        <v>1286643.64275451</v>
      </c>
      <c r="J116" s="192">
        <f t="shared" si="23"/>
        <v>1328556.07223697</v>
      </c>
      <c r="K116" s="192">
        <f t="shared" si="23"/>
        <v>1371610.1979808</v>
      </c>
      <c r="L116" s="192">
        <f t="shared" si="23"/>
        <v>1415828.72645808</v>
      </c>
      <c r="M116" s="192">
        <f t="shared" si="23"/>
        <v>1461234.51663058</v>
      </c>
      <c r="N116" s="192">
        <f t="shared" si="23"/>
        <v>1507850.5695659</v>
      </c>
      <c r="O116" s="192">
        <f t="shared" si="23"/>
        <v>1555700.01759683</v>
      </c>
      <c r="P116" s="192">
        <f t="shared" si="23"/>
        <v>1604806.11302004</v>
      </c>
      <c r="Q116" s="192">
        <f t="shared" si="23"/>
        <v>1652950.29641065</v>
      </c>
    </row>
    <row r="117" ht="15.95"/>
    <row r="118" spans="1:18">
      <c r="A118" s="100" t="s">
        <v>214</v>
      </c>
      <c r="B118" s="165"/>
      <c r="C118" s="165"/>
      <c r="D118" s="165"/>
      <c r="E118" s="165"/>
      <c r="F118" s="165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</row>
    <row r="119" spans="1:18">
      <c r="A119" s="194" t="s">
        <v>215</v>
      </c>
      <c r="B119" s="165"/>
      <c r="C119" s="165"/>
      <c r="D119" s="165"/>
      <c r="E119" s="165"/>
      <c r="F119" s="165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</row>
    <row r="120" spans="1:18">
      <c r="A120" s="16" t="s">
        <v>216</v>
      </c>
      <c r="B120" s="165">
        <f>(('Financial Statements'!C37-'Financial Statements'!C33-'Financial Statements'!C48+'Financial Statements'!C44)-('Financial Statements'!B37-'Financial Statements'!B33-'Financial Statements'!B48+'Financial Statements'!B44))/('Financial Statements'!B75-'Financial Statements'!B33)</f>
        <v>0.0183294367693943</v>
      </c>
      <c r="C120" s="165">
        <f>(('Financial Statements'!D37-'Financial Statements'!D33-'Financial Statements'!D48+'Financial Statements'!D44)-('Financial Statements'!C37-'Financial Statements'!C33-'Financial Statements'!C48+'Financial Statements'!C44))/('Financial Statements'!C75-'Financial Statements'!C33)</f>
        <v>-0.144163187655234</v>
      </c>
      <c r="D120" s="165">
        <f>(('Financial Statements'!E37-'Financial Statements'!E33-'Financial Statements'!E48+'Financial Statements'!E44)-('Financial Statements'!D37-'Financial Statements'!D33-'Financial Statements'!D48+'Financial Statements'!D44))/('Financial Statements'!D75-'Financial Statements'!D33)</f>
        <v>-0.0561381209617625</v>
      </c>
      <c r="E120" s="165">
        <f>(('Financial Statements'!F37-'Financial Statements'!F33-'Financial Statements'!F48+'Financial Statements'!F44)-('Financial Statements'!E37-'Financial Statements'!E33-'Financial Statements'!E48+'Financial Statements'!E44))/('Financial Statements'!E75-'Financial Statements'!E33)</f>
        <v>0.0593949977342809</v>
      </c>
      <c r="F120" s="176">
        <f>(('Financial Statements'!G37-'Financial Statements'!G33-'Financial Statements'!G48+'Financial Statements'!G44)-('Financial Statements'!F37-'Financial Statements'!F33-'Financial Statements'!F48+'Financial Statements'!F44))/('Financial Statements'!F75-'Financial Statements'!F33)</f>
        <v>0.00123639369174706</v>
      </c>
      <c r="G120" s="176">
        <f>(('Financial Statements'!H37-'Financial Statements'!H33-'Financial Statements'!H48+'Financial Statements'!H44)-('Financial Statements'!G37-'Financial Statements'!G33-'Financial Statements'!G48+'Financial Statements'!G44))/('Financial Statements'!G75-'Financial Statements'!G33)</f>
        <v>0.00122990561203874</v>
      </c>
      <c r="H120" s="176">
        <f>(('Financial Statements'!I37-'Financial Statements'!I33-'Financial Statements'!I48+'Financial Statements'!I44)-('Financial Statements'!H37-'Financial Statements'!H33-'Financial Statements'!H48+'Financial Statements'!H44))/('Financial Statements'!H75-'Financial Statements'!H33)</f>
        <v>0.00122341753233047</v>
      </c>
      <c r="I120" s="176">
        <f>(('Financial Statements'!J37-'Financial Statements'!J33-'Financial Statements'!J48+'Financial Statements'!J44)-('Financial Statements'!I37-'Financial Statements'!I33-'Financial Statements'!I48+'Financial Statements'!I44))/('Financial Statements'!I75-'Financial Statements'!I33)</f>
        <v>0.00121692945262208</v>
      </c>
      <c r="J120" s="176">
        <f>(('Financial Statements'!K37-'Financial Statements'!K33-'Financial Statements'!K48+'Financial Statements'!K44)-('Financial Statements'!J37-'Financial Statements'!J33-'Financial Statements'!J48+'Financial Statements'!J44))/('Financial Statements'!J75-'Financial Statements'!J33)</f>
        <v>0.00121044137291361</v>
      </c>
      <c r="K120" s="176">
        <f>(('Financial Statements'!L37-'Financial Statements'!L33-'Financial Statements'!L48+'Financial Statements'!L44)-('Financial Statements'!K37-'Financial Statements'!K33-'Financial Statements'!K48+'Financial Statements'!K44))/('Financial Statements'!K75-'Financial Statements'!K33)</f>
        <v>0.00120395329320563</v>
      </c>
      <c r="L120" s="176">
        <f>(('Financial Statements'!M37-'Financial Statements'!M33-'Financial Statements'!M48+'Financial Statements'!M44)-('Financial Statements'!L37-'Financial Statements'!L33-'Financial Statements'!L48+'Financial Statements'!L44))/('Financial Statements'!L75-'Financial Statements'!L33)</f>
        <v>0.00119746521349717</v>
      </c>
      <c r="M120" s="176">
        <f>(('Financial Statements'!N37-'Financial Statements'!N33-'Financial Statements'!N48+'Financial Statements'!N44)-('Financial Statements'!M37-'Financial Statements'!M33-'Financial Statements'!M48+'Financial Statements'!M44))/('Financial Statements'!M75-'Financial Statements'!M33)</f>
        <v>0.00119097713378874</v>
      </c>
      <c r="N120" s="176">
        <f>(('Financial Statements'!O37-'Financial Statements'!O33-'Financial Statements'!O48+'Financial Statements'!O44)-('Financial Statements'!N37-'Financial Statements'!N33-'Financial Statements'!N48+'Financial Statements'!N44))/('Financial Statements'!N75-'Financial Statements'!N33)</f>
        <v>0.00118448905408052</v>
      </c>
      <c r="O120" s="176">
        <f>(('Financial Statements'!P37-'Financial Statements'!P33-'Financial Statements'!P48+'Financial Statements'!P44)-('Financial Statements'!O37-'Financial Statements'!O33-'Financial Statements'!O48+'Financial Statements'!O44))/('Financial Statements'!O75-'Financial Statements'!O33)</f>
        <v>0.00117800097437208</v>
      </c>
      <c r="P120" s="176">
        <f>(('Financial Statements'!Q37-'Financial Statements'!Q33-'Financial Statements'!Q48+'Financial Statements'!Q44)-('Financial Statements'!P37-'Financial Statements'!P33-'Financial Statements'!P48+'Financial Statements'!P44))/('Financial Statements'!P75-'Financial Statements'!P33)</f>
        <v>0.00117151289466399</v>
      </c>
      <c r="Q120" s="176">
        <f>(('Financial Statements'!R37-'Financial Statements'!R33-'Financial Statements'!R48+'Financial Statements'!R44)-('Financial Statements'!Q37-'Financial Statements'!Q33-'Financial Statements'!Q48+'Financial Statements'!Q44))/('Financial Statements'!Q75-'Financial Statements'!Q33)</f>
        <v>0.00117151289466387</v>
      </c>
      <c r="R120" s="176"/>
    </row>
    <row r="121" spans="1:18">
      <c r="A121" s="16" t="s">
        <v>217</v>
      </c>
      <c r="B121" s="165">
        <f>(('Financial Statements'!C42-'Financial Statements'!C37-'Financial Statements'!C52+'Financial Statements'!C49+'Financial Statements'!C48+'Financial Statements'!C53)-('Financial Statements'!B42-'Financial Statements'!B37-'Financial Statements'!B52+'Financial Statements'!B49+'Financial Statements'!B48+'Financial Statements'!B53))/('Financial Statements'!B75-'Financial Statements'!B33)</f>
        <v>-0.213951115834219</v>
      </c>
      <c r="C121" s="165">
        <f>(('Financial Statements'!D42-'Financial Statements'!D37-'Financial Statements'!D52+'Financial Statements'!D49+'Financial Statements'!D48+'Financial Statements'!D53)-('Financial Statements'!C42-'Financial Statements'!C37-'Financial Statements'!C52+'Financial Statements'!C49+'Financial Statements'!C48+'Financial Statements'!C53))/('Financial Statements'!C75-'Financial Statements'!C33)</f>
        <v>0.141996512180944</v>
      </c>
      <c r="D121" s="165">
        <f>(('Financial Statements'!E42-'Financial Statements'!E37-'Financial Statements'!E52+'Financial Statements'!E49+'Financial Statements'!E48+'Financial Statements'!E53)-('Financial Statements'!D42-'Financial Statements'!D37-'Financial Statements'!D52+'Financial Statements'!D49+'Financial Statements'!D48+'Financial Statements'!D53))/('Financial Statements'!D75-'Financial Statements'!D33)</f>
        <v>0.0145005825654062</v>
      </c>
      <c r="E121" s="165">
        <f>(('Financial Statements'!F42-'Financial Statements'!F37-'Financial Statements'!F52+'Financial Statements'!F49+'Financial Statements'!F48+'Financial Statements'!F53)-('Financial Statements'!E42-'Financial Statements'!E37-'Financial Statements'!E52+'Financial Statements'!E49+'Financial Statements'!E48+'Financial Statements'!E53))/('Financial Statements'!E75-'Financial Statements'!E33)</f>
        <v>0.0565766641983223</v>
      </c>
      <c r="F121" s="176">
        <f>(('Financial Statements'!G42-'Financial Statements'!G37-'Financial Statements'!G52+'Financial Statements'!G49+'Financial Statements'!G48+'Financial Statements'!G53)-('Financial Statements'!F42-'Financial Statements'!F37-'Financial Statements'!F52+'Financial Statements'!F49+'Financial Statements'!F48+'Financial Statements'!F53))/('Financial Statements'!F75-'Financial Statements'!F33)</f>
        <v>0.0304250680995499</v>
      </c>
      <c r="G121" s="176">
        <f>(('Financial Statements'!H42-'Financial Statements'!H37-'Financial Statements'!H52+'Financial Statements'!H49+'Financial Statements'!H48+'Financial Statements'!H53)-('Financial Statements'!G42-'Financial Statements'!G37-'Financial Statements'!G52+'Financial Statements'!G49+'Financial Statements'!G48+'Financial Statements'!G53))/('Financial Statements'!G75-'Financial Statements'!G33)</f>
        <v>0.0302654100001282</v>
      </c>
      <c r="H121" s="176">
        <f>(('Financial Statements'!I42-'Financial Statements'!I37-'Financial Statements'!I52+'Financial Statements'!I49+'Financial Statements'!I48+'Financial Statements'!I53)-('Financial Statements'!H42-'Financial Statements'!H37-'Financial Statements'!H52+'Financial Statements'!H49+'Financial Statements'!H48+'Financial Statements'!H53))/('Financial Statements'!H75-'Financial Statements'!H33)</f>
        <v>0.0301057519007073</v>
      </c>
      <c r="I121" s="176">
        <f>(('Financial Statements'!J42-'Financial Statements'!J37-'Financial Statements'!J52+'Financial Statements'!J49+'Financial Statements'!J48+'Financial Statements'!J53)-('Financial Statements'!I42-'Financial Statements'!I37-'Financial Statements'!I52+'Financial Statements'!I49+'Financial Statements'!I48+'Financial Statements'!I53))/('Financial Statements'!I75-'Financial Statements'!I33)</f>
        <v>0.0299460938012855</v>
      </c>
      <c r="J121" s="176">
        <f>(('Financial Statements'!K42-'Financial Statements'!K37-'Financial Statements'!K52+'Financial Statements'!K49+'Financial Statements'!K48+'Financial Statements'!K53)-('Financial Statements'!J42-'Financial Statements'!J37-'Financial Statements'!J52+'Financial Statements'!J49+'Financial Statements'!J48+'Financial Statements'!J53))/('Financial Statements'!J75-'Financial Statements'!J33)</f>
        <v>0.0297864357018647</v>
      </c>
      <c r="K121" s="176">
        <f>(('Financial Statements'!L42-'Financial Statements'!L37-'Financial Statements'!L52+'Financial Statements'!L49+'Financial Statements'!L48+'Financial Statements'!L53)-('Financial Statements'!K42-'Financial Statements'!K37-'Financial Statements'!K52+'Financial Statements'!K49+'Financial Statements'!K48+'Financial Statements'!K53))/('Financial Statements'!K75-'Financial Statements'!K33)</f>
        <v>0.0296267776024425</v>
      </c>
      <c r="L121" s="176">
        <f>(('Financial Statements'!M42-'Financial Statements'!M37-'Financial Statements'!M52+'Financial Statements'!M49+'Financial Statements'!M48+'Financial Statements'!M53)-('Financial Statements'!L42-'Financial Statements'!L37-'Financial Statements'!L52+'Financial Statements'!L49+'Financial Statements'!L48+'Financial Statements'!L53))/('Financial Statements'!L75-'Financial Statements'!L33)</f>
        <v>0.0294671195030218</v>
      </c>
      <c r="M121" s="176">
        <f>(('Financial Statements'!N42-'Financial Statements'!N37-'Financial Statements'!N52+'Financial Statements'!N49+'Financial Statements'!N48+'Financial Statements'!N53)-('Financial Statements'!M42-'Financial Statements'!M37-'Financial Statements'!M52+'Financial Statements'!M49+'Financial Statements'!M48+'Financial Statements'!M53))/('Financial Statements'!M75-'Financial Statements'!M33)</f>
        <v>0.0293074614036004</v>
      </c>
      <c r="N121" s="176">
        <f>(('Financial Statements'!O42-'Financial Statements'!O37-'Financial Statements'!O52+'Financial Statements'!O49+'Financial Statements'!O48+'Financial Statements'!O53)-('Financial Statements'!N42-'Financial Statements'!N37-'Financial Statements'!N52+'Financial Statements'!N49+'Financial Statements'!N48+'Financial Statements'!N53))/('Financial Statements'!N75-'Financial Statements'!N33)</f>
        <v>0.0291478033041787</v>
      </c>
      <c r="O121" s="176">
        <f>(('Financial Statements'!P42-'Financial Statements'!P37-'Financial Statements'!P52+'Financial Statements'!P49+'Financial Statements'!P48+'Financial Statements'!P53)-('Financial Statements'!O42-'Financial Statements'!O37-'Financial Statements'!O52+'Financial Statements'!O49+'Financial Statements'!O48+'Financial Statements'!O53))/('Financial Statements'!O75-'Financial Statements'!O33)</f>
        <v>0.0289881452047571</v>
      </c>
      <c r="P121" s="176">
        <f>(('Financial Statements'!Q42-'Financial Statements'!Q37-'Financial Statements'!Q52+'Financial Statements'!Q49+'Financial Statements'!Q48+'Financial Statements'!Q53)-('Financial Statements'!P42-'Financial Statements'!P37-'Financial Statements'!P52+'Financial Statements'!P49+'Financial Statements'!P48+'Financial Statements'!P53))/('Financial Statements'!P75-'Financial Statements'!P33)</f>
        <v>0.0288284871053363</v>
      </c>
      <c r="Q121" s="176">
        <f>(('Financial Statements'!R42-'Financial Statements'!R37-'Financial Statements'!R52+'Financial Statements'!R49+'Financial Statements'!R48+'Financial Statements'!R53)-('Financial Statements'!Q42-'Financial Statements'!Q37-'Financial Statements'!Q52+'Financial Statements'!Q49+'Financial Statements'!Q48+'Financial Statements'!Q53))/('Financial Statements'!Q75-'Financial Statements'!Q33)</f>
        <v>0.028828487105336</v>
      </c>
      <c r="R121" s="176"/>
    </row>
    <row r="122" spans="1:18">
      <c r="A122" s="16" t="s">
        <v>218</v>
      </c>
      <c r="B122" s="165">
        <f>('Financial Statements'!C75-'Financial Statements'!C33-'Financial Statements'!B75+'Financial Statements'!B33)/('Financial Statements'!B75-'Financial Statements'!B33)</f>
        <v>-0.195621679064825</v>
      </c>
      <c r="C122" s="165">
        <f>('Financial Statements'!D75-'Financial Statements'!D33-'Financial Statements'!C75+'Financial Statements'!C33)/('Financial Statements'!C75-'Financial Statements'!C33)</f>
        <v>-0.00216667547429055</v>
      </c>
      <c r="D122" s="165">
        <f>('Financial Statements'!E75-'Financial Statements'!E33-'Financial Statements'!D75+'Financial Statements'!D33)/('Financial Statements'!D75-'Financial Statements'!D33)</f>
        <v>-0.0416375383963563</v>
      </c>
      <c r="E122" s="165">
        <f>('Financial Statements'!F75-'Financial Statements'!F33-'Financial Statements'!E75+'Financial Statements'!E33)/('Financial Statements'!E75-'Financial Statements'!E33)</f>
        <v>0.115971661932603</v>
      </c>
      <c r="F122" s="176">
        <f>('Financial Statements'!G75-'Financial Statements'!G33-'Financial Statements'!F75+'Financial Statements'!F33)/('Financial Statements'!F75-'Financial Statements'!F33)</f>
        <v>0.0316614617912973</v>
      </c>
      <c r="G122" s="176">
        <f>('Financial Statements'!H75-'Financial Statements'!H33-'Financial Statements'!G75+'Financial Statements'!G33)/('Financial Statements'!G75-'Financial Statements'!G33)</f>
        <v>0.0314953156121666</v>
      </c>
      <c r="H122" s="176">
        <f>('Financial Statements'!I75-'Financial Statements'!I33-'Financial Statements'!H75+'Financial Statements'!H33)/('Financial Statements'!H75-'Financial Statements'!H33)</f>
        <v>0.031329169433038</v>
      </c>
      <c r="I122" s="176">
        <f>('Financial Statements'!J75-'Financial Statements'!J33-'Financial Statements'!I75+'Financial Statements'!I33)/('Financial Statements'!I75-'Financial Statements'!I33)</f>
        <v>0.0311630232539077</v>
      </c>
      <c r="J122" s="176">
        <f>('Financial Statements'!K75-'Financial Statements'!K33-'Financial Statements'!J75+'Financial Statements'!J33)/('Financial Statements'!J75-'Financial Statements'!J33)</f>
        <v>0.0309968770747781</v>
      </c>
      <c r="K122" s="176">
        <f>('Financial Statements'!L75-'Financial Statements'!L33-'Financial Statements'!K75+'Financial Statements'!K33)/('Financial Statements'!K75-'Financial Statements'!K33)</f>
        <v>0.0308307308956482</v>
      </c>
      <c r="L122" s="176">
        <f>('Financial Statements'!M75-'Financial Statements'!M33-'Financial Statements'!L75+'Financial Statements'!L33)/('Financial Statements'!L75-'Financial Statements'!L33)</f>
        <v>0.0306645847165191</v>
      </c>
      <c r="M122" s="176">
        <f>('Financial Statements'!N75-'Financial Statements'!N33-'Financial Statements'!M75+'Financial Statements'!M33)/('Financial Statements'!M75-'Financial Statements'!M33)</f>
        <v>0.0304984385373888</v>
      </c>
      <c r="N122" s="176">
        <f>('Financial Statements'!O75-'Financial Statements'!O33-'Financial Statements'!N75+'Financial Statements'!N33)/('Financial Statements'!N75-'Financial Statements'!N33)</f>
        <v>0.0303322923582593</v>
      </c>
      <c r="O122" s="176">
        <f>('Financial Statements'!P75-'Financial Statements'!P33-'Financial Statements'!O75+'Financial Statements'!O33)/('Financial Statements'!O75-'Financial Statements'!O33)</f>
        <v>0.0301661461791292</v>
      </c>
      <c r="P122" s="176">
        <f>('Financial Statements'!Q75-'Financial Statements'!Q33-'Financial Statements'!P75+'Financial Statements'!P33)/('Financial Statements'!P75-'Financial Statements'!P33)</f>
        <v>0.0300000000000002</v>
      </c>
      <c r="Q122" s="176">
        <f>('Financial Statements'!R75-'Financial Statements'!R33-'Financial Statements'!Q75+'Financial Statements'!Q33)/('Financial Statements'!Q75-'Financial Statements'!Q33)</f>
        <v>0.0300000000000001</v>
      </c>
      <c r="R122" s="176"/>
    </row>
    <row r="123" spans="1:18">
      <c r="A123" s="16"/>
      <c r="B123" s="165"/>
      <c r="C123" s="165"/>
      <c r="D123" s="165"/>
      <c r="E123" s="165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</row>
    <row r="124" spans="1:18">
      <c r="A124" s="16" t="s">
        <v>219</v>
      </c>
      <c r="B124" s="165">
        <f>'Ratio Analysis'!C10</f>
        <v>0.0259737924524062</v>
      </c>
      <c r="C124" s="165">
        <f>'Ratio Analysis'!D10</f>
        <v>0.0345042128000772</v>
      </c>
      <c r="D124" s="165">
        <f>'Ratio Analysis'!E10</f>
        <v>0.0804081183187355</v>
      </c>
      <c r="E124" s="165">
        <f>'Ratio Analysis'!F10</f>
        <v>0.0318276079704265</v>
      </c>
      <c r="F124" s="176">
        <f>'Ratio Analysis'!G10</f>
        <v>0.0316614617912969</v>
      </c>
      <c r="G124" s="176">
        <f>'Ratio Analysis'!H10</f>
        <v>0.0314953156121671</v>
      </c>
      <c r="H124" s="176">
        <f>'Ratio Analysis'!I10</f>
        <v>0.0313291694330375</v>
      </c>
      <c r="I124" s="176">
        <f>'Ratio Analysis'!J10</f>
        <v>0.0311630232539077</v>
      </c>
      <c r="J124" s="176">
        <f>'Ratio Analysis'!K10</f>
        <v>0.0309968770747782</v>
      </c>
      <c r="K124" s="176">
        <f>'Ratio Analysis'!L10</f>
        <v>0.0308307308956484</v>
      </c>
      <c r="L124" s="176">
        <f>'Ratio Analysis'!M10</f>
        <v>0.0306645847165188</v>
      </c>
      <c r="M124" s="176">
        <f>'Ratio Analysis'!N10</f>
        <v>0.030498438537389</v>
      </c>
      <c r="N124" s="176">
        <f>'Ratio Analysis'!O10</f>
        <v>0.0303322923582594</v>
      </c>
      <c r="O124" s="176">
        <f>'Ratio Analysis'!P10</f>
        <v>0.0301661461791296</v>
      </c>
      <c r="P124" s="176">
        <f>'Ratio Analysis'!Q10</f>
        <v>0.03</v>
      </c>
      <c r="Q124" s="176">
        <f>'Ratio Analysis'!R10</f>
        <v>0.03</v>
      </c>
      <c r="R124" s="176"/>
    </row>
    <row r="125" spans="1:18">
      <c r="A125" s="16" t="s">
        <v>220</v>
      </c>
      <c r="B125" s="165">
        <f>-(('Financial Statements'!C12/('Financial Statements'!C75-'Financial Statements'!C33)-'Financial Statements'!B12/('Financial Statements'!B75-'Financial Statements'!B33)))/('Financial Statements'!C12/('Financial Statements'!C75-'Financial Statements'!C33))</f>
        <v>-0.215985508740478</v>
      </c>
      <c r="C125" s="165">
        <f>-(('Financial Statements'!D12/('Financial Statements'!D75-'Financial Statements'!D33)-'Financial Statements'!C12/('Financial Statements'!C75-'Financial Statements'!C33)))/('Financial Statements'!D12/('Financial Statements'!D75-'Financial Statements'!D33))</f>
        <v>-0.0354477901787476</v>
      </c>
      <c r="D125" s="165">
        <f>-(('Financial Statements'!E12/('Financial Statements'!E75-'Financial Statements'!E33)-'Financial Statements'!D12/('Financial Statements'!D75-'Financial Statements'!D33)))/('Financial Statements'!E12/('Financial Statements'!E75-'Financial Statements'!E33))</f>
        <v>-0.112962550582285</v>
      </c>
      <c r="E125" s="165">
        <f>-(('Financial Statements'!F12/('Financial Statements'!F75-'Financial Statements'!F33)-'Financial Statements'!E12/('Financial Statements'!E75-'Financial Statements'!E33)))/('Financial Statements'!F12/('Financial Statements'!F75-'Financial Statements'!F33))</f>
        <v>0.0815485584144094</v>
      </c>
      <c r="F125" s="176">
        <f>-(('Financial Statements'!G12/('Financial Statements'!G75-'Financial Statements'!G33)-'Financial Statements'!F12/('Financial Statements'!F75-'Financial Statements'!F33)))/('Financial Statements'!G12/('Financial Statements'!G75-'Financial Statements'!G33))</f>
        <v>0</v>
      </c>
      <c r="G125" s="176">
        <f>-(('Financial Statements'!H12/('Financial Statements'!H75-'Financial Statements'!H33)-'Financial Statements'!G12/('Financial Statements'!G75-'Financial Statements'!G33)))/('Financial Statements'!H12/('Financial Statements'!H75-'Financial Statements'!H33))</f>
        <v>0</v>
      </c>
      <c r="H125" s="176">
        <f>-(('Financial Statements'!I12/('Financial Statements'!I75-'Financial Statements'!I33)-'Financial Statements'!H12/('Financial Statements'!H75-'Financial Statements'!H33)))/('Financial Statements'!I12/('Financial Statements'!I75-'Financial Statements'!I33))</f>
        <v>0</v>
      </c>
      <c r="I125" s="176">
        <f>-(('Financial Statements'!J12/('Financial Statements'!J75-'Financial Statements'!J33)-'Financial Statements'!I12/('Financial Statements'!I75-'Financial Statements'!I33)))/('Financial Statements'!J12/('Financial Statements'!J75-'Financial Statements'!J33))</f>
        <v>0</v>
      </c>
      <c r="J125" s="176">
        <f>-(('Financial Statements'!K12/('Financial Statements'!K75-'Financial Statements'!K33)-'Financial Statements'!J12/('Financial Statements'!J75-'Financial Statements'!J33)))/('Financial Statements'!K12/('Financial Statements'!K75-'Financial Statements'!K33))</f>
        <v>0</v>
      </c>
      <c r="K125" s="176">
        <f>-(('Financial Statements'!L12/('Financial Statements'!L75-'Financial Statements'!L33)-'Financial Statements'!K12/('Financial Statements'!K75-'Financial Statements'!K33)))/('Financial Statements'!L12/('Financial Statements'!L75-'Financial Statements'!L33))</f>
        <v>0</v>
      </c>
      <c r="L125" s="176">
        <f>-(('Financial Statements'!M12/('Financial Statements'!M75-'Financial Statements'!M33)-'Financial Statements'!L12/('Financial Statements'!L75-'Financial Statements'!L33)))/('Financial Statements'!M12/('Financial Statements'!M75-'Financial Statements'!M33))</f>
        <v>0</v>
      </c>
      <c r="M125" s="176">
        <f>-(('Financial Statements'!N12/('Financial Statements'!N75-'Financial Statements'!N33)-'Financial Statements'!M12/('Financial Statements'!M75-'Financial Statements'!M33)))/('Financial Statements'!N12/('Financial Statements'!N75-'Financial Statements'!N33))</f>
        <v>0</v>
      </c>
      <c r="N125" s="176">
        <f>-(('Financial Statements'!O12/('Financial Statements'!O75-'Financial Statements'!O33)-'Financial Statements'!N12/('Financial Statements'!N75-'Financial Statements'!N33)))/('Financial Statements'!O12/('Financial Statements'!O75-'Financial Statements'!O33))</f>
        <v>0</v>
      </c>
      <c r="O125" s="176">
        <f>-(('Financial Statements'!P12/('Financial Statements'!P75-'Financial Statements'!P33)-'Financial Statements'!O12/('Financial Statements'!O75-'Financial Statements'!O33)))/('Financial Statements'!P12/('Financial Statements'!P75-'Financial Statements'!P33))</f>
        <v>0</v>
      </c>
      <c r="P125" s="176">
        <f>-(('Financial Statements'!Q12/('Financial Statements'!Q75-'Financial Statements'!Q33)-'Financial Statements'!P12/('Financial Statements'!P75-'Financial Statements'!P33)))/('Financial Statements'!Q12/('Financial Statements'!Q75-'Financial Statements'!Q33))</f>
        <v>0</v>
      </c>
      <c r="Q125" s="176">
        <f>-(('Financial Statements'!R12/('Financial Statements'!R75-'Financial Statements'!R33)-'Financial Statements'!Q12/('Financial Statements'!Q75-'Financial Statements'!Q33)))/('Financial Statements'!R12/('Financial Statements'!R75-'Financial Statements'!R33))</f>
        <v>0</v>
      </c>
      <c r="R125" s="176"/>
    </row>
    <row r="126" spans="1:18">
      <c r="A126" s="16" t="s">
        <v>221</v>
      </c>
      <c r="B126" s="165">
        <f>B124*B125</f>
        <v>-0.00560996277675254</v>
      </c>
      <c r="C126" s="165">
        <f t="shared" ref="C126:Q126" si="24">C124*C125</f>
        <v>-0.00122309809562</v>
      </c>
      <c r="D126" s="165">
        <f t="shared" si="24"/>
        <v>-0.00908310613280654</v>
      </c>
      <c r="E126" s="165">
        <f t="shared" si="24"/>
        <v>0.00259549554776725</v>
      </c>
      <c r="F126" s="176">
        <f t="shared" si="24"/>
        <v>0</v>
      </c>
      <c r="G126" s="176">
        <f t="shared" si="24"/>
        <v>0</v>
      </c>
      <c r="H126" s="176">
        <f t="shared" si="24"/>
        <v>0</v>
      </c>
      <c r="I126" s="176">
        <f t="shared" si="24"/>
        <v>0</v>
      </c>
      <c r="J126" s="176">
        <f t="shared" si="24"/>
        <v>0</v>
      </c>
      <c r="K126" s="176">
        <f t="shared" si="24"/>
        <v>0</v>
      </c>
      <c r="L126" s="176">
        <f t="shared" si="24"/>
        <v>0</v>
      </c>
      <c r="M126" s="176">
        <f t="shared" si="24"/>
        <v>0</v>
      </c>
      <c r="N126" s="176">
        <f t="shared" si="24"/>
        <v>0</v>
      </c>
      <c r="O126" s="176">
        <f t="shared" si="24"/>
        <v>0</v>
      </c>
      <c r="P126" s="176">
        <f t="shared" si="24"/>
        <v>0</v>
      </c>
      <c r="Q126" s="176">
        <f t="shared" si="24"/>
        <v>0</v>
      </c>
      <c r="R126" s="176"/>
    </row>
    <row r="127" spans="1:18">
      <c r="A127" s="16" t="s">
        <v>218</v>
      </c>
      <c r="B127" s="165">
        <f>B124+B125+B126</f>
        <v>-0.195621679064825</v>
      </c>
      <c r="C127" s="165">
        <f t="shared" ref="C127:Q127" si="25">C124+C125+C126</f>
        <v>-0.00216667547429042</v>
      </c>
      <c r="D127" s="165">
        <f t="shared" si="25"/>
        <v>-0.0416375383963563</v>
      </c>
      <c r="E127" s="165">
        <f t="shared" si="25"/>
        <v>0.115971661932603</v>
      </c>
      <c r="F127" s="176">
        <f t="shared" si="25"/>
        <v>0.0316614617912969</v>
      </c>
      <c r="G127" s="176">
        <f t="shared" si="25"/>
        <v>0.0314953156121671</v>
      </c>
      <c r="H127" s="176">
        <f t="shared" si="25"/>
        <v>0.0313291694330375</v>
      </c>
      <c r="I127" s="176">
        <f t="shared" si="25"/>
        <v>0.0311630232539077</v>
      </c>
      <c r="J127" s="176">
        <f t="shared" si="25"/>
        <v>0.0309968770747782</v>
      </c>
      <c r="K127" s="176">
        <f t="shared" si="25"/>
        <v>0.0308307308956484</v>
      </c>
      <c r="L127" s="176">
        <f t="shared" si="25"/>
        <v>0.0306645847165188</v>
      </c>
      <c r="M127" s="176">
        <f t="shared" si="25"/>
        <v>0.030498438537389</v>
      </c>
      <c r="N127" s="176">
        <f t="shared" si="25"/>
        <v>0.0303322923582594</v>
      </c>
      <c r="O127" s="176">
        <f t="shared" si="25"/>
        <v>0.0301661461791296</v>
      </c>
      <c r="P127" s="176">
        <f t="shared" si="25"/>
        <v>0.03</v>
      </c>
      <c r="Q127" s="176">
        <f t="shared" si="25"/>
        <v>0.03</v>
      </c>
      <c r="R127" s="176"/>
    </row>
    <row r="128" s="162" customFormat="1" spans="1:17">
      <c r="A128" s="195" t="s">
        <v>142</v>
      </c>
      <c r="B128" s="170">
        <f>IF(MONTH(B7)&gt;6,YEAR(B7),YEAR(B7)-1)</f>
        <v>2018</v>
      </c>
      <c r="C128" s="170">
        <f>IF(MONTH(C7)&gt;6,YEAR(C7),YEAR(C7)-1)</f>
        <v>2019</v>
      </c>
      <c r="D128" s="170">
        <f>IF(MONTH(D7)&gt;6,YEAR(D7),YEAR(D7)-1)</f>
        <v>2020</v>
      </c>
      <c r="E128" s="170">
        <f>IF(MONTH(E7)&gt;6,YEAR(E7),YEAR(E7)-1)</f>
        <v>2021</v>
      </c>
      <c r="F128" s="162">
        <f>IF(MONTH(F7)&gt;6,YEAR(F7),YEAR(F7)-1)</f>
        <v>2022</v>
      </c>
      <c r="G128" s="162">
        <f t="shared" ref="G128:Q128" si="26">IF(MONTH(G7)&gt;6,YEAR(G7),YEAR(G7)-1)</f>
        <v>2023</v>
      </c>
      <c r="H128" s="162">
        <f t="shared" si="26"/>
        <v>2024</v>
      </c>
      <c r="I128" s="162">
        <f t="shared" si="26"/>
        <v>2025</v>
      </c>
      <c r="J128" s="162">
        <f t="shared" si="26"/>
        <v>2026</v>
      </c>
      <c r="K128" s="162">
        <f t="shared" si="26"/>
        <v>2027</v>
      </c>
      <c r="L128" s="162">
        <f t="shared" si="26"/>
        <v>2028</v>
      </c>
      <c r="M128" s="162">
        <f t="shared" si="26"/>
        <v>2029</v>
      </c>
      <c r="N128" s="162">
        <f t="shared" si="26"/>
        <v>2030</v>
      </c>
      <c r="O128" s="162">
        <f t="shared" si="26"/>
        <v>2031</v>
      </c>
      <c r="P128" s="162">
        <f t="shared" si="26"/>
        <v>2032</v>
      </c>
      <c r="Q128" s="162">
        <f t="shared" si="26"/>
        <v>2033</v>
      </c>
    </row>
    <row r="130" spans="2:3">
      <c r="B130" s="7"/>
      <c r="C130" s="175"/>
    </row>
  </sheetData>
  <mergeCells count="2">
    <mergeCell ref="A48:B48"/>
    <mergeCell ref="A72:B72"/>
  </mergeCells>
  <conditionalFormatting sqref="B120:R120">
    <cfRule type="cellIs" dxfId="0" priority="6" stopIfTrue="1" operator="greaterThan">
      <formula>0.11</formula>
    </cfRule>
  </conditionalFormatting>
  <conditionalFormatting sqref="B121:R121">
    <cfRule type="cellIs" dxfId="0" priority="7" stopIfTrue="1" operator="greaterThan">
      <formula>0.14</formula>
    </cfRule>
  </conditionalFormatting>
  <conditionalFormatting sqref="B123:R123">
    <cfRule type="cellIs" dxfId="0" priority="5" stopIfTrue="1" operator="greaterThan">
      <formula>0.09</formula>
    </cfRule>
  </conditionalFormatting>
  <conditionalFormatting sqref="B124:R124">
    <cfRule type="cellIs" dxfId="0" priority="9" stopIfTrue="1" operator="greaterThan">
      <formula>0.39</formula>
    </cfRule>
  </conditionalFormatting>
  <conditionalFormatting sqref="B125:E125">
    <cfRule type="cellIs" dxfId="0" priority="2" stopIfTrue="1" operator="greaterThan">
      <formula>0.21</formula>
    </cfRule>
  </conditionalFormatting>
  <conditionalFormatting sqref="F125:Q125">
    <cfRule type="cellIs" dxfId="0" priority="1" stopIfTrue="1" operator="greaterThan">
      <formula>0.07</formula>
    </cfRule>
  </conditionalFormatting>
  <conditionalFormatting sqref="R125">
    <cfRule type="cellIs" dxfId="0" priority="10" stopIfTrue="1" operator="greaterThan">
      <formula>0.2</formula>
    </cfRule>
  </conditionalFormatting>
  <conditionalFormatting sqref="F126:R126">
    <cfRule type="cellIs" dxfId="0" priority="11" stopIfTrue="1" operator="greaterThan">
      <formula>0.07</formula>
    </cfRule>
  </conditionalFormatting>
  <conditionalFormatting sqref="B122:R122 B127:R127">
    <cfRule type="cellIs" dxfId="0" priority="8" stopIfTrue="1" operator="greaterThan">
      <formula>0.38</formula>
    </cfRule>
  </conditionalFormatting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56"/>
  <sheetViews>
    <sheetView zoomScale="125" zoomScaleNormal="125" workbookViewId="0">
      <pane xSplit="1" ySplit="7" topLeftCell="B8" activePane="bottomRight" state="frozenSplit"/>
      <selection/>
      <selection pane="topRight"/>
      <selection pane="bottomLeft"/>
      <selection pane="bottomRight" activeCell="G11" sqref="G11"/>
    </sheetView>
  </sheetViews>
  <sheetFormatPr defaultColWidth="8.83035714285714" defaultRowHeight="15.2"/>
  <cols>
    <col min="1" max="1" width="29.5" customWidth="1"/>
    <col min="2" max="18" width="10.6607142857143" customWidth="1"/>
  </cols>
  <sheetData>
    <row r="1" s="56" customFormat="1" ht="20.4" spans="1:18">
      <c r="A1" s="163" t="s">
        <v>222</v>
      </c>
      <c r="B1" s="164"/>
      <c r="C1" s="164"/>
      <c r="D1" s="164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ht="18" customHeight="1" spans="1:18">
      <c r="A2" s="138"/>
      <c r="B2" s="138"/>
      <c r="C2" s="138"/>
      <c r="D2" s="138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ht="12.75" customHeight="1" spans="1:18">
      <c r="A3" s="90" t="s">
        <v>93</v>
      </c>
      <c r="B3" s="90"/>
      <c r="C3" s="90"/>
      <c r="D3" s="9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1:12">
      <c r="A4" s="17" t="s">
        <v>91</v>
      </c>
      <c r="B4" s="61" t="str">
        <f>'Financial Statements'!B4</f>
        <v>DOLLAR TREE 2021</v>
      </c>
      <c r="C4" s="17"/>
      <c r="D4" s="17"/>
      <c r="E4" s="94"/>
      <c r="L4" s="161"/>
    </row>
    <row r="5" spans="1:12">
      <c r="A5" s="17"/>
      <c r="B5" s="17"/>
      <c r="C5" s="17"/>
      <c r="D5" s="17"/>
      <c r="L5" s="161"/>
    </row>
    <row r="6" spans="1:18">
      <c r="A6" s="17"/>
      <c r="B6" s="145" t="s">
        <v>14</v>
      </c>
      <c r="C6" s="145" t="s">
        <v>14</v>
      </c>
      <c r="D6" s="145" t="s">
        <v>14</v>
      </c>
      <c r="E6" s="145" t="s">
        <v>14</v>
      </c>
      <c r="F6" s="145" t="s">
        <v>14</v>
      </c>
      <c r="G6" s="65" t="s">
        <v>15</v>
      </c>
      <c r="H6" s="65" t="s">
        <v>15</v>
      </c>
      <c r="I6" s="65" t="s">
        <v>15</v>
      </c>
      <c r="J6" s="65" t="s">
        <v>15</v>
      </c>
      <c r="K6" s="65" t="s">
        <v>15</v>
      </c>
      <c r="L6" s="65" t="s">
        <v>15</v>
      </c>
      <c r="M6" s="65" t="s">
        <v>15</v>
      </c>
      <c r="N6" s="65" t="s">
        <v>15</v>
      </c>
      <c r="O6" s="65" t="s">
        <v>15</v>
      </c>
      <c r="P6" s="65" t="s">
        <v>15</v>
      </c>
      <c r="Q6" s="65" t="s">
        <v>15</v>
      </c>
      <c r="R6" s="65" t="s">
        <v>15</v>
      </c>
    </row>
    <row r="7" ht="15.95" spans="1:18">
      <c r="A7" s="17" t="s">
        <v>94</v>
      </c>
      <c r="B7" s="146">
        <f>'Financial Statements'!B8</f>
        <v>41669</v>
      </c>
      <c r="C7" s="146">
        <f>'Financial Statements'!C8</f>
        <v>42034</v>
      </c>
      <c r="D7" s="146">
        <f>'Financial Statements'!D8</f>
        <v>42399</v>
      </c>
      <c r="E7" s="146">
        <f>'Financial Statements'!E8</f>
        <v>42765</v>
      </c>
      <c r="F7" s="146">
        <f>'Financial Statements'!F8</f>
        <v>43130</v>
      </c>
      <c r="G7" s="67">
        <f>'Financial Statements'!G8</f>
        <v>43495</v>
      </c>
      <c r="H7" s="67">
        <f>'Financial Statements'!H8</f>
        <v>43860</v>
      </c>
      <c r="I7" s="67">
        <f>'Financial Statements'!I8</f>
        <v>44226</v>
      </c>
      <c r="J7" s="67">
        <f>'Financial Statements'!J8</f>
        <v>44591</v>
      </c>
      <c r="K7" s="67">
        <f>'Financial Statements'!K8</f>
        <v>44956</v>
      </c>
      <c r="L7" s="67">
        <f>'Financial Statements'!L8</f>
        <v>45321</v>
      </c>
      <c r="M7" s="67">
        <f>'Financial Statements'!M8</f>
        <v>45687</v>
      </c>
      <c r="N7" s="67">
        <f>'Financial Statements'!N8</f>
        <v>46052</v>
      </c>
      <c r="O7" s="67">
        <f>'Financial Statements'!O8</f>
        <v>46417</v>
      </c>
      <c r="P7" s="67">
        <f>'Financial Statements'!P8</f>
        <v>46782</v>
      </c>
      <c r="Q7" s="67">
        <f>'Financial Statements'!Q8</f>
        <v>47148</v>
      </c>
      <c r="R7" s="67">
        <f>'Financial Statements'!R8</f>
        <v>47513</v>
      </c>
    </row>
    <row r="9" spans="1:18">
      <c r="A9" s="100" t="s">
        <v>132</v>
      </c>
      <c r="B9" s="150"/>
      <c r="C9" s="150"/>
      <c r="D9" s="150"/>
      <c r="E9" s="165"/>
      <c r="F9" s="16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</row>
    <row r="10" spans="1:18">
      <c r="A10" s="239" t="s">
        <v>133</v>
      </c>
      <c r="B10" s="150"/>
      <c r="C10" s="150"/>
      <c r="D10" s="150"/>
      <c r="E10" s="165"/>
      <c r="F10" s="16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</row>
    <row r="11" spans="1:18">
      <c r="A11" t="s">
        <v>134</v>
      </c>
      <c r="B11" s="165">
        <f>('Financial Statements'!B44+'Financial Statements'!B49)/('Financial Statements'!B57)</f>
        <v>0.790554557732203</v>
      </c>
      <c r="C11" s="165">
        <f>('Financial Statements'!C44+'Financial Statements'!C49)/('Financial Statements'!C57)</f>
        <v>0.755870208580694</v>
      </c>
      <c r="D11" s="165">
        <f>('Financial Statements'!D44+'Financial Statements'!D49)/('Financial Statements'!D57)</f>
        <v>0.603088827780265</v>
      </c>
      <c r="E11" s="165">
        <f>('Financial Statements'!E44+'Financial Statements'!E49)/('Financial Statements'!E57)</f>
        <v>0.442836945630242</v>
      </c>
      <c r="F11" s="165">
        <f>('Financial Statements'!F44+'Financial Statements'!F49)/('Financial Statements'!F57)</f>
        <v>0.442702597654985</v>
      </c>
      <c r="G11" s="176">
        <f>('Financial Statements'!G44+'Financial Statements'!G49)/('Financial Statements'!G57)</f>
        <v>0.442702597654985</v>
      </c>
      <c r="H11" s="176">
        <f>('Financial Statements'!H44+'Financial Statements'!H49)/('Financial Statements'!H57)</f>
        <v>0.442702597654985</v>
      </c>
      <c r="I11" s="176">
        <f>('Financial Statements'!I44+'Financial Statements'!I49)/('Financial Statements'!I57)</f>
        <v>0.442702597654985</v>
      </c>
      <c r="J11" s="176">
        <f>('Financial Statements'!J44+'Financial Statements'!J49)/('Financial Statements'!J57)</f>
        <v>0.442702597654985</v>
      </c>
      <c r="K11" s="176">
        <f>('Financial Statements'!K44+'Financial Statements'!K49)/('Financial Statements'!K57)</f>
        <v>0.442702597654985</v>
      </c>
      <c r="L11" s="176">
        <f>('Financial Statements'!L44+'Financial Statements'!L49)/('Financial Statements'!L57)</f>
        <v>0.442702597654985</v>
      </c>
      <c r="M11" s="176">
        <f>('Financial Statements'!M44+'Financial Statements'!M49)/('Financial Statements'!M57)</f>
        <v>0.442702597654985</v>
      </c>
      <c r="N11" s="176">
        <f>('Financial Statements'!N44+'Financial Statements'!N49)/('Financial Statements'!N57)</f>
        <v>0.442702597654985</v>
      </c>
      <c r="O11" s="176">
        <f>('Financial Statements'!O44+'Financial Statements'!O49)/('Financial Statements'!O57)</f>
        <v>0.442702597654985</v>
      </c>
      <c r="P11" s="176">
        <f>('Financial Statements'!P44+'Financial Statements'!P49)/('Financial Statements'!P57)</f>
        <v>0.442702597654985</v>
      </c>
      <c r="Q11" s="176">
        <f>('Financial Statements'!Q44+'Financial Statements'!Q49)/('Financial Statements'!Q57)</f>
        <v>0.442702597654985</v>
      </c>
      <c r="R11" s="176">
        <f>('Financial Statements'!R44+'Financial Statements'!R49)/('Financial Statements'!R57)</f>
        <v>0.442702597654985</v>
      </c>
    </row>
    <row r="12" spans="1:18">
      <c r="A12" t="s">
        <v>135</v>
      </c>
      <c r="B12" s="165"/>
      <c r="C12" s="165">
        <f>'Cash Flow Analysis'!B17/(('Financial Statements'!C44+'Financial Statements'!C49+'Financial Statements'!B44+'Financial Statements'!B49)/2)</f>
        <v>-0.326410748946527</v>
      </c>
      <c r="D12" s="165">
        <f>'Cash Flow Analysis'!C17/(('Financial Statements'!D44+'Financial Statements'!D49+'Financial Statements'!C44+'Financial Statements'!C49)/2)</f>
        <v>1.38869051321928</v>
      </c>
      <c r="E12" s="165">
        <f>'Cash Flow Analysis'!D17/(('Financial Statements'!E44+'Financial Statements'!E49+'Financial Statements'!D44+'Financial Statements'!D49)/2)</f>
        <v>0.441529492455418</v>
      </c>
      <c r="F12" s="165">
        <f>'Cash Flow Analysis'!E17/(('Financial Statements'!F44+'Financial Statements'!F49+'Financial Statements'!E44+'Financial Statements'!E49)/2)</f>
        <v>0.386380057803468</v>
      </c>
      <c r="G12" s="176">
        <f>'Cash Flow Analysis'!F17/(('Financial Statements'!G44+'Financial Statements'!G49+'Financial Statements'!F44+'Financial Statements'!F49)/2)</f>
        <v>0.452578229658536</v>
      </c>
      <c r="H12" s="176">
        <f>'Cash Flow Analysis'!G17/(('Financial Statements'!H44+'Financial Statements'!H49+'Financial Statements'!G44+'Financial Statements'!G49)/2)</f>
        <v>0.452241464663413</v>
      </c>
      <c r="I12" s="176">
        <f>'Cash Flow Analysis'!H17/(('Financial Statements'!I44+'Financial Statements'!I49+'Financial Statements'!H44+'Financial Statements'!H49)/2)</f>
        <v>0.451904644579022</v>
      </c>
      <c r="J12" s="176">
        <f>'Cash Flow Analysis'!I17/(('Financial Statements'!J44+'Financial Statements'!J49+'Financial Statements'!I44+'Financial Statements'!I49)/2)</f>
        <v>0.451567769391846</v>
      </c>
      <c r="K12" s="176">
        <f>'Cash Flow Analysis'!J17/(('Financial Statements'!K44+'Financial Statements'!K49+'Financial Statements'!J44+'Financial Statements'!J49)/2)</f>
        <v>0.451230839088363</v>
      </c>
      <c r="L12" s="176">
        <f>'Cash Flow Analysis'!K17/(('Financial Statements'!L44+'Financial Statements'!L49+'Financial Statements'!K44+'Financial Statements'!K49)/2)</f>
        <v>0.450893853655042</v>
      </c>
      <c r="M12" s="176">
        <f>'Cash Flow Analysis'!L17/(('Financial Statements'!M44+'Financial Statements'!M49+'Financial Statements'!L44+'Financial Statements'!L49)/2)</f>
        <v>0.450556813078353</v>
      </c>
      <c r="N12" s="176">
        <f>'Cash Flow Analysis'!M17/(('Financial Statements'!N44+'Financial Statements'!N49+'Financial Statements'!M44+'Financial Statements'!M49)/2)</f>
        <v>0.450219717344761</v>
      </c>
      <c r="O12" s="176">
        <f>'Cash Flow Analysis'!N17/(('Financial Statements'!O44+'Financial Statements'!O49+'Financial Statements'!N44+'Financial Statements'!N49)/2)</f>
        <v>0.449882566440723</v>
      </c>
      <c r="P12" s="176">
        <f>'Cash Flow Analysis'!O17/(('Financial Statements'!P44+'Financial Statements'!P49+'Financial Statements'!O44+'Financial Statements'!O49)/2)</f>
        <v>0.449545360352695</v>
      </c>
      <c r="Q12" s="176">
        <f>'Cash Flow Analysis'!P17/(('Financial Statements'!Q44+'Financial Statements'!Q49+'Financial Statements'!P44+'Financial Statements'!P49)/2)</f>
        <v>0.449208099067127</v>
      </c>
      <c r="R12" s="176">
        <f>'Cash Flow Analysis'!Q17/(('Financial Statements'!R44+'Financial Statements'!R49+'Financial Statements'!Q44+'Financial Statements'!Q49)/2)</f>
        <v>0.449208099067128</v>
      </c>
    </row>
    <row r="13" spans="1:18">
      <c r="A13" t="s">
        <v>136</v>
      </c>
      <c r="B13" s="165"/>
      <c r="C13" s="165">
        <f>'Cash Flow Analysis'!B24/(('Financial Statements'!C44+'Financial Statements'!C49+'Financial Statements'!B44+'Financial Statements'!B49)/2)</f>
        <v>-0.369776633512013</v>
      </c>
      <c r="D13" s="165">
        <f>'Cash Flow Analysis'!C24/(('Financial Statements'!D44+'Financial Statements'!D49+'Financial Statements'!C44+'Financial Statements'!C49)/2)</f>
        <v>1.72809953343701</v>
      </c>
      <c r="E13" s="165">
        <f>'Cash Flow Analysis'!D24/(('Financial Statements'!E44+'Financial Statements'!E49+'Financial Statements'!D44+'Financial Statements'!D49)/2)</f>
        <v>0.592992684042067</v>
      </c>
      <c r="F13" s="165">
        <f>'Cash Flow Analysis'!E24/(('Financial Statements'!F44+'Financial Statements'!F49+'Financial Statements'!E44+'Financial Statements'!E49)/2)</f>
        <v>0.224590558766859</v>
      </c>
      <c r="G13" s="176">
        <f>'Cash Flow Analysis'!F24/(('Financial Statements'!G44+'Financial Statements'!G49+'Financial Statements'!F44+'Financial Statements'!F49)/2)</f>
        <v>0.448981635675176</v>
      </c>
      <c r="H13" s="176">
        <f>'Cash Flow Analysis'!G24/(('Financial Statements'!H44+'Financial Statements'!H49+'Financial Statements'!G44+'Financial Statements'!G49)/2)</f>
        <v>0.448663451504495</v>
      </c>
      <c r="I13" s="176">
        <f>'Cash Flow Analysis'!H24/(('Financial Statements'!I44+'Financial Statements'!I49+'Financial Statements'!H44+'Financial Statements'!H49)/2)</f>
        <v>0.448345215284066</v>
      </c>
      <c r="J13" s="176">
        <f>'Cash Flow Analysis'!I24/(('Financial Statements'!J44+'Financial Statements'!J49+'Financial Statements'!I44+'Financial Statements'!I49)/2)</f>
        <v>0.448026927001119</v>
      </c>
      <c r="K13" s="176">
        <f>'Cash Flow Analysis'!J24/(('Financial Statements'!K44+'Financial Statements'!K49+'Financial Statements'!J44+'Financial Statements'!J49)/2)</f>
        <v>0.447708586642876</v>
      </c>
      <c r="L13" s="176">
        <f>'Cash Flow Analysis'!K24/(('Financial Statements'!L44+'Financial Statements'!L49+'Financial Statements'!K44+'Financial Statements'!K49)/2)</f>
        <v>0.447390194196554</v>
      </c>
      <c r="M13" s="176">
        <f>'Cash Flow Analysis'!L24/(('Financial Statements'!M44+'Financial Statements'!M49+'Financial Statements'!L44+'Financial Statements'!L49)/2)</f>
        <v>0.44707174964937</v>
      </c>
      <c r="N13" s="176">
        <f>'Cash Flow Analysis'!M24/(('Financial Statements'!N44+'Financial Statements'!N49+'Financial Statements'!M44+'Financial Statements'!M49)/2)</f>
        <v>0.446753252988534</v>
      </c>
      <c r="O13" s="176">
        <f>'Cash Flow Analysis'!N24/(('Financial Statements'!O44+'Financial Statements'!O49+'Financial Statements'!N44+'Financial Statements'!N49)/2)</f>
        <v>0.446434704201251</v>
      </c>
      <c r="P13" s="176">
        <f>'Cash Flow Analysis'!O24/(('Financial Statements'!P44+'Financial Statements'!P49+'Financial Statements'!O44+'Financial Statements'!O49)/2)</f>
        <v>0.446116103274725</v>
      </c>
      <c r="Q13" s="176">
        <f>'Cash Flow Analysis'!P24/(('Financial Statements'!Q44+'Financial Statements'!Q49+'Financial Statements'!P44+'Financial Statements'!P49)/2)</f>
        <v>0.445797450196153</v>
      </c>
      <c r="R13" s="176">
        <f>'Cash Flow Analysis'!Q24/(('Financial Statements'!R44+'Financial Statements'!R49+'Financial Statements'!Q44+'Financial Statements'!Q49)/2)</f>
        <v>0.445797450196154</v>
      </c>
    </row>
    <row r="14" spans="2:18">
      <c r="B14" s="61"/>
      <c r="C14" s="61"/>
      <c r="D14" s="61"/>
      <c r="E14" s="165"/>
      <c r="F14" s="16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</row>
    <row r="15" spans="1:18">
      <c r="A15" s="100" t="s">
        <v>132</v>
      </c>
      <c r="B15" s="150"/>
      <c r="C15" s="150"/>
      <c r="D15" s="150"/>
      <c r="E15" s="165"/>
      <c r="F15" s="16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</row>
    <row r="16" spans="1:18">
      <c r="A16" s="239" t="s">
        <v>137</v>
      </c>
      <c r="B16" s="150"/>
      <c r="C16" s="150"/>
      <c r="D16" s="150"/>
      <c r="E16" s="165"/>
      <c r="F16" s="16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</row>
    <row r="17" spans="1:18">
      <c r="A17" s="16" t="s">
        <v>138</v>
      </c>
      <c r="B17" s="165">
        <f>'Financial Statements'!B37/'Financial Statements'!B48</f>
        <v>1.60060858312056</v>
      </c>
      <c r="C17" s="165">
        <f>'Financial Statements'!C37/'Financial Statements'!C48</f>
        <v>2.04862337166579</v>
      </c>
      <c r="D17" s="165">
        <f>'Financial Statements'!D37/'Financial Statements'!D48</f>
        <v>1.20383476667137</v>
      </c>
      <c r="E17" s="165">
        <f>'Financial Statements'!E37/'Financial Statements'!E48</f>
        <v>1.35399297643621</v>
      </c>
      <c r="F17" s="165">
        <f>'Financial Statements'!F37/'Financial Statements'!F48</f>
        <v>1.34300627304506</v>
      </c>
      <c r="G17" s="175">
        <f>'Financial Statements'!G37/'Financial Statements'!G48</f>
        <v>1.34300627304506</v>
      </c>
      <c r="H17" s="175">
        <f>'Financial Statements'!H37/'Financial Statements'!H48</f>
        <v>1.34300627304506</v>
      </c>
      <c r="I17" s="175">
        <f>'Financial Statements'!I37/'Financial Statements'!I48</f>
        <v>1.34300627304506</v>
      </c>
      <c r="J17" s="175">
        <f>'Financial Statements'!J37/'Financial Statements'!J48</f>
        <v>1.34300627304506</v>
      </c>
      <c r="K17" s="175">
        <f>'Financial Statements'!K37/'Financial Statements'!K48</f>
        <v>1.34300627304506</v>
      </c>
      <c r="L17" s="175">
        <f>'Financial Statements'!L37/'Financial Statements'!L48</f>
        <v>1.34300627304506</v>
      </c>
      <c r="M17" s="175">
        <f>'Financial Statements'!M37/'Financial Statements'!M48</f>
        <v>1.34300627304506</v>
      </c>
      <c r="N17" s="175">
        <f>'Financial Statements'!N37/'Financial Statements'!N48</f>
        <v>1.34300627304506</v>
      </c>
      <c r="O17" s="175">
        <f>'Financial Statements'!O37/'Financial Statements'!O48</f>
        <v>1.34300627304506</v>
      </c>
      <c r="P17" s="175">
        <f>'Financial Statements'!P37/'Financial Statements'!P48</f>
        <v>1.34300627304506</v>
      </c>
      <c r="Q17" s="175">
        <f>'Financial Statements'!Q37/'Financial Statements'!Q48</f>
        <v>1.34300627304506</v>
      </c>
      <c r="R17" s="175">
        <f>'Financial Statements'!R37/'Financial Statements'!R48</f>
        <v>1.34300627304506</v>
      </c>
    </row>
    <row r="18" spans="1:18">
      <c r="A18" s="16" t="s">
        <v>139</v>
      </c>
      <c r="B18" s="165">
        <f>('Financial Statements'!B33+'Financial Statements'!B34)/'Financial Statements'!B48</f>
        <v>0.383966982616907</v>
      </c>
      <c r="C18" s="165">
        <f>('Financial Statements'!C33+'Financial Statements'!C34)/'Financial Statements'!C48</f>
        <v>0.26129694135611</v>
      </c>
      <c r="D18" s="165">
        <f>('Financial Statements'!D33+'Financial Statements'!D34)/'Financial Statements'!D48</f>
        <v>0.165233328633864</v>
      </c>
      <c r="E18" s="165">
        <f>('Financial Statements'!E33+'Financial Statements'!E34)/'Financial Statements'!E48</f>
        <v>0.392354502318848</v>
      </c>
      <c r="F18" s="165">
        <f>('Financial Statements'!F33+'Financial Statements'!F34)/'Financial Statements'!F48</f>
        <v>0.248599339175406</v>
      </c>
      <c r="G18" s="175">
        <f>('Financial Statements'!G33+'Financial Statements'!G34)/'Financial Statements'!G48</f>
        <v>0.248599339175406</v>
      </c>
      <c r="H18" s="175">
        <f>('Financial Statements'!H33+'Financial Statements'!H34)/'Financial Statements'!H48</f>
        <v>0.248599339175406</v>
      </c>
      <c r="I18" s="175">
        <f>('Financial Statements'!I33+'Financial Statements'!I34)/'Financial Statements'!I48</f>
        <v>0.248599339175406</v>
      </c>
      <c r="J18" s="175">
        <f>('Financial Statements'!J33+'Financial Statements'!J34)/'Financial Statements'!J48</f>
        <v>0.248599339175406</v>
      </c>
      <c r="K18" s="175">
        <f>('Financial Statements'!K33+'Financial Statements'!K34)/'Financial Statements'!K48</f>
        <v>0.248599339175406</v>
      </c>
      <c r="L18" s="175">
        <f>('Financial Statements'!L33+'Financial Statements'!L34)/'Financial Statements'!L48</f>
        <v>0.248599339175406</v>
      </c>
      <c r="M18" s="175">
        <f>('Financial Statements'!M33+'Financial Statements'!M34)/'Financial Statements'!M48</f>
        <v>0.248599339175406</v>
      </c>
      <c r="N18" s="175">
        <f>('Financial Statements'!N33+'Financial Statements'!N34)/'Financial Statements'!N48</f>
        <v>0.248599339175406</v>
      </c>
      <c r="O18" s="175">
        <f>('Financial Statements'!O33+'Financial Statements'!O34)/'Financial Statements'!O48</f>
        <v>0.248599339175406</v>
      </c>
      <c r="P18" s="175">
        <f>('Financial Statements'!P33+'Financial Statements'!P34)/'Financial Statements'!P48</f>
        <v>0.248599339175406</v>
      </c>
      <c r="Q18" s="175">
        <f>('Financial Statements'!Q33+'Financial Statements'!Q34)/'Financial Statements'!Q48</f>
        <v>0.248599339175406</v>
      </c>
      <c r="R18" s="175">
        <f>('Financial Statements'!R33+'Financial Statements'!R34)/'Financial Statements'!R48</f>
        <v>0.248599339175406</v>
      </c>
    </row>
    <row r="19" spans="1:18">
      <c r="A19" s="16" t="s">
        <v>140</v>
      </c>
      <c r="B19" s="165">
        <f>-'Financial Statements'!B19/'Financial Statements'!B20</f>
        <v>6.62392312789927</v>
      </c>
      <c r="C19" s="165">
        <f>-'Financial Statements'!C19/'Financial Statements'!C20</f>
        <v>-2.53918918918919</v>
      </c>
      <c r="D19" s="165">
        <f>-'Financial Statements'!D19/'Financial Statements'!D20</f>
        <v>7.78655151141271</v>
      </c>
      <c r="E19" s="165">
        <f>-'Financial Statements'!E19/'Financial Statements'!E20</f>
        <v>12.816700610998</v>
      </c>
      <c r="F19" s="165">
        <f>-'Financial Statements'!F19/'Financial Statements'!F20</f>
        <v>10.1252096143097</v>
      </c>
      <c r="G19" s="176">
        <f>-'Financial Statements'!G19/'Financial Statements'!G20</f>
        <v>9.99590768121618</v>
      </c>
      <c r="H19" s="176">
        <f>-'Financial Statements'!H19/'Financial Statements'!H20</f>
        <v>9.99511525367375</v>
      </c>
      <c r="I19" s="176">
        <f>-'Financial Statements'!I19/'Financial Statements'!I20</f>
        <v>9.99432269650306</v>
      </c>
      <c r="J19" s="176">
        <f>-'Financial Statements'!J19/'Financial Statements'!J20</f>
        <v>9.99353000967234</v>
      </c>
      <c r="K19" s="176">
        <f>-'Financial Statements'!K19/'Financial Statements'!K20</f>
        <v>9.99273719314977</v>
      </c>
      <c r="L19" s="176">
        <f>-'Financial Statements'!L19/'Financial Statements'!L20</f>
        <v>9.99194424690347</v>
      </c>
      <c r="M19" s="176">
        <f>-'Financial Statements'!M19/'Financial Statements'!M20</f>
        <v>9.99115117090165</v>
      </c>
      <c r="N19" s="176">
        <f>-'Financial Statements'!N19/'Financial Statements'!N20</f>
        <v>9.99035796511244</v>
      </c>
      <c r="O19" s="176">
        <f>-'Financial Statements'!O19/'Financial Statements'!O20</f>
        <v>9.98956462950395</v>
      </c>
      <c r="P19" s="176">
        <f>-'Financial Statements'!P19/'Financial Statements'!P20</f>
        <v>9.98877116404436</v>
      </c>
      <c r="Q19" s="176">
        <f>-'Financial Statements'!Q19/'Financial Statements'!Q20</f>
        <v>9.98797756870176</v>
      </c>
      <c r="R19" s="176">
        <f>-'Financial Statements'!R19/'Financial Statements'!R20</f>
        <v>9.98797756870177</v>
      </c>
    </row>
    <row r="20" spans="1:18">
      <c r="A20" s="16" t="s">
        <v>141</v>
      </c>
      <c r="B20" s="165">
        <f>-'Financial Statements'!B17/'Financial Statements'!B20</f>
        <v>6.8532140490391</v>
      </c>
      <c r="C20" s="165">
        <f>-'Financial Statements'!C17/'Financial Statements'!C20</f>
        <v>-2.53918918918919</v>
      </c>
      <c r="D20" s="165">
        <f>-'Financial Statements'!D17/'Financial Statements'!D20</f>
        <v>7.78655151141271</v>
      </c>
      <c r="E20" s="165">
        <f>-'Financial Statements'!E17/'Financial Statements'!E20</f>
        <v>12.816700610998</v>
      </c>
      <c r="F20" s="165">
        <f>-'Financial Statements'!F17/'Financial Statements'!F20</f>
        <v>10.1252096143097</v>
      </c>
      <c r="G20" s="176">
        <f>-'Financial Statements'!G17/'Financial Statements'!G20</f>
        <v>9.99590768121618</v>
      </c>
      <c r="H20" s="176">
        <f>-'Financial Statements'!H17/'Financial Statements'!H20</f>
        <v>9.99511525367375</v>
      </c>
      <c r="I20" s="176">
        <f>-'Financial Statements'!I17/'Financial Statements'!I20</f>
        <v>9.99432269650306</v>
      </c>
      <c r="J20" s="176">
        <f>-'Financial Statements'!J17/'Financial Statements'!J20</f>
        <v>9.99353000967234</v>
      </c>
      <c r="K20" s="176">
        <f>-'Financial Statements'!K17/'Financial Statements'!K20</f>
        <v>9.99273719314977</v>
      </c>
      <c r="L20" s="176">
        <f>-'Financial Statements'!L17/'Financial Statements'!L20</f>
        <v>9.99194424690347</v>
      </c>
      <c r="M20" s="176">
        <f>-'Financial Statements'!M17/'Financial Statements'!M20</f>
        <v>9.99115117090165</v>
      </c>
      <c r="N20" s="176">
        <f>-'Financial Statements'!N17/'Financial Statements'!N20</f>
        <v>9.99035796511244</v>
      </c>
      <c r="O20" s="176">
        <f>-'Financial Statements'!O17/'Financial Statements'!O20</f>
        <v>9.98956462950395</v>
      </c>
      <c r="P20" s="176">
        <f>-'Financial Statements'!P17/'Financial Statements'!P20</f>
        <v>9.98877116404436</v>
      </c>
      <c r="Q20" s="176">
        <f>-'Financial Statements'!Q17/'Financial Statements'!Q20</f>
        <v>9.98797756870176</v>
      </c>
      <c r="R20" s="176">
        <f>-'Financial Statements'!R17/'Financial Statements'!R20</f>
        <v>9.98797756870177</v>
      </c>
    </row>
    <row r="21" spans="1:18">
      <c r="A21" s="16"/>
      <c r="B21" s="165"/>
      <c r="C21" s="165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</row>
    <row r="22" spans="1:18">
      <c r="A22" s="100" t="s">
        <v>223</v>
      </c>
      <c r="B22" s="165"/>
      <c r="C22" s="165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</row>
    <row r="23" spans="1:18">
      <c r="A23" s="16" t="s">
        <v>224</v>
      </c>
      <c r="B23" s="166">
        <f>'Financial Statements'!B25/'Financial Statements'!B42</f>
        <v>0.104960570141066</v>
      </c>
      <c r="C23" s="166">
        <f>'Financial Statements'!C25/'Financial Statements'!C42</f>
        <v>-0.11782656356472</v>
      </c>
      <c r="D23" s="166">
        <f>'Financial Statements'!D25/'Financial Statements'!D42</f>
        <v>0.0422486283244613</v>
      </c>
      <c r="E23" s="166">
        <f>'Financial Statements'!E25/'Financial Statements'!E42</f>
        <v>0.0648386161577116</v>
      </c>
      <c r="F23" s="166">
        <f>'Financial Statements'!F25/'Financial Statements'!F42</f>
        <v>0.0611321345376534</v>
      </c>
      <c r="G23" s="177">
        <f>'Financial Statements'!G25/'Financial Statements'!G42</f>
        <v>0.0610454604440867</v>
      </c>
      <c r="H23" s="177">
        <f>'Financial Statements'!H25/'Financial Statements'!H42</f>
        <v>0.0610449223477081</v>
      </c>
      <c r="I23" s="177">
        <f>'Financial Statements'!I25/'Financial Statements'!I42</f>
        <v>0.0610443840779558</v>
      </c>
      <c r="J23" s="177">
        <f>'Financial Statements'!J25/'Financial Statements'!J42</f>
        <v>0.0610438456347461</v>
      </c>
      <c r="K23" s="177">
        <f>'Financial Statements'!K25/'Financial Statements'!K42</f>
        <v>0.0610433070179952</v>
      </c>
      <c r="L23" s="177">
        <f>'Financial Statements'!L25/'Financial Statements'!L42</f>
        <v>0.0610427682276188</v>
      </c>
      <c r="M23" s="177">
        <f>'Financial Statements'!M25/'Financial Statements'!M42</f>
        <v>0.0610422292635334</v>
      </c>
      <c r="N23" s="177">
        <f>'Financial Statements'!N25/'Financial Statements'!N42</f>
        <v>0.0610416901256548</v>
      </c>
      <c r="O23" s="177">
        <f>'Financial Statements'!O25/'Financial Statements'!O42</f>
        <v>0.0610411508138987</v>
      </c>
      <c r="P23" s="177">
        <f>'Financial Statements'!P25/'Financial Statements'!P42</f>
        <v>0.0610406113281813</v>
      </c>
      <c r="Q23" s="177">
        <f>'Financial Statements'!Q25/'Financial Statements'!Q42</f>
        <v>0.0610400716684183</v>
      </c>
      <c r="R23" s="177">
        <f>'Financial Statements'!R25/'Financial Statements'!R42</f>
        <v>0.0610400716684183</v>
      </c>
    </row>
    <row r="24" spans="1:18">
      <c r="A24" s="16" t="s">
        <v>225</v>
      </c>
      <c r="B24" s="167">
        <f t="shared" ref="B24:R24" si="0">IF(B23&lt;$C44,$B45,HLOOKUP(B23,$C44:$K45,2,TRUE))</f>
        <v>0.02</v>
      </c>
      <c r="C24" s="167">
        <f t="shared" si="0"/>
        <v>0.072</v>
      </c>
      <c r="D24" s="167">
        <f t="shared" si="0"/>
        <v>0.025</v>
      </c>
      <c r="E24" s="167">
        <f t="shared" si="0"/>
        <v>0.02</v>
      </c>
      <c r="F24" s="167">
        <f t="shared" si="0"/>
        <v>0.02</v>
      </c>
      <c r="G24" s="178">
        <f t="shared" si="0"/>
        <v>0.02</v>
      </c>
      <c r="H24" s="178">
        <f t="shared" si="0"/>
        <v>0.02</v>
      </c>
      <c r="I24" s="178">
        <f t="shared" si="0"/>
        <v>0.02</v>
      </c>
      <c r="J24" s="178">
        <f t="shared" si="0"/>
        <v>0.02</v>
      </c>
      <c r="K24" s="178">
        <f t="shared" si="0"/>
        <v>0.02</v>
      </c>
      <c r="L24" s="178">
        <f t="shared" si="0"/>
        <v>0.02</v>
      </c>
      <c r="M24" s="178">
        <f t="shared" si="0"/>
        <v>0.02</v>
      </c>
      <c r="N24" s="178">
        <f t="shared" si="0"/>
        <v>0.02</v>
      </c>
      <c r="O24" s="178">
        <f t="shared" si="0"/>
        <v>0.02</v>
      </c>
      <c r="P24" s="178">
        <f t="shared" si="0"/>
        <v>0.02</v>
      </c>
      <c r="Q24" s="178">
        <f t="shared" si="0"/>
        <v>0.02</v>
      </c>
      <c r="R24" s="178">
        <f t="shared" si="0"/>
        <v>0.02</v>
      </c>
    </row>
    <row r="25" spans="1:18">
      <c r="A25" s="16" t="s">
        <v>226</v>
      </c>
      <c r="B25" s="166">
        <f>'Financial Statements'!B52/'Financial Statements'!B42</f>
        <v>0.560252987852665</v>
      </c>
      <c r="C25" s="166">
        <f>'Financial Statements'!C52/'Financial Statements'!C42</f>
        <v>0.582044559002163</v>
      </c>
      <c r="D25" s="166">
        <f>'Financial Statements'!D52/'Financial Statements'!D42</f>
        <v>0.680463457746263</v>
      </c>
      <c r="E25" s="166">
        <f>'Financial Statements'!E52/'Financial Statements'!E42</f>
        <v>0.647985117897178</v>
      </c>
      <c r="F25" s="166">
        <f>'Financial Statements'!F52/'Financial Statements'!F42</f>
        <v>0.644665727517977</v>
      </c>
      <c r="G25" s="177">
        <f>'Financial Statements'!G52/'Financial Statements'!G42</f>
        <v>0.644665727517977</v>
      </c>
      <c r="H25" s="177">
        <f>'Financial Statements'!H52/'Financial Statements'!H42</f>
        <v>0.644665727517977</v>
      </c>
      <c r="I25" s="177">
        <f>'Financial Statements'!I52/'Financial Statements'!I42</f>
        <v>0.644665727517977</v>
      </c>
      <c r="J25" s="177">
        <f>'Financial Statements'!J52/'Financial Statements'!J42</f>
        <v>0.644665727517977</v>
      </c>
      <c r="K25" s="177">
        <f>'Financial Statements'!K52/'Financial Statements'!K42</f>
        <v>0.644665727517977</v>
      </c>
      <c r="L25" s="177">
        <f>'Financial Statements'!L52/'Financial Statements'!L42</f>
        <v>0.644665727517977</v>
      </c>
      <c r="M25" s="177">
        <f>'Financial Statements'!M52/'Financial Statements'!M42</f>
        <v>0.644665727517977</v>
      </c>
      <c r="N25" s="177">
        <f>'Financial Statements'!N52/'Financial Statements'!N42</f>
        <v>0.644665727517977</v>
      </c>
      <c r="O25" s="177">
        <f>'Financial Statements'!O52/'Financial Statements'!O42</f>
        <v>0.644665727517977</v>
      </c>
      <c r="P25" s="177">
        <f>'Financial Statements'!P52/'Financial Statements'!P42</f>
        <v>0.644665727517977</v>
      </c>
      <c r="Q25" s="177">
        <f>'Financial Statements'!Q52/'Financial Statements'!Q42</f>
        <v>0.644665727517977</v>
      </c>
      <c r="R25" s="177">
        <f>'Financial Statements'!R52/'Financial Statements'!R42</f>
        <v>0.644665727517977</v>
      </c>
    </row>
    <row r="26" spans="1:18">
      <c r="A26" s="16" t="s">
        <v>225</v>
      </c>
      <c r="B26" s="167">
        <f t="shared" ref="B26:R26" si="1">IF(B25&lt;$C46,$B47,HLOOKUP(B25,$C46:$K47,2,TRUE))</f>
        <v>0.045</v>
      </c>
      <c r="C26" s="167">
        <f t="shared" si="1"/>
        <v>0.045</v>
      </c>
      <c r="D26" s="167">
        <f t="shared" si="1"/>
        <v>0.055</v>
      </c>
      <c r="E26" s="167">
        <f t="shared" si="1"/>
        <v>0.055</v>
      </c>
      <c r="F26" s="167">
        <f t="shared" si="1"/>
        <v>0.055</v>
      </c>
      <c r="G26" s="178">
        <f t="shared" si="1"/>
        <v>0.055</v>
      </c>
      <c r="H26" s="178">
        <f t="shared" si="1"/>
        <v>0.055</v>
      </c>
      <c r="I26" s="178">
        <f t="shared" si="1"/>
        <v>0.055</v>
      </c>
      <c r="J26" s="178">
        <f t="shared" si="1"/>
        <v>0.055</v>
      </c>
      <c r="K26" s="178">
        <f t="shared" si="1"/>
        <v>0.055</v>
      </c>
      <c r="L26" s="178">
        <f t="shared" si="1"/>
        <v>0.055</v>
      </c>
      <c r="M26" s="178">
        <f t="shared" si="1"/>
        <v>0.055</v>
      </c>
      <c r="N26" s="178">
        <f t="shared" si="1"/>
        <v>0.055</v>
      </c>
      <c r="O26" s="178">
        <f t="shared" si="1"/>
        <v>0.055</v>
      </c>
      <c r="P26" s="178">
        <f t="shared" si="1"/>
        <v>0.055</v>
      </c>
      <c r="Q26" s="178">
        <f t="shared" si="1"/>
        <v>0.055</v>
      </c>
      <c r="R26" s="178">
        <f t="shared" si="1"/>
        <v>0.055</v>
      </c>
    </row>
    <row r="27" spans="1:18">
      <c r="A27" s="16" t="s">
        <v>139</v>
      </c>
      <c r="B27" s="165">
        <f>B18</f>
        <v>0.383966982616907</v>
      </c>
      <c r="C27" s="165">
        <f>C18</f>
        <v>0.26129694135611</v>
      </c>
      <c r="D27" s="165">
        <f>D18</f>
        <v>0.165233328633864</v>
      </c>
      <c r="E27" s="165">
        <f>E18</f>
        <v>0.392354502318848</v>
      </c>
      <c r="F27" s="165">
        <f>F18</f>
        <v>0.248599339175406</v>
      </c>
      <c r="G27" s="176">
        <f t="shared" ref="G27:R27" si="2">G18</f>
        <v>0.248599339175406</v>
      </c>
      <c r="H27" s="176">
        <f t="shared" si="2"/>
        <v>0.248599339175406</v>
      </c>
      <c r="I27" s="176">
        <f t="shared" si="2"/>
        <v>0.248599339175406</v>
      </c>
      <c r="J27" s="176">
        <f t="shared" si="2"/>
        <v>0.248599339175406</v>
      </c>
      <c r="K27" s="176">
        <f t="shared" si="2"/>
        <v>0.248599339175406</v>
      </c>
      <c r="L27" s="176">
        <f t="shared" si="2"/>
        <v>0.248599339175406</v>
      </c>
      <c r="M27" s="176">
        <f t="shared" si="2"/>
        <v>0.248599339175406</v>
      </c>
      <c r="N27" s="176">
        <f t="shared" si="2"/>
        <v>0.248599339175406</v>
      </c>
      <c r="O27" s="176">
        <f t="shared" si="2"/>
        <v>0.248599339175406</v>
      </c>
      <c r="P27" s="176">
        <f t="shared" si="2"/>
        <v>0.248599339175406</v>
      </c>
      <c r="Q27" s="176">
        <f t="shared" si="2"/>
        <v>0.248599339175406</v>
      </c>
      <c r="R27" s="176">
        <f t="shared" si="2"/>
        <v>0.248599339175406</v>
      </c>
    </row>
    <row r="28" spans="1:18">
      <c r="A28" s="16" t="s">
        <v>225</v>
      </c>
      <c r="B28" s="167">
        <f t="shared" ref="B28:R28" si="3">IF(B27&lt;$C48,$B49,HLOOKUP(B27,$C48:$K49,2,TRUE))</f>
        <v>0.065</v>
      </c>
      <c r="C28" s="167">
        <f t="shared" si="3"/>
        <v>0.09</v>
      </c>
      <c r="D28" s="167">
        <f t="shared" si="3"/>
        <v>0.09</v>
      </c>
      <c r="E28" s="167">
        <f t="shared" si="3"/>
        <v>0.065</v>
      </c>
      <c r="F28" s="167">
        <f t="shared" si="3"/>
        <v>0.09</v>
      </c>
      <c r="G28" s="179">
        <f t="shared" si="3"/>
        <v>0.09</v>
      </c>
      <c r="H28" s="179">
        <f t="shared" si="3"/>
        <v>0.09</v>
      </c>
      <c r="I28" s="179">
        <f t="shared" si="3"/>
        <v>0.09</v>
      </c>
      <c r="J28" s="179">
        <f t="shared" si="3"/>
        <v>0.09</v>
      </c>
      <c r="K28" s="179">
        <f t="shared" si="3"/>
        <v>0.09</v>
      </c>
      <c r="L28" s="179">
        <f t="shared" si="3"/>
        <v>0.09</v>
      </c>
      <c r="M28" s="179">
        <f t="shared" si="3"/>
        <v>0.09</v>
      </c>
      <c r="N28" s="179">
        <f t="shared" si="3"/>
        <v>0.09</v>
      </c>
      <c r="O28" s="179">
        <f t="shared" si="3"/>
        <v>0.09</v>
      </c>
      <c r="P28" s="179">
        <f t="shared" si="3"/>
        <v>0.09</v>
      </c>
      <c r="Q28" s="179">
        <f t="shared" si="3"/>
        <v>0.09</v>
      </c>
      <c r="R28" s="179">
        <f t="shared" si="3"/>
        <v>0.09</v>
      </c>
    </row>
    <row r="29" spans="1:18">
      <c r="A29" s="16" t="s">
        <v>227</v>
      </c>
      <c r="B29" s="168">
        <f>B19</f>
        <v>6.62392312789927</v>
      </c>
      <c r="C29" s="168">
        <f>C19</f>
        <v>-2.53918918918919</v>
      </c>
      <c r="D29" s="168">
        <f>D19</f>
        <v>7.78655151141271</v>
      </c>
      <c r="E29" s="168">
        <f>E19</f>
        <v>12.816700610998</v>
      </c>
      <c r="F29" s="168">
        <f>F19</f>
        <v>10.1252096143097</v>
      </c>
      <c r="G29" s="180">
        <f t="shared" ref="G29:R29" si="4">G19</f>
        <v>9.99590768121618</v>
      </c>
      <c r="H29" s="180">
        <f t="shared" si="4"/>
        <v>9.99511525367375</v>
      </c>
      <c r="I29" s="180">
        <f t="shared" si="4"/>
        <v>9.99432269650306</v>
      </c>
      <c r="J29" s="180">
        <f t="shared" si="4"/>
        <v>9.99353000967234</v>
      </c>
      <c r="K29" s="180">
        <f t="shared" si="4"/>
        <v>9.99273719314977</v>
      </c>
      <c r="L29" s="180">
        <f t="shared" si="4"/>
        <v>9.99194424690347</v>
      </c>
      <c r="M29" s="180">
        <f t="shared" si="4"/>
        <v>9.99115117090165</v>
      </c>
      <c r="N29" s="180">
        <f t="shared" si="4"/>
        <v>9.99035796511244</v>
      </c>
      <c r="O29" s="180">
        <f t="shared" si="4"/>
        <v>9.98956462950395</v>
      </c>
      <c r="P29" s="180">
        <f t="shared" si="4"/>
        <v>9.98877116404436</v>
      </c>
      <c r="Q29" s="180">
        <f t="shared" si="4"/>
        <v>9.98797756870176</v>
      </c>
      <c r="R29" s="180">
        <f t="shared" si="4"/>
        <v>9.98797756870177</v>
      </c>
    </row>
    <row r="30" spans="1:18">
      <c r="A30" s="16" t="s">
        <v>225</v>
      </c>
      <c r="B30" s="167">
        <f t="shared" ref="B30:R30" si="5">IF(B29&lt;$C50,$B51,HLOOKUP(B29,$C50:$K51,2,TRUE))</f>
        <v>0.018</v>
      </c>
      <c r="C30" s="167">
        <f t="shared" si="5"/>
        <v>0.085</v>
      </c>
      <c r="D30" s="167">
        <f t="shared" si="5"/>
        <v>0.018</v>
      </c>
      <c r="E30" s="167">
        <f t="shared" si="5"/>
        <v>0.015</v>
      </c>
      <c r="F30" s="167">
        <f t="shared" si="5"/>
        <v>0.015</v>
      </c>
      <c r="G30" s="179">
        <f t="shared" si="5"/>
        <v>0.015</v>
      </c>
      <c r="H30" s="179">
        <f t="shared" si="5"/>
        <v>0.015</v>
      </c>
      <c r="I30" s="179">
        <f t="shared" si="5"/>
        <v>0.015</v>
      </c>
      <c r="J30" s="179">
        <f t="shared" si="5"/>
        <v>0.015</v>
      </c>
      <c r="K30" s="179">
        <f t="shared" si="5"/>
        <v>0.015</v>
      </c>
      <c r="L30" s="179">
        <f t="shared" si="5"/>
        <v>0.015</v>
      </c>
      <c r="M30" s="179">
        <f t="shared" si="5"/>
        <v>0.015</v>
      </c>
      <c r="N30" s="179">
        <f t="shared" si="5"/>
        <v>0.015</v>
      </c>
      <c r="O30" s="179">
        <f t="shared" si="5"/>
        <v>0.015</v>
      </c>
      <c r="P30" s="179">
        <f t="shared" si="5"/>
        <v>0.015</v>
      </c>
      <c r="Q30" s="179">
        <f t="shared" si="5"/>
        <v>0.015</v>
      </c>
      <c r="R30" s="179">
        <f t="shared" si="5"/>
        <v>0.015</v>
      </c>
    </row>
    <row r="31" spans="1:18">
      <c r="A31" s="16" t="s">
        <v>228</v>
      </c>
      <c r="B31" s="169">
        <f>-365*'Financial Statements'!B35/'Financial Statements'!B13</f>
        <v>75.9869216216926</v>
      </c>
      <c r="C31" s="169">
        <f>-365*'Financial Statements'!C35/'Financial Statements'!C13</f>
        <v>81.2960606709583</v>
      </c>
      <c r="D31" s="169">
        <f>-365*'Financial Statements'!D35/'Financial Statements'!D13</f>
        <v>77.5813060874708</v>
      </c>
      <c r="E31" s="169">
        <f>-365*'Financial Statements'!E35/'Financial Statements'!E13</f>
        <v>70.5824431917571</v>
      </c>
      <c r="F31" s="169">
        <f>-365*'Financial Statements'!F35/'Financial Statements'!F13</f>
        <v>85.7240539276054</v>
      </c>
      <c r="G31" s="181">
        <f>-365*'Financial Statements'!G35/'Financial Statements'!G13</f>
        <v>85.7240539276054</v>
      </c>
      <c r="H31" s="181">
        <f>-365*'Financial Statements'!H35/'Financial Statements'!H13</f>
        <v>85.7240539276054</v>
      </c>
      <c r="I31" s="181">
        <f>-365*'Financial Statements'!I35/'Financial Statements'!I13</f>
        <v>85.7240539276054</v>
      </c>
      <c r="J31" s="181">
        <f>-365*'Financial Statements'!J35/'Financial Statements'!J13</f>
        <v>85.7240539276054</v>
      </c>
      <c r="K31" s="181">
        <f>-365*'Financial Statements'!K35/'Financial Statements'!K13</f>
        <v>85.7240539276054</v>
      </c>
      <c r="L31" s="181">
        <f>-365*'Financial Statements'!L35/'Financial Statements'!L13</f>
        <v>85.7240539276054</v>
      </c>
      <c r="M31" s="181">
        <f>-365*'Financial Statements'!M35/'Financial Statements'!M13</f>
        <v>85.7240539276054</v>
      </c>
      <c r="N31" s="181">
        <f>-365*'Financial Statements'!N35/'Financial Statements'!N13</f>
        <v>85.7240539276054</v>
      </c>
      <c r="O31" s="181">
        <f>-365*'Financial Statements'!O35/'Financial Statements'!O13</f>
        <v>85.7240539276054</v>
      </c>
      <c r="P31" s="181">
        <f>-365*'Financial Statements'!P35/'Financial Statements'!P13</f>
        <v>85.7240539276054</v>
      </c>
      <c r="Q31" s="181">
        <f>-365*'Financial Statements'!Q35/'Financial Statements'!Q13</f>
        <v>85.7240539276054</v>
      </c>
      <c r="R31" s="181">
        <f>-365*'Financial Statements'!R35/'Financial Statements'!R13</f>
        <v>85.7240539276054</v>
      </c>
    </row>
    <row r="32" spans="1:18">
      <c r="A32" s="16" t="s">
        <v>225</v>
      </c>
      <c r="B32" s="167">
        <f t="shared" ref="B32:R32" si="6">IF(B31&lt;$C52,$B53,HLOOKUP(B31,$C52:$K53,2,TRUE))</f>
        <v>0.049</v>
      </c>
      <c r="C32" s="167">
        <f t="shared" si="6"/>
        <v>0.049</v>
      </c>
      <c r="D32" s="167">
        <f t="shared" si="6"/>
        <v>0.049</v>
      </c>
      <c r="E32" s="167">
        <f t="shared" si="6"/>
        <v>0.049</v>
      </c>
      <c r="F32" s="167">
        <f t="shared" si="6"/>
        <v>0.049</v>
      </c>
      <c r="G32" s="179">
        <f t="shared" si="6"/>
        <v>0.049</v>
      </c>
      <c r="H32" s="179">
        <f t="shared" si="6"/>
        <v>0.049</v>
      </c>
      <c r="I32" s="179">
        <f t="shared" si="6"/>
        <v>0.049</v>
      </c>
      <c r="J32" s="179">
        <f t="shared" si="6"/>
        <v>0.049</v>
      </c>
      <c r="K32" s="179">
        <f t="shared" si="6"/>
        <v>0.049</v>
      </c>
      <c r="L32" s="179">
        <f t="shared" si="6"/>
        <v>0.049</v>
      </c>
      <c r="M32" s="179">
        <f t="shared" si="6"/>
        <v>0.049</v>
      </c>
      <c r="N32" s="179">
        <f t="shared" si="6"/>
        <v>0.049</v>
      </c>
      <c r="O32" s="179">
        <f t="shared" si="6"/>
        <v>0.049</v>
      </c>
      <c r="P32" s="179">
        <f t="shared" si="6"/>
        <v>0.049</v>
      </c>
      <c r="Q32" s="179">
        <f t="shared" si="6"/>
        <v>0.049</v>
      </c>
      <c r="R32" s="179">
        <f t="shared" si="6"/>
        <v>0.049</v>
      </c>
    </row>
    <row r="33" spans="1:18">
      <c r="A33" s="16" t="s">
        <v>229</v>
      </c>
      <c r="B33" s="151">
        <f>'Ratio Analysis'!B10</f>
        <v>0</v>
      </c>
      <c r="C33" s="151">
        <f>'Ratio Analysis'!C10</f>
        <v>0.0259737924524062</v>
      </c>
      <c r="D33" s="151">
        <f>'Ratio Analysis'!D10</f>
        <v>0.0345042128000772</v>
      </c>
      <c r="E33" s="151">
        <f>'Ratio Analysis'!E10</f>
        <v>0.0804081183187355</v>
      </c>
      <c r="F33" s="151">
        <f>'Ratio Analysis'!F10</f>
        <v>0.0318276079704265</v>
      </c>
      <c r="G33" s="179">
        <f>'Ratio Analysis'!G10</f>
        <v>0.0316614617912969</v>
      </c>
      <c r="H33" s="179">
        <f>'Ratio Analysis'!H10</f>
        <v>0.0314953156121671</v>
      </c>
      <c r="I33" s="179">
        <f>'Ratio Analysis'!I10</f>
        <v>0.0313291694330375</v>
      </c>
      <c r="J33" s="179">
        <f>'Ratio Analysis'!J10</f>
        <v>0.0311630232539077</v>
      </c>
      <c r="K33" s="179">
        <f>'Ratio Analysis'!K10</f>
        <v>0.0309968770747782</v>
      </c>
      <c r="L33" s="179">
        <f>'Ratio Analysis'!L10</f>
        <v>0.0308307308956484</v>
      </c>
      <c r="M33" s="179">
        <f>'Ratio Analysis'!M10</f>
        <v>0.0306645847165188</v>
      </c>
      <c r="N33" s="179">
        <f>'Ratio Analysis'!N10</f>
        <v>0.030498438537389</v>
      </c>
      <c r="O33" s="179">
        <f>'Ratio Analysis'!O10</f>
        <v>0.0303322923582594</v>
      </c>
      <c r="P33" s="179">
        <f>'Ratio Analysis'!P10</f>
        <v>0.0301661461791296</v>
      </c>
      <c r="Q33" s="179">
        <f>'Ratio Analysis'!Q10</f>
        <v>0.03</v>
      </c>
      <c r="R33" s="179">
        <f>'Ratio Analysis'!R10</f>
        <v>0.03</v>
      </c>
    </row>
    <row r="34" spans="1:18">
      <c r="A34" s="16" t="s">
        <v>225</v>
      </c>
      <c r="B34" s="167">
        <f t="shared" ref="B34:R34" si="7">IF(B33&lt;$C54,$B55,HLOOKUP(B33,$C54:$K55,2,TRUE))</f>
        <v>0.042</v>
      </c>
      <c r="C34" s="167">
        <f t="shared" si="7"/>
        <v>0.032</v>
      </c>
      <c r="D34" s="167">
        <f t="shared" si="7"/>
        <v>0.032</v>
      </c>
      <c r="E34" s="167">
        <f t="shared" si="7"/>
        <v>0.03</v>
      </c>
      <c r="F34" s="167">
        <f t="shared" si="7"/>
        <v>0.032</v>
      </c>
      <c r="G34" s="179">
        <f t="shared" si="7"/>
        <v>0.032</v>
      </c>
      <c r="H34" s="179">
        <f t="shared" si="7"/>
        <v>0.032</v>
      </c>
      <c r="I34" s="179">
        <f t="shared" si="7"/>
        <v>0.032</v>
      </c>
      <c r="J34" s="179">
        <f t="shared" si="7"/>
        <v>0.032</v>
      </c>
      <c r="K34" s="179">
        <f t="shared" si="7"/>
        <v>0.032</v>
      </c>
      <c r="L34" s="179">
        <f t="shared" si="7"/>
        <v>0.032</v>
      </c>
      <c r="M34" s="179">
        <f t="shared" si="7"/>
        <v>0.032</v>
      </c>
      <c r="N34" s="179">
        <f t="shared" si="7"/>
        <v>0.032</v>
      </c>
      <c r="O34" s="179">
        <f t="shared" si="7"/>
        <v>0.032</v>
      </c>
      <c r="P34" s="179">
        <f t="shared" si="7"/>
        <v>0.032</v>
      </c>
      <c r="Q34" s="179">
        <f t="shared" si="7"/>
        <v>0.032</v>
      </c>
      <c r="R34" s="179">
        <f t="shared" si="7"/>
        <v>0.032</v>
      </c>
    </row>
    <row r="35" spans="1:18">
      <c r="A35" t="s">
        <v>230</v>
      </c>
      <c r="B35" s="151">
        <f t="shared" ref="B35:R35" si="8">AVERAGE(B24,B26,B28,B30,B32,B34)</f>
        <v>0.0398333333333333</v>
      </c>
      <c r="C35" s="151">
        <f t="shared" si="8"/>
        <v>0.0621666666666667</v>
      </c>
      <c r="D35" s="151">
        <f t="shared" si="8"/>
        <v>0.0448333333333333</v>
      </c>
      <c r="E35" s="151">
        <f t="shared" si="8"/>
        <v>0.039</v>
      </c>
      <c r="F35" s="151">
        <f t="shared" si="8"/>
        <v>0.0435</v>
      </c>
      <c r="G35" s="179">
        <f t="shared" si="8"/>
        <v>0.0435</v>
      </c>
      <c r="H35" s="179">
        <f t="shared" si="8"/>
        <v>0.0435</v>
      </c>
      <c r="I35" s="179">
        <f t="shared" si="8"/>
        <v>0.0435</v>
      </c>
      <c r="J35" s="179">
        <f t="shared" si="8"/>
        <v>0.0435</v>
      </c>
      <c r="K35" s="179">
        <f t="shared" si="8"/>
        <v>0.0435</v>
      </c>
      <c r="L35" s="179">
        <f t="shared" si="8"/>
        <v>0.0435</v>
      </c>
      <c r="M35" s="179">
        <f t="shared" si="8"/>
        <v>0.0435</v>
      </c>
      <c r="N35" s="179">
        <f t="shared" si="8"/>
        <v>0.0435</v>
      </c>
      <c r="O35" s="179">
        <f t="shared" si="8"/>
        <v>0.0435</v>
      </c>
      <c r="P35" s="179">
        <f t="shared" si="8"/>
        <v>0.0435</v>
      </c>
      <c r="Q35" s="179">
        <f t="shared" si="8"/>
        <v>0.0435</v>
      </c>
      <c r="R35" s="179">
        <f t="shared" si="8"/>
        <v>0.0435</v>
      </c>
    </row>
    <row r="36" spans="2:18">
      <c r="B36" s="151"/>
      <c r="C36" s="151"/>
      <c r="D36" s="151"/>
      <c r="E36" s="151"/>
      <c r="F36" s="151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</row>
    <row r="37" s="162" customFormat="1" spans="1:18">
      <c r="A37" s="162" t="s">
        <v>142</v>
      </c>
      <c r="B37" s="170">
        <f>IF(MONTH(B7)&gt;6,YEAR(B7),YEAR(B7)-1)</f>
        <v>2017</v>
      </c>
      <c r="C37" s="170">
        <f>IF(MONTH(C7)&gt;6,YEAR(C7),YEAR(C7)-1)</f>
        <v>2018</v>
      </c>
      <c r="D37" s="170">
        <f>IF(MONTH(D7)&gt;6,YEAR(D7),YEAR(D7)-1)</f>
        <v>2019</v>
      </c>
      <c r="E37" s="170">
        <f t="shared" ref="E37:R37" si="9">IF(MONTH(E7)&gt;6,YEAR(E7),YEAR(E7)-1)</f>
        <v>2020</v>
      </c>
      <c r="F37" s="170">
        <f t="shared" si="9"/>
        <v>2021</v>
      </c>
      <c r="G37" s="162">
        <f t="shared" si="9"/>
        <v>2022</v>
      </c>
      <c r="H37" s="162">
        <f t="shared" si="9"/>
        <v>2023</v>
      </c>
      <c r="I37" s="162">
        <f t="shared" si="9"/>
        <v>2024</v>
      </c>
      <c r="J37" s="162">
        <f t="shared" si="9"/>
        <v>2025</v>
      </c>
      <c r="K37" s="162">
        <f t="shared" si="9"/>
        <v>2026</v>
      </c>
      <c r="L37" s="162">
        <f t="shared" si="9"/>
        <v>2027</v>
      </c>
      <c r="M37" s="162">
        <f t="shared" si="9"/>
        <v>2028</v>
      </c>
      <c r="N37" s="162">
        <f t="shared" si="9"/>
        <v>2029</v>
      </c>
      <c r="O37" s="162">
        <f t="shared" si="9"/>
        <v>2030</v>
      </c>
      <c r="P37" s="162">
        <f t="shared" si="9"/>
        <v>2031</v>
      </c>
      <c r="Q37" s="162">
        <f t="shared" si="9"/>
        <v>2032</v>
      </c>
      <c r="R37" s="162">
        <f t="shared" si="9"/>
        <v>2033</v>
      </c>
    </row>
    <row r="38" ht="15.95" spans="2:6">
      <c r="B38" s="61"/>
      <c r="C38" s="61"/>
      <c r="D38" s="61"/>
      <c r="E38" s="61"/>
      <c r="F38" s="61"/>
    </row>
    <row r="39" ht="15.95" spans="1:6">
      <c r="A39" s="171" t="s">
        <v>231</v>
      </c>
      <c r="B39" s="172" t="s">
        <v>232</v>
      </c>
      <c r="C39" s="173" t="s">
        <v>233</v>
      </c>
      <c r="D39" s="174" t="s">
        <v>234</v>
      </c>
      <c r="E39" s="61"/>
      <c r="F39" s="61"/>
    </row>
    <row r="40" spans="2:6">
      <c r="B40" s="61"/>
      <c r="C40" s="61"/>
      <c r="D40" s="61"/>
      <c r="E40" s="61"/>
      <c r="F40" s="61"/>
    </row>
    <row r="41" spans="2:6">
      <c r="B41" s="61"/>
      <c r="C41" s="61"/>
      <c r="D41" s="61"/>
      <c r="E41" s="61"/>
      <c r="F41" s="61"/>
    </row>
    <row r="42" spans="2:6">
      <c r="B42" s="61"/>
      <c r="C42" s="61"/>
      <c r="D42" s="61"/>
      <c r="E42" s="61"/>
      <c r="F42" s="61"/>
    </row>
    <row r="43" spans="1:18">
      <c r="A43" s="17" t="s">
        <v>235</v>
      </c>
      <c r="B43" t="s">
        <v>236</v>
      </c>
      <c r="C43" t="s">
        <v>237</v>
      </c>
      <c r="D43" t="s">
        <v>238</v>
      </c>
      <c r="E43" s="175" t="s">
        <v>239</v>
      </c>
      <c r="F43" s="175" t="s">
        <v>240</v>
      </c>
      <c r="G43" s="175" t="s">
        <v>241</v>
      </c>
      <c r="H43" s="175" t="s">
        <v>242</v>
      </c>
      <c r="I43" s="175" t="s">
        <v>243</v>
      </c>
      <c r="J43" s="175" t="s">
        <v>244</v>
      </c>
      <c r="K43" s="175" t="s">
        <v>245</v>
      </c>
      <c r="L43" s="176" t="s">
        <v>246</v>
      </c>
      <c r="M43" s="176" t="s">
        <v>247</v>
      </c>
      <c r="N43" s="175"/>
      <c r="O43" s="175"/>
      <c r="P43" s="175"/>
      <c r="Q43" s="175"/>
      <c r="R43" s="175"/>
    </row>
    <row r="44" spans="1:18">
      <c r="A44" t="s">
        <v>248</v>
      </c>
      <c r="C44">
        <v>-0.448</v>
      </c>
      <c r="D44">
        <v>-0.161</v>
      </c>
      <c r="E44">
        <v>-0.049</v>
      </c>
      <c r="F44" s="175">
        <v>0.001</v>
      </c>
      <c r="G44" s="175">
        <v>0.022</v>
      </c>
      <c r="H44" s="175">
        <v>0.038</v>
      </c>
      <c r="I44" s="175">
        <v>0.056</v>
      </c>
      <c r="J44" s="175">
        <v>0.079</v>
      </c>
      <c r="K44" s="175">
        <v>0.118</v>
      </c>
      <c r="L44" s="175"/>
      <c r="M44" s="175"/>
      <c r="N44" s="175"/>
      <c r="O44" s="175"/>
      <c r="P44" s="175"/>
      <c r="Q44" s="175"/>
      <c r="R44" s="175"/>
    </row>
    <row r="45" spans="1:18">
      <c r="A45" t="s">
        <v>249</v>
      </c>
      <c r="B45">
        <v>0.083</v>
      </c>
      <c r="C45">
        <v>0.08</v>
      </c>
      <c r="D45">
        <v>0.072</v>
      </c>
      <c r="E45" s="175">
        <v>0.055</v>
      </c>
      <c r="F45" s="175">
        <v>0.045</v>
      </c>
      <c r="G45" s="175">
        <v>0.03</v>
      </c>
      <c r="H45" s="175">
        <v>0.025</v>
      </c>
      <c r="I45" s="175">
        <v>0.02</v>
      </c>
      <c r="J45" s="175">
        <v>0.02</v>
      </c>
      <c r="K45" s="175">
        <v>0.02</v>
      </c>
      <c r="L45" s="175">
        <f>K45</f>
        <v>0.02</v>
      </c>
      <c r="M45" s="175">
        <f>B45</f>
        <v>0.083</v>
      </c>
      <c r="N45" s="175">
        <f>AVERAGE(L45:M45)</f>
        <v>0.0515</v>
      </c>
      <c r="O45" s="175"/>
      <c r="P45" s="175"/>
      <c r="Q45" s="175"/>
      <c r="R45" s="175"/>
    </row>
    <row r="46" spans="1:18">
      <c r="A46" t="s">
        <v>250</v>
      </c>
      <c r="C46">
        <v>0.175</v>
      </c>
      <c r="D46">
        <v>0.283</v>
      </c>
      <c r="E46">
        <v>0.385</v>
      </c>
      <c r="F46" s="175">
        <v>0.476</v>
      </c>
      <c r="G46" s="175">
        <v>0.558</v>
      </c>
      <c r="H46" s="175">
        <v>0.633</v>
      </c>
      <c r="I46" s="175">
        <v>0.709</v>
      </c>
      <c r="J46" s="175">
        <v>0.816</v>
      </c>
      <c r="K46" s="175">
        <v>1.03</v>
      </c>
      <c r="L46" s="175"/>
      <c r="M46" s="175"/>
      <c r="N46" s="175"/>
      <c r="O46" s="175"/>
      <c r="P46" s="175"/>
      <c r="Q46" s="175"/>
      <c r="R46" s="175"/>
    </row>
    <row r="47" spans="1:14">
      <c r="A47" t="s">
        <v>251</v>
      </c>
      <c r="B47">
        <v>0.02</v>
      </c>
      <c r="C47">
        <v>0.022</v>
      </c>
      <c r="D47">
        <v>0.025</v>
      </c>
      <c r="E47" s="175">
        <v>0.03</v>
      </c>
      <c r="F47" s="175">
        <v>0.035</v>
      </c>
      <c r="G47" s="175">
        <v>0.045</v>
      </c>
      <c r="H47" s="175">
        <v>0.055</v>
      </c>
      <c r="I47" s="175">
        <v>0.07</v>
      </c>
      <c r="J47" s="175">
        <v>0.09</v>
      </c>
      <c r="K47" s="175">
        <v>0.1</v>
      </c>
      <c r="L47" s="175">
        <f>B47</f>
        <v>0.02</v>
      </c>
      <c r="M47" s="175">
        <f>K47</f>
        <v>0.1</v>
      </c>
      <c r="N47" s="175">
        <f>AVERAGE(L47:M47)</f>
        <v>0.06</v>
      </c>
    </row>
    <row r="48" spans="1:11">
      <c r="A48" t="s">
        <v>252</v>
      </c>
      <c r="C48">
        <v>0.382</v>
      </c>
      <c r="D48">
        <v>0.522</v>
      </c>
      <c r="E48">
        <v>0.809</v>
      </c>
      <c r="F48">
        <v>0.994</v>
      </c>
      <c r="G48" s="175">
        <v>1.2</v>
      </c>
      <c r="H48" s="175">
        <v>1.47</v>
      </c>
      <c r="I48" s="175">
        <v>1.89</v>
      </c>
      <c r="J48" s="175">
        <v>2.53</v>
      </c>
      <c r="K48" s="175">
        <v>4.55</v>
      </c>
    </row>
    <row r="49" spans="1:14">
      <c r="A49" t="s">
        <v>253</v>
      </c>
      <c r="B49">
        <v>0.09</v>
      </c>
      <c r="C49">
        <v>0.065</v>
      </c>
      <c r="D49">
        <v>0.05</v>
      </c>
      <c r="E49" s="175">
        <v>0.042</v>
      </c>
      <c r="F49" s="175">
        <v>0.04</v>
      </c>
      <c r="G49" s="175">
        <v>0.035</v>
      </c>
      <c r="H49" s="175">
        <v>0.025</v>
      </c>
      <c r="I49" s="175">
        <v>0.02</v>
      </c>
      <c r="J49" s="175">
        <v>0.015</v>
      </c>
      <c r="K49" s="175">
        <v>0.01</v>
      </c>
      <c r="L49" s="175">
        <f>K49</f>
        <v>0.01</v>
      </c>
      <c r="M49" s="175">
        <f>B49</f>
        <v>0.09</v>
      </c>
      <c r="N49" s="175">
        <f>AVERAGE(L49:M49)</f>
        <v>0.05</v>
      </c>
    </row>
    <row r="50" spans="1:11">
      <c r="A50" t="s">
        <v>254</v>
      </c>
      <c r="C50">
        <v>-17.4</v>
      </c>
      <c r="D50">
        <v>-3.6</v>
      </c>
      <c r="E50">
        <v>-0.139</v>
      </c>
      <c r="F50">
        <v>1.25</v>
      </c>
      <c r="G50" s="175">
        <v>2.21</v>
      </c>
      <c r="H50" s="175">
        <v>3.38</v>
      </c>
      <c r="I50" s="175">
        <v>5.21</v>
      </c>
      <c r="J50" s="175">
        <v>9.16</v>
      </c>
      <c r="K50" s="175">
        <v>23.8</v>
      </c>
    </row>
    <row r="51" spans="1:14">
      <c r="A51" t="s">
        <v>255</v>
      </c>
      <c r="B51">
        <v>0.075</v>
      </c>
      <c r="C51">
        <v>0.09</v>
      </c>
      <c r="D51">
        <v>0.085</v>
      </c>
      <c r="E51" s="175">
        <v>0.07</v>
      </c>
      <c r="F51" s="175">
        <v>0.05</v>
      </c>
      <c r="G51" s="175">
        <v>0.03</v>
      </c>
      <c r="H51" s="175">
        <v>0.021</v>
      </c>
      <c r="I51" s="175">
        <v>0.018</v>
      </c>
      <c r="J51" s="175">
        <v>0.015</v>
      </c>
      <c r="K51" s="175">
        <v>0.01</v>
      </c>
      <c r="L51" s="175">
        <f>K51</f>
        <v>0.01</v>
      </c>
      <c r="M51" s="175">
        <f>B51</f>
        <v>0.075</v>
      </c>
      <c r="N51" s="175">
        <f>AVERAGE(L51:M51)</f>
        <v>0.0425</v>
      </c>
    </row>
    <row r="52" spans="1:11">
      <c r="A52" t="s">
        <v>256</v>
      </c>
      <c r="C52">
        <v>0.365</v>
      </c>
      <c r="D52">
        <v>2.56</v>
      </c>
      <c r="E52">
        <v>14.24</v>
      </c>
      <c r="F52">
        <v>31.39</v>
      </c>
      <c r="G52">
        <v>50</v>
      </c>
      <c r="H52" s="175">
        <v>70.08</v>
      </c>
      <c r="I52" s="175">
        <v>91.98</v>
      </c>
      <c r="J52" s="175">
        <v>121.54</v>
      </c>
      <c r="K52" s="175">
        <v>174.47</v>
      </c>
    </row>
    <row r="53" spans="1:14">
      <c r="A53" t="s">
        <v>257</v>
      </c>
      <c r="B53">
        <v>0.03</v>
      </c>
      <c r="C53">
        <v>0.035</v>
      </c>
      <c r="D53">
        <v>0.039</v>
      </c>
      <c r="E53" s="175">
        <v>0.04</v>
      </c>
      <c r="F53" s="175">
        <v>0.042</v>
      </c>
      <c r="G53" s="175">
        <v>0.045</v>
      </c>
      <c r="H53" s="175">
        <v>0.049</v>
      </c>
      <c r="I53" s="175">
        <v>0.055</v>
      </c>
      <c r="J53" s="175">
        <v>0.06</v>
      </c>
      <c r="K53" s="175">
        <v>0.07</v>
      </c>
      <c r="L53" s="175">
        <f>B53</f>
        <v>0.03</v>
      </c>
      <c r="M53" s="175">
        <f>K53</f>
        <v>0.07</v>
      </c>
      <c r="N53" s="175">
        <f>AVERAGE(L53:M53)</f>
        <v>0.05</v>
      </c>
    </row>
    <row r="54" spans="1:11">
      <c r="A54" t="s">
        <v>258</v>
      </c>
      <c r="C54">
        <v>-0.203</v>
      </c>
      <c r="D54">
        <v>-0.063</v>
      </c>
      <c r="E54">
        <v>0.003</v>
      </c>
      <c r="F54">
        <v>0.05</v>
      </c>
      <c r="G54">
        <v>0.098</v>
      </c>
      <c r="H54" s="175">
        <v>0.158</v>
      </c>
      <c r="I54" s="175">
        <v>0.244</v>
      </c>
      <c r="J54" s="175">
        <v>0.398</v>
      </c>
      <c r="K54" s="175">
        <v>0.797</v>
      </c>
    </row>
    <row r="55" spans="1:14">
      <c r="A55" t="s">
        <v>259</v>
      </c>
      <c r="B55">
        <v>0.069</v>
      </c>
      <c r="C55">
        <v>0.055</v>
      </c>
      <c r="D55">
        <v>0.042</v>
      </c>
      <c r="E55" s="175">
        <v>0.032</v>
      </c>
      <c r="F55" s="175">
        <v>0.03</v>
      </c>
      <c r="G55" s="175">
        <v>0.03</v>
      </c>
      <c r="H55" s="175">
        <v>0.032</v>
      </c>
      <c r="I55" s="175">
        <v>0.042</v>
      </c>
      <c r="J55" s="175">
        <v>0.05</v>
      </c>
      <c r="K55" s="175">
        <v>0.065</v>
      </c>
      <c r="L55" s="175">
        <f>F55</f>
        <v>0.03</v>
      </c>
      <c r="M55" s="175">
        <f>B55</f>
        <v>0.069</v>
      </c>
      <c r="N55" s="175">
        <f>AVERAGE(L55:M55)</f>
        <v>0.0495</v>
      </c>
    </row>
    <row r="56" spans="12:14">
      <c r="L56" s="175">
        <f>AVERAGE(L45,L47,L49,L51,L53)</f>
        <v>0.018</v>
      </c>
      <c r="M56" s="175">
        <f>AVERAGE(M45,M47,M49,M51,M53)</f>
        <v>0.0836</v>
      </c>
      <c r="N56" s="175">
        <f>AVERAGE(L56:M56)</f>
        <v>0.0508</v>
      </c>
    </row>
  </sheetData>
  <conditionalFormatting sqref="B24:R24">
    <cfRule type="colorScale" priority="6">
      <colorScale>
        <cfvo type="formula" val="$L$45"/>
        <cfvo type="formula" val="$N$45"/>
        <cfvo type="formula" val="$M$45"/>
        <color rgb="FF00B050"/>
        <color rgb="FFFFEB84"/>
        <color rgb="FFC00000"/>
      </colorScale>
    </cfRule>
  </conditionalFormatting>
  <conditionalFormatting sqref="B26:R26">
    <cfRule type="colorScale" priority="7">
      <colorScale>
        <cfvo type="formula" val="$L$47"/>
        <cfvo type="formula" val="$N$47"/>
        <cfvo type="formula" val="$M$47"/>
        <color rgb="FF00B050"/>
        <color rgb="FFFFEB84"/>
        <color rgb="FFC00000"/>
      </colorScale>
    </cfRule>
  </conditionalFormatting>
  <conditionalFormatting sqref="B28:R28">
    <cfRule type="colorScale" priority="5">
      <colorScale>
        <cfvo type="formula" val="$L$49"/>
        <cfvo type="formula" val="$N$49"/>
        <cfvo type="formula" val="$M$49"/>
        <color rgb="FF00B050"/>
        <color rgb="FFFFEB84"/>
        <color rgb="FFC00000"/>
      </colorScale>
    </cfRule>
  </conditionalFormatting>
  <conditionalFormatting sqref="B30:R30">
    <cfRule type="colorScale" priority="4">
      <colorScale>
        <cfvo type="formula" val="$L$51"/>
        <cfvo type="formula" val="$N$51"/>
        <cfvo type="formula" val="$M$51"/>
        <color rgb="FF00B050"/>
        <color rgb="FFFFEB84"/>
        <color rgb="FFC00000"/>
      </colorScale>
    </cfRule>
  </conditionalFormatting>
  <conditionalFormatting sqref="B32:R32">
    <cfRule type="colorScale" priority="3">
      <colorScale>
        <cfvo type="formula" val="$L$53"/>
        <cfvo type="formula" val="$N$53"/>
        <cfvo type="formula" val="$M$53"/>
        <color rgb="FF00B050"/>
        <color rgb="FFFFEB84"/>
        <color rgb="FFC00000"/>
      </colorScale>
    </cfRule>
  </conditionalFormatting>
  <conditionalFormatting sqref="B34:R34">
    <cfRule type="colorScale" priority="2">
      <colorScale>
        <cfvo type="formula" val="$L$55"/>
        <cfvo type="formula" val="$N$55"/>
        <cfvo type="formula" val="$M$55"/>
        <color rgb="FF00B050"/>
        <color rgb="FFFFEB84"/>
        <color rgb="FFC00000"/>
      </colorScale>
    </cfRule>
  </conditionalFormatting>
  <conditionalFormatting sqref="B35:R35">
    <cfRule type="colorScale" priority="1">
      <colorScale>
        <cfvo type="formula" val="$L$56"/>
        <cfvo type="formula" val="$N$56"/>
        <cfvo type="formula" val="$M$56"/>
        <color rgb="FF00B050"/>
        <color rgb="FFFFEB84"/>
        <color rgb="FFC00000"/>
      </colorScale>
    </cfRule>
  </conditionalFormatting>
  <pageMargins left="0.75" right="0.75" top="1" bottom="1" header="0.5" footer="0.5"/>
  <headerFooter/>
  <colBreaks count="1" manualBreakCount="1">
    <brk id="15" max="1048575" man="1"/>
  </colBreaks>
  <ignoredErrors>
    <ignoredError sqref="B33" formula="1" emptyCellReference="1"/>
    <ignoredError sqref="B25:R32 C33:R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R49"/>
  <sheetViews>
    <sheetView zoomScale="125" zoomScaleNormal="125" workbookViewId="0">
      <pane xSplit="1" ySplit="11" topLeftCell="B13" activePane="bottomRight" state="frozen"/>
      <selection/>
      <selection pane="topRight"/>
      <selection pane="bottomLeft"/>
      <selection pane="bottomRight" activeCell="I14" sqref="I14"/>
    </sheetView>
  </sheetViews>
  <sheetFormatPr defaultColWidth="8.83035714285714" defaultRowHeight="15.2"/>
  <cols>
    <col min="1" max="1" width="34.5" customWidth="1"/>
    <col min="2" max="18" width="10.6607142857143" customWidth="1"/>
  </cols>
  <sheetData>
    <row r="1" ht="20.4" spans="1:18">
      <c r="A1" s="58" t="s">
        <v>260</v>
      </c>
      <c r="B1" s="138"/>
      <c r="C1" s="32"/>
      <c r="D1" s="139"/>
      <c r="E1" s="32"/>
      <c r="F1" s="32"/>
      <c r="G1" s="32"/>
      <c r="H1" s="32"/>
      <c r="I1" s="32"/>
      <c r="J1" s="32"/>
      <c r="K1" s="138"/>
      <c r="L1" s="32"/>
      <c r="M1" s="32"/>
      <c r="N1" s="32"/>
      <c r="O1" s="32"/>
      <c r="P1" s="32"/>
      <c r="Q1" s="32"/>
      <c r="R1" s="32"/>
    </row>
    <row r="2" ht="18" customHeight="1" spans="1:18">
      <c r="A2" s="140"/>
      <c r="B2" s="140"/>
      <c r="C2" s="138"/>
      <c r="D2" s="138"/>
      <c r="E2" s="32"/>
      <c r="F2" s="32"/>
      <c r="G2" s="32"/>
      <c r="H2" s="32"/>
      <c r="I2" s="32"/>
      <c r="J2" s="32"/>
      <c r="K2" s="139"/>
      <c r="L2" s="158"/>
      <c r="M2" s="32"/>
      <c r="N2" s="32"/>
      <c r="O2" s="32"/>
      <c r="P2" s="32"/>
      <c r="Q2" s="32"/>
      <c r="R2" s="32"/>
    </row>
    <row r="3" spans="1:18">
      <c r="A3" s="141"/>
      <c r="B3" s="141"/>
      <c r="C3" s="90"/>
      <c r="D3" s="90"/>
      <c r="E3" s="60"/>
      <c r="F3" s="60"/>
      <c r="G3" s="60"/>
      <c r="H3" s="60"/>
      <c r="I3" s="60"/>
      <c r="J3" s="60"/>
      <c r="K3" s="159"/>
      <c r="L3" s="160"/>
      <c r="M3" s="60"/>
      <c r="N3" s="60"/>
      <c r="O3" s="60"/>
      <c r="P3" s="60"/>
      <c r="Q3" s="60"/>
      <c r="R3" s="60"/>
    </row>
    <row r="4" hidden="1" spans="1:12">
      <c r="A4" s="16"/>
      <c r="B4" s="16"/>
      <c r="C4" s="17"/>
      <c r="D4" s="17"/>
      <c r="K4" s="161"/>
      <c r="L4" s="65"/>
    </row>
    <row r="5" spans="1:13">
      <c r="A5" s="17" t="s">
        <v>91</v>
      </c>
      <c r="B5" s="142" t="str">
        <f>'Financial Statements'!B4</f>
        <v>DOLLAR TREE 2021</v>
      </c>
      <c r="C5" s="17"/>
      <c r="D5" s="17"/>
      <c r="M5" s="9"/>
    </row>
    <row r="6" spans="1:17">
      <c r="A6" s="100"/>
      <c r="B6" s="143"/>
      <c r="C6" s="9"/>
      <c r="D6" s="17"/>
      <c r="Q6" s="161" t="s">
        <v>261</v>
      </c>
    </row>
    <row r="7" spans="1:17">
      <c r="A7" s="144" t="str">
        <f ca="1">"Estimated Price/Share="&amp;DOLLAR('Model Summary'!B22)</f>
        <v>Estimated Price/Share=£105.41</v>
      </c>
      <c r="B7" s="61"/>
      <c r="C7" s="17"/>
      <c r="D7" s="17"/>
      <c r="Q7" s="161" t="s">
        <v>262</v>
      </c>
    </row>
    <row r="8" spans="1:18">
      <c r="A8" s="17"/>
      <c r="B8" s="145" t="s">
        <v>14</v>
      </c>
      <c r="C8" s="145" t="s">
        <v>14</v>
      </c>
      <c r="D8" s="145" t="s">
        <v>14</v>
      </c>
      <c r="E8" s="145" t="s">
        <v>14</v>
      </c>
      <c r="F8" s="145" t="s">
        <v>14</v>
      </c>
      <c r="G8" s="65" t="s">
        <v>15</v>
      </c>
      <c r="H8" s="65" t="s">
        <v>15</v>
      </c>
      <c r="I8" s="65" t="s">
        <v>15</v>
      </c>
      <c r="J8" s="65" t="s">
        <v>15</v>
      </c>
      <c r="K8" s="65" t="s">
        <v>15</v>
      </c>
      <c r="L8" s="65" t="s">
        <v>15</v>
      </c>
      <c r="M8" s="65" t="s">
        <v>15</v>
      </c>
      <c r="N8" s="65" t="s">
        <v>15</v>
      </c>
      <c r="O8" s="65" t="s">
        <v>15</v>
      </c>
      <c r="P8" s="65" t="s">
        <v>15</v>
      </c>
      <c r="Q8" s="65" t="s">
        <v>15</v>
      </c>
      <c r="R8" s="65" t="s">
        <v>15</v>
      </c>
    </row>
    <row r="9" ht="15.95" spans="1:18">
      <c r="A9" s="17" t="s">
        <v>94</v>
      </c>
      <c r="B9" s="146">
        <f>'Financial Statements'!B8</f>
        <v>41669</v>
      </c>
      <c r="C9" s="146">
        <f>'Financial Statements'!C8</f>
        <v>42034</v>
      </c>
      <c r="D9" s="146">
        <f>'Financial Statements'!D8</f>
        <v>42399</v>
      </c>
      <c r="E9" s="146">
        <f>'Financial Statements'!E8</f>
        <v>42765</v>
      </c>
      <c r="F9" s="146">
        <f>'Financial Statements'!F8</f>
        <v>43130</v>
      </c>
      <c r="G9" s="152">
        <f>'Financial Statements'!G8</f>
        <v>43495</v>
      </c>
      <c r="H9" s="152">
        <f>'Financial Statements'!H8</f>
        <v>43860</v>
      </c>
      <c r="I9" s="152">
        <f>'Financial Statements'!I8</f>
        <v>44226</v>
      </c>
      <c r="J9" s="152">
        <f>'Financial Statements'!J8</f>
        <v>44591</v>
      </c>
      <c r="K9" s="152">
        <f>'Financial Statements'!K8</f>
        <v>44956</v>
      </c>
      <c r="L9" s="152">
        <f>'Financial Statements'!L8</f>
        <v>45321</v>
      </c>
      <c r="M9" s="152">
        <f>'Financial Statements'!M8</f>
        <v>45687</v>
      </c>
      <c r="N9" s="152">
        <f>'Financial Statements'!N8</f>
        <v>46052</v>
      </c>
      <c r="O9" s="152">
        <f>'Financial Statements'!O8</f>
        <v>46417</v>
      </c>
      <c r="P9" s="152">
        <f>'Financial Statements'!P8</f>
        <v>46782</v>
      </c>
      <c r="Q9" s="152">
        <f>'Financial Statements'!Q8</f>
        <v>47148</v>
      </c>
      <c r="R9" s="152">
        <f>'Financial Statements'!R8</f>
        <v>47513</v>
      </c>
    </row>
    <row r="10" spans="1:18">
      <c r="A10" s="17"/>
      <c r="B10" s="147"/>
      <c r="C10" s="147"/>
      <c r="D10" s="147"/>
      <c r="E10" s="147"/>
      <c r="F10" s="147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</row>
    <row r="11" s="17" customFormat="1" spans="1:18">
      <c r="A11" s="17" t="s">
        <v>263</v>
      </c>
      <c r="B11" s="148"/>
      <c r="C11" s="149">
        <f>'Financial Statements'!C29/(('Financial Statements'!C57+'Financial Statements'!B57)/2)</f>
        <v>-0.248074104107538</v>
      </c>
      <c r="D11" s="149">
        <f>'Financial Statements'!D29/(('Financial Statements'!D57+'Financial Statements'!C57)/2)</f>
        <v>0.139018465753885</v>
      </c>
      <c r="E11" s="149">
        <f>'Financial Statements'!E29/(('Financial Statements'!E57+'Financial Statements'!D57)/2)</f>
        <v>0.198211239207982</v>
      </c>
      <c r="F11" s="149">
        <f>'Financial Statements'!F29/(('Financial Statements'!F57+'Financial Statements'!E57)/2)</f>
        <v>0.177008491182234</v>
      </c>
      <c r="G11" s="154">
        <f>'Financial Statements'!G29/(('Financial Statements'!G57+'Financial Statements'!F57)/2)</f>
        <v>0.174474569976188</v>
      </c>
      <c r="H11" s="154">
        <f>'Financial Statements'!H29/(('Financial Statements'!H57+'Financial Statements'!G57)/2)</f>
        <v>0.17445920065433</v>
      </c>
      <c r="I11" s="154">
        <f>'Financial Statements'!I29/(('Financial Statements'!I57+'Financial Statements'!H57)/2)</f>
        <v>0.174443828818301</v>
      </c>
      <c r="J11" s="154">
        <f>'Financial Statements'!J29/(('Financial Statements'!J57+'Financial Statements'!I57)/2)</f>
        <v>0.174428454467484</v>
      </c>
      <c r="K11" s="154">
        <f>'Financial Statements'!K29/(('Financial Statements'!K57+'Financial Statements'!J57)/2)</f>
        <v>0.174413077601263</v>
      </c>
      <c r="L11" s="154">
        <f>'Financial Statements'!L29/(('Financial Statements'!L57+'Financial Statements'!K57)/2)</f>
        <v>0.17439769821902</v>
      </c>
      <c r="M11" s="154">
        <f>'Financial Statements'!M29/(('Financial Statements'!M57+'Financial Statements'!L57)/2)</f>
        <v>0.174382316320137</v>
      </c>
      <c r="N11" s="154">
        <f>'Financial Statements'!N29/(('Financial Statements'!N57+'Financial Statements'!M57)/2)</f>
        <v>0.174366931903996</v>
      </c>
      <c r="O11" s="154">
        <f>'Financial Statements'!O29/(('Financial Statements'!O57+'Financial Statements'!N57)/2)</f>
        <v>0.17435154496998</v>
      </c>
      <c r="P11" s="154">
        <f>'Financial Statements'!P29/(('Financial Statements'!P57+'Financial Statements'!O57)/2)</f>
        <v>0.17433615551747</v>
      </c>
      <c r="Q11" s="154">
        <f>'Financial Statements'!Q29/(('Financial Statements'!Q57+'Financial Statements'!P57)/2)</f>
        <v>0.174320763545848</v>
      </c>
      <c r="R11" s="154">
        <f>'Financial Statements'!R29/(('Financial Statements'!R57+'Financial Statements'!Q57)/2)</f>
        <v>0.174320763545849</v>
      </c>
    </row>
    <row r="12" spans="1:17">
      <c r="A12" s="17"/>
      <c r="B12" s="150"/>
      <c r="C12" s="150"/>
      <c r="D12" s="150"/>
      <c r="E12" s="155"/>
      <c r="F12" s="155"/>
      <c r="Q12" s="161"/>
    </row>
    <row r="13" spans="1:17">
      <c r="A13" s="100" t="s">
        <v>264</v>
      </c>
      <c r="B13" s="150"/>
      <c r="C13" s="150"/>
      <c r="D13" s="150"/>
      <c r="E13" s="61"/>
      <c r="F13" s="61"/>
      <c r="Q13" s="161"/>
    </row>
    <row r="14" spans="1:18">
      <c r="A14" t="s">
        <v>265</v>
      </c>
      <c r="B14" s="151"/>
      <c r="C14" s="151">
        <f>'Financial Statements'!C12/'Financial Statements'!B12-1</f>
        <v>0.0259737924524062</v>
      </c>
      <c r="D14" s="151">
        <f>'Financial Statements'!D12/'Financial Statements'!C12-1</f>
        <v>0.0345042128000772</v>
      </c>
      <c r="E14" s="151">
        <f>'Financial Statements'!E12/'Financial Statements'!D12-1</f>
        <v>0.0804081183187355</v>
      </c>
      <c r="F14" s="151">
        <f>'Financial Statements'!F12/'Financial Statements'!E12-1</f>
        <v>0.0318276079704265</v>
      </c>
      <c r="G14" s="156">
        <f>F14-($F14-$Q14)/11</f>
        <v>0.0316614617912968</v>
      </c>
      <c r="H14" s="156">
        <f>G14-($G14-$Q14)/10</f>
        <v>0.0314953156121671</v>
      </c>
      <c r="I14" s="156">
        <f>H14-($H14-$Q14)/9</f>
        <v>0.0313291694330375</v>
      </c>
      <c r="J14" s="156">
        <f>I14-($I14-$Q14)/8</f>
        <v>0.0311630232539078</v>
      </c>
      <c r="K14" s="156">
        <f>J14-($J14-$Q14)/7</f>
        <v>0.0309968770747781</v>
      </c>
      <c r="L14" s="156">
        <f>K14-($K14-$Q14)/6</f>
        <v>0.0308307308956484</v>
      </c>
      <c r="M14" s="156">
        <f>L14-($L14-$Q14)/5</f>
        <v>0.0306645847165187</v>
      </c>
      <c r="N14" s="156">
        <f>M14-($M14-$Q14)/4</f>
        <v>0.030498438537389</v>
      </c>
      <c r="O14" s="156">
        <f>N14-($N14-$Q14)/3</f>
        <v>0.0303322923582594</v>
      </c>
      <c r="P14" s="156">
        <f>O14-($O14-$Q14)/2</f>
        <v>0.0301661461791297</v>
      </c>
      <c r="Q14" s="156">
        <v>0.03</v>
      </c>
      <c r="R14" s="157">
        <f>$Q14</f>
        <v>0.03</v>
      </c>
    </row>
    <row r="15" spans="1:18">
      <c r="A15" t="s">
        <v>266</v>
      </c>
      <c r="B15" s="151">
        <f>-'Financial Statements'!B13/'Financial Statements'!B12</f>
        <v>0.684345148456991</v>
      </c>
      <c r="C15" s="151">
        <f>-'Financial Statements'!C13/'Financial Statements'!C12</f>
        <v>0.695596167074875</v>
      </c>
      <c r="D15" s="151">
        <f>-'Financial Statements'!D13/'Financial Statements'!D12</f>
        <v>0.701801717857929</v>
      </c>
      <c r="E15" s="151">
        <f>-'Financial Statements'!E13/'Financial Statements'!E12</f>
        <v>0.694723100986699</v>
      </c>
      <c r="F15" s="151">
        <f>-'Financial Statements'!F13/'Financial Statements'!F12</f>
        <v>0.706476148503868</v>
      </c>
      <c r="G15" s="156">
        <f>F15-($F15-$Q15)/11</f>
        <v>0.706476148503868</v>
      </c>
      <c r="H15" s="156">
        <f>G15-($G15-$Q15)/10</f>
        <v>0.706476148503868</v>
      </c>
      <c r="I15" s="156">
        <f>H15-($H15-$Q15)/9</f>
        <v>0.706476148503868</v>
      </c>
      <c r="J15" s="156">
        <f>I15-($I15-$Q15)/8</f>
        <v>0.706476148503868</v>
      </c>
      <c r="K15" s="156">
        <f>J15-($J15-$Q15)/7</f>
        <v>0.706476148503868</v>
      </c>
      <c r="L15" s="156">
        <f>K15-($K15-$Q15)/6</f>
        <v>0.706476148503868</v>
      </c>
      <c r="M15" s="156">
        <f>L15-($L15-$Q15)/5</f>
        <v>0.706476148503868</v>
      </c>
      <c r="N15" s="156">
        <f>M15-($M15-$Q15)/4</f>
        <v>0.706476148503868</v>
      </c>
      <c r="O15" s="156">
        <f>N15-($N15-$Q15)/3</f>
        <v>0.706476148503868</v>
      </c>
      <c r="P15" s="156">
        <f>O15-($O15-$Q15)/2</f>
        <v>0.706476148503868</v>
      </c>
      <c r="Q15" s="156">
        <f>$F15</f>
        <v>0.706476148503868</v>
      </c>
      <c r="R15" s="157">
        <f t="shared" ref="R15:R25" si="0">$Q15</f>
        <v>0.706476148503868</v>
      </c>
    </row>
    <row r="16" spans="1:18">
      <c r="A16" t="s">
        <v>267</v>
      </c>
      <c r="B16" s="151">
        <f>-'Financial Statements'!B15/'Financial Statements'!B12</f>
        <v>0</v>
      </c>
      <c r="C16" s="151">
        <f>-'Financial Statements'!C15/'Financial Statements'!C12</f>
        <v>0</v>
      </c>
      <c r="D16" s="151">
        <f>-'Financial Statements'!D15/'Financial Statements'!D12</f>
        <v>0</v>
      </c>
      <c r="E16" s="151">
        <f>-'Financial Statements'!E15/'Financial Statements'!E12</f>
        <v>0</v>
      </c>
      <c r="F16" s="151">
        <f>-'Financial Statements'!F15/'Financial Statements'!F12</f>
        <v>0</v>
      </c>
      <c r="G16" s="156">
        <f t="shared" ref="G16:G22" si="1">F16-($F16-$Q16)/11</f>
        <v>0</v>
      </c>
      <c r="H16" s="156">
        <f t="shared" ref="H16:H22" si="2">G16-($G16-$Q16)/10</f>
        <v>0</v>
      </c>
      <c r="I16" s="156">
        <f t="shared" ref="I16:I22" si="3">H16-($H16-$Q16)/9</f>
        <v>0</v>
      </c>
      <c r="J16" s="156">
        <f t="shared" ref="J16:J22" si="4">I16-($I16-$Q16)/8</f>
        <v>0</v>
      </c>
      <c r="K16" s="156">
        <f t="shared" ref="K16:K22" si="5">J16-($J16-$Q16)/7</f>
        <v>0</v>
      </c>
      <c r="L16" s="156">
        <f t="shared" ref="L16:L22" si="6">K16-($K16-$Q16)/6</f>
        <v>0</v>
      </c>
      <c r="M16" s="156">
        <f t="shared" ref="M16:M22" si="7">L16-($L16-$Q16)/5</f>
        <v>0</v>
      </c>
      <c r="N16" s="156">
        <f t="shared" ref="N16:N22" si="8">M16-($M16-$Q16)/4</f>
        <v>0</v>
      </c>
      <c r="O16" s="156">
        <f t="shared" ref="O16:O22" si="9">N16-($N16-$Q16)/3</f>
        <v>0</v>
      </c>
      <c r="P16" s="156">
        <f t="shared" ref="P16:P22" si="10">O16-($O16-$Q16)/2</f>
        <v>0</v>
      </c>
      <c r="Q16" s="156">
        <f t="shared" ref="Q16:Q22" si="11">$F16</f>
        <v>0</v>
      </c>
      <c r="R16" s="157">
        <f t="shared" si="0"/>
        <v>0</v>
      </c>
    </row>
    <row r="17" spans="1:18">
      <c r="A17" t="s">
        <v>268</v>
      </c>
      <c r="B17" s="151">
        <f>-'Financial Statements'!B16/'Financial Statements'!B12</f>
        <v>0.222678744015644</v>
      </c>
      <c r="C17" s="151">
        <f>-'Financial Statements'!C16/'Financial Statements'!C12</f>
        <v>0.345567906481534</v>
      </c>
      <c r="D17" s="151">
        <f>-'Financial Statements'!D16/'Financial Statements'!D12</f>
        <v>0.244739695393633</v>
      </c>
      <c r="E17" s="151">
        <f>-'Financial Statements'!E16/'Financial Statements'!E12</f>
        <v>0.231268596159048</v>
      </c>
      <c r="F17" s="151">
        <f>-'Financial Statements'!F16/'Financial Statements'!F12</f>
        <v>0.224704800692978</v>
      </c>
      <c r="G17" s="156">
        <f t="shared" si="1"/>
        <v>0.224704800692978</v>
      </c>
      <c r="H17" s="156">
        <f t="shared" si="2"/>
        <v>0.224704800692978</v>
      </c>
      <c r="I17" s="156">
        <f t="shared" si="3"/>
        <v>0.224704800692978</v>
      </c>
      <c r="J17" s="156">
        <f t="shared" si="4"/>
        <v>0.224704800692978</v>
      </c>
      <c r="K17" s="156">
        <f t="shared" si="5"/>
        <v>0.224704800692978</v>
      </c>
      <c r="L17" s="156">
        <f t="shared" si="6"/>
        <v>0.224704800692978</v>
      </c>
      <c r="M17" s="156">
        <f t="shared" si="7"/>
        <v>0.224704800692978</v>
      </c>
      <c r="N17" s="156">
        <f t="shared" si="8"/>
        <v>0.224704800692978</v>
      </c>
      <c r="O17" s="156">
        <f t="shared" si="9"/>
        <v>0.224704800692978</v>
      </c>
      <c r="P17" s="156">
        <f t="shared" si="10"/>
        <v>0.224704800692978</v>
      </c>
      <c r="Q17" s="156">
        <f t="shared" si="11"/>
        <v>0.224704800692978</v>
      </c>
      <c r="R17" s="157">
        <f t="shared" si="0"/>
        <v>0.224704800692978</v>
      </c>
    </row>
    <row r="18" spans="1:18">
      <c r="A18" t="s">
        <v>269</v>
      </c>
      <c r="B18" s="151"/>
      <c r="C18" s="151">
        <f>IF((('Financial Statements'!B38+'Financial Statements'!C38+'Financial Statements'!B40+'Financial Statements'!C40)/2)=0,0,-'Financial Statements'!C18/(('Financial Statements'!B38+'Financial Statements'!C38+'Financial Statements'!B40+'Financial Statements'!C40)/2))</f>
        <v>0</v>
      </c>
      <c r="D18" s="151">
        <f>IF((('Financial Statements'!C38+'Financial Statements'!D38+'Financial Statements'!C40+'Financial Statements'!D40)/2)=0,0,-'Financial Statements'!D18/(('Financial Statements'!C38+'Financial Statements'!D38+'Financial Statements'!C40+'Financial Statements'!D40)/2))</f>
        <v>0</v>
      </c>
      <c r="E18" s="151">
        <f>IF((('Financial Statements'!D38+'Financial Statements'!E38+'Financial Statements'!D40+'Financial Statements'!E40)/2)=0,0,-'Financial Statements'!E18/(('Financial Statements'!D38+'Financial Statements'!E38+'Financial Statements'!D40+'Financial Statements'!E40)/2))</f>
        <v>0</v>
      </c>
      <c r="F18" s="151">
        <f>IF((('Financial Statements'!E38+'Financial Statements'!F38+'Financial Statements'!E40+'Financial Statements'!F40)/2)=0,0,-'Financial Statements'!F18/(('Financial Statements'!E38+'Financial Statements'!F38+'Financial Statements'!E40+'Financial Statements'!F40)/2))</f>
        <v>0</v>
      </c>
      <c r="G18" s="156">
        <f t="shared" si="1"/>
        <v>0</v>
      </c>
      <c r="H18" s="156">
        <f t="shared" si="2"/>
        <v>0</v>
      </c>
      <c r="I18" s="156">
        <f t="shared" si="3"/>
        <v>0</v>
      </c>
      <c r="J18" s="156">
        <f t="shared" si="4"/>
        <v>0</v>
      </c>
      <c r="K18" s="156">
        <f t="shared" si="5"/>
        <v>0</v>
      </c>
      <c r="L18" s="156">
        <f t="shared" si="6"/>
        <v>0</v>
      </c>
      <c r="M18" s="156">
        <f t="shared" si="7"/>
        <v>0</v>
      </c>
      <c r="N18" s="156">
        <f t="shared" si="8"/>
        <v>0</v>
      </c>
      <c r="O18" s="156">
        <f t="shared" si="9"/>
        <v>0</v>
      </c>
      <c r="P18" s="156">
        <f t="shared" si="10"/>
        <v>0</v>
      </c>
      <c r="Q18" s="156">
        <f t="shared" si="11"/>
        <v>0</v>
      </c>
      <c r="R18" s="157">
        <f t="shared" si="0"/>
        <v>0</v>
      </c>
    </row>
    <row r="19" spans="1:18">
      <c r="A19" t="s">
        <v>270</v>
      </c>
      <c r="B19" s="151"/>
      <c r="C19" s="151">
        <f>IF((('Financial Statements'!B44+'Financial Statements'!C44+'Financial Statements'!C49+'Financial Statements'!B49)/2)=0,0,-'Financial Statements'!C20/(('Financial Statements'!B44+'Financial Statements'!C44+'Financial Statements'!C49+'Financial Statements'!B49)/2))</f>
        <v>0.0744219725845544</v>
      </c>
      <c r="D19" s="151">
        <f>IF((('Financial Statements'!C44+'Financial Statements'!D44+'Financial Statements'!D49+'Financial Statements'!C49)/2)=0,0,-'Financial Statements'!D20/(('Financial Statements'!C44+'Financial Statements'!D44+'Financial Statements'!D49+'Financial Statements'!C49)/2))</f>
        <v>0.0403359253499222</v>
      </c>
      <c r="E19" s="151">
        <f>IF((('Financial Statements'!D44+'Financial Statements'!E44+'Financial Statements'!E49+'Financial Statements'!D49)/2)=0,0,-'Financial Statements'!E20/(('Financial Statements'!D44+'Financial Statements'!E44+'Financial Statements'!E49+'Financial Statements'!D49)/2))</f>
        <v>0.0420953360768176</v>
      </c>
      <c r="F19" s="151">
        <f>IF((('Financial Statements'!E44+'Financial Statements'!F44+'Financial Statements'!F49+'Financial Statements'!E49)/2)=0,0,-'Financial Statements'!F20/(('Financial Statements'!E44+'Financial Statements'!F44+'Financial Statements'!F49+'Financial Statements'!E49)/2))</f>
        <v>0.0538595857418112</v>
      </c>
      <c r="G19" s="156">
        <f t="shared" si="1"/>
        <v>0.0538595857418112</v>
      </c>
      <c r="H19" s="156">
        <f t="shared" si="2"/>
        <v>0.0538595857418112</v>
      </c>
      <c r="I19" s="156">
        <f t="shared" si="3"/>
        <v>0.0538595857418112</v>
      </c>
      <c r="J19" s="156">
        <f t="shared" si="4"/>
        <v>0.0538595857418112</v>
      </c>
      <c r="K19" s="156">
        <f t="shared" si="5"/>
        <v>0.0538595857418112</v>
      </c>
      <c r="L19" s="156">
        <f t="shared" si="6"/>
        <v>0.0538595857418112</v>
      </c>
      <c r="M19" s="156">
        <f t="shared" si="7"/>
        <v>0.0538595857418112</v>
      </c>
      <c r="N19" s="156">
        <f t="shared" si="8"/>
        <v>0.0538595857418112</v>
      </c>
      <c r="O19" s="156">
        <f t="shared" si="9"/>
        <v>0.0538595857418112</v>
      </c>
      <c r="P19" s="156">
        <f t="shared" si="10"/>
        <v>0.0538595857418112</v>
      </c>
      <c r="Q19" s="156">
        <f t="shared" si="11"/>
        <v>0.0538595857418112</v>
      </c>
      <c r="R19" s="157">
        <f t="shared" si="0"/>
        <v>0.0538595857418112</v>
      </c>
    </row>
    <row r="20" s="7" customFormat="1" spans="1:18">
      <c r="A20" s="7" t="s">
        <v>271</v>
      </c>
      <c r="B20" s="151">
        <f>'Financial Statements'!B21/'Financial Statements'!B12</f>
        <v>0.000301184509226585</v>
      </c>
      <c r="C20" s="151">
        <f>'Financial Statements'!C21/'Financial Statements'!C12</f>
        <v>2.19074366984617e-5</v>
      </c>
      <c r="D20" s="151">
        <f>'Financial Statements'!D21/'Financial Statements'!D12</f>
        <v>-5.92948989445508e-5</v>
      </c>
      <c r="E20" s="151">
        <f>'Financial Statements'!E21/'Financial Statements'!E12</f>
        <v>-3.13611114377894e-5</v>
      </c>
      <c r="F20" s="151">
        <f>'Financial Statements'!F21/'Financial Statements'!F12</f>
        <v>-1.13976566417944e-5</v>
      </c>
      <c r="G20" s="156">
        <f t="shared" si="1"/>
        <v>-1.13976566417944e-5</v>
      </c>
      <c r="H20" s="156">
        <f t="shared" si="2"/>
        <v>-1.13976566417944e-5</v>
      </c>
      <c r="I20" s="156">
        <f t="shared" si="3"/>
        <v>-1.13976566417944e-5</v>
      </c>
      <c r="J20" s="156">
        <f t="shared" si="4"/>
        <v>-1.13976566417944e-5</v>
      </c>
      <c r="K20" s="156">
        <f t="shared" si="5"/>
        <v>-1.13976566417944e-5</v>
      </c>
      <c r="L20" s="156">
        <f t="shared" si="6"/>
        <v>-1.13976566417944e-5</v>
      </c>
      <c r="M20" s="156">
        <f t="shared" si="7"/>
        <v>-1.13976566417944e-5</v>
      </c>
      <c r="N20" s="156">
        <f t="shared" si="8"/>
        <v>-1.13976566417944e-5</v>
      </c>
      <c r="O20" s="156">
        <f t="shared" si="9"/>
        <v>-1.13976566417944e-5</v>
      </c>
      <c r="P20" s="156">
        <f t="shared" si="10"/>
        <v>-1.13976566417944e-5</v>
      </c>
      <c r="Q20" s="156">
        <f t="shared" si="11"/>
        <v>-1.13976566417944e-5</v>
      </c>
      <c r="R20" s="157">
        <f t="shared" si="0"/>
        <v>-1.13976566417944e-5</v>
      </c>
    </row>
    <row r="21" spans="1:18">
      <c r="A21" t="s">
        <v>73</v>
      </c>
      <c r="B21" s="151">
        <f>IF('Financial Statements'!B22=0,0,-'Financial Statements'!B23/'Financial Statements'!B22)</f>
        <v>-0.00604460093896714</v>
      </c>
      <c r="C21" s="151">
        <f>IF('Financial Statements'!C22=0,0,-'Financial Statements'!C23/'Financial Statements'!C22)</f>
        <v>-0.215278838808251</v>
      </c>
      <c r="D21" s="151">
        <f>IF('Financial Statements'!D22=0,0,-'Financial Statements'!D23/'Financial Statements'!D22)</f>
        <v>0.24729225448257</v>
      </c>
      <c r="E21" s="151">
        <f>IF('Financial Statements'!E22=0,0,-'Financial Statements'!E23/'Financial Statements'!E22)</f>
        <v>0.228704448787217</v>
      </c>
      <c r="F21" s="151">
        <f>IF('Financial Statements'!F22=0,0,-'Financial Statements'!F23/'Financial Statements'!F22)</f>
        <v>0.186435485847323</v>
      </c>
      <c r="G21" s="156">
        <f t="shared" si="1"/>
        <v>0.186435485847323</v>
      </c>
      <c r="H21" s="156">
        <f t="shared" si="2"/>
        <v>0.186435485847323</v>
      </c>
      <c r="I21" s="156">
        <f t="shared" si="3"/>
        <v>0.186435485847323</v>
      </c>
      <c r="J21" s="156">
        <f t="shared" si="4"/>
        <v>0.186435485847323</v>
      </c>
      <c r="K21" s="156">
        <f t="shared" si="5"/>
        <v>0.186435485847323</v>
      </c>
      <c r="L21" s="156">
        <f t="shared" si="6"/>
        <v>0.186435485847323</v>
      </c>
      <c r="M21" s="156">
        <f t="shared" si="7"/>
        <v>0.186435485847323</v>
      </c>
      <c r="N21" s="156">
        <f t="shared" si="8"/>
        <v>0.186435485847323</v>
      </c>
      <c r="O21" s="156">
        <f t="shared" si="9"/>
        <v>0.186435485847323</v>
      </c>
      <c r="P21" s="156">
        <f t="shared" si="10"/>
        <v>0.186435485847323</v>
      </c>
      <c r="Q21" s="156">
        <f t="shared" si="11"/>
        <v>0.186435485847323</v>
      </c>
      <c r="R21" s="157">
        <f t="shared" si="0"/>
        <v>0.186435485847323</v>
      </c>
    </row>
    <row r="22" spans="1:18">
      <c r="A22" t="s">
        <v>272</v>
      </c>
      <c r="B22" s="151">
        <f>IF(('Financial Statements'!B22+'Financial Statements'!B23)=0,0,-'Financial Statements'!B27/('Financial Statements'!B22+'Financial Statements'!B23))</f>
        <v>0</v>
      </c>
      <c r="C22" s="151">
        <f>IF(('Financial Statements'!C22+'Financial Statements'!C23)=0,0,-'Financial Statements'!C27/('Financial Statements'!C22+'Financial Statements'!C23))</f>
        <v>0</v>
      </c>
      <c r="D22" s="151">
        <f>IF(('Financial Statements'!D22+'Financial Statements'!D23)=0,0,-'Financial Statements'!D27/('Financial Statements'!D22+'Financial Statements'!D23))</f>
        <v>0</v>
      </c>
      <c r="E22" s="151">
        <f>IF(('Financial Statements'!E22+'Financial Statements'!E23)=0,0,-'Financial Statements'!E27/('Financial Statements'!E22+'Financial Statements'!E23))</f>
        <v>0</v>
      </c>
      <c r="F22" s="151">
        <f>IF(('Financial Statements'!F22+'Financial Statements'!F23)=0,0,-'Financial Statements'!F27/('Financial Statements'!F22+'Financial Statements'!F23))</f>
        <v>0</v>
      </c>
      <c r="G22" s="156">
        <f t="shared" si="1"/>
        <v>0</v>
      </c>
      <c r="H22" s="156">
        <f t="shared" si="2"/>
        <v>0</v>
      </c>
      <c r="I22" s="156">
        <f t="shared" si="3"/>
        <v>0</v>
      </c>
      <c r="J22" s="156">
        <f t="shared" si="4"/>
        <v>0</v>
      </c>
      <c r="K22" s="156">
        <f t="shared" si="5"/>
        <v>0</v>
      </c>
      <c r="L22" s="156">
        <f t="shared" si="6"/>
        <v>0</v>
      </c>
      <c r="M22" s="156">
        <f t="shared" si="7"/>
        <v>0</v>
      </c>
      <c r="N22" s="156">
        <f t="shared" si="8"/>
        <v>0</v>
      </c>
      <c r="O22" s="156">
        <f t="shared" si="9"/>
        <v>0</v>
      </c>
      <c r="P22" s="156">
        <f t="shared" si="10"/>
        <v>0</v>
      </c>
      <c r="Q22" s="156">
        <f t="shared" si="11"/>
        <v>0</v>
      </c>
      <c r="R22" s="157">
        <f t="shared" si="0"/>
        <v>0</v>
      </c>
    </row>
    <row r="23" s="7" customFormat="1" spans="1:18">
      <c r="A23" s="7" t="s">
        <v>273</v>
      </c>
      <c r="B23" s="151">
        <f>'Financial Statements'!B24/'Financial Statements'!B12</f>
        <v>0</v>
      </c>
      <c r="C23" s="151">
        <f>'Financial Statements'!C24/'Financial Statements'!C12</f>
        <v>0</v>
      </c>
      <c r="D23" s="151">
        <f>'Financial Statements'!D24/'Financial Statements'!D12</f>
        <v>0</v>
      </c>
      <c r="E23" s="151">
        <f>'Financial Statements'!E24/'Financial Statements'!E12</f>
        <v>0</v>
      </c>
      <c r="F23" s="151">
        <f>'Financial Statements'!F24/'Financial Statements'!F12</f>
        <v>0</v>
      </c>
      <c r="G23" s="156">
        <v>0</v>
      </c>
      <c r="H23" s="156">
        <f t="shared" ref="H23:Q24" si="12">G23</f>
        <v>0</v>
      </c>
      <c r="I23" s="156">
        <f t="shared" si="12"/>
        <v>0</v>
      </c>
      <c r="J23" s="156">
        <f t="shared" si="12"/>
        <v>0</v>
      </c>
      <c r="K23" s="156">
        <f t="shared" si="12"/>
        <v>0</v>
      </c>
      <c r="L23" s="156">
        <f t="shared" si="12"/>
        <v>0</v>
      </c>
      <c r="M23" s="156">
        <f t="shared" si="12"/>
        <v>0</v>
      </c>
      <c r="N23" s="156">
        <f t="shared" si="12"/>
        <v>0</v>
      </c>
      <c r="O23" s="156">
        <f t="shared" si="12"/>
        <v>0</v>
      </c>
      <c r="P23" s="156">
        <f t="shared" si="12"/>
        <v>0</v>
      </c>
      <c r="Q23" s="156">
        <f t="shared" si="12"/>
        <v>0</v>
      </c>
      <c r="R23" s="157">
        <f t="shared" si="0"/>
        <v>0</v>
      </c>
    </row>
    <row r="24" s="7" customFormat="1" spans="1:18">
      <c r="A24" s="7" t="s">
        <v>274</v>
      </c>
      <c r="B24" s="151">
        <f>'Financial Statements'!B26/'Financial Statements'!B12</f>
        <v>0</v>
      </c>
      <c r="C24" s="151">
        <f>'Financial Statements'!C26/'Financial Statements'!C12</f>
        <v>0</v>
      </c>
      <c r="D24" s="151">
        <f>'Financial Statements'!D26/'Financial Statements'!D12</f>
        <v>0</v>
      </c>
      <c r="E24" s="151">
        <f>'Financial Statements'!E26/'Financial Statements'!E12</f>
        <v>0</v>
      </c>
      <c r="F24" s="151">
        <f>'Financial Statements'!F26/'Financial Statements'!F12</f>
        <v>0</v>
      </c>
      <c r="G24" s="156">
        <v>0</v>
      </c>
      <c r="H24" s="156">
        <f t="shared" si="12"/>
        <v>0</v>
      </c>
      <c r="I24" s="156">
        <f t="shared" si="12"/>
        <v>0</v>
      </c>
      <c r="J24" s="156">
        <f t="shared" si="12"/>
        <v>0</v>
      </c>
      <c r="K24" s="156">
        <f t="shared" si="12"/>
        <v>0</v>
      </c>
      <c r="L24" s="156">
        <f t="shared" si="12"/>
        <v>0</v>
      </c>
      <c r="M24" s="156">
        <f t="shared" si="12"/>
        <v>0</v>
      </c>
      <c r="N24" s="156">
        <f t="shared" si="12"/>
        <v>0</v>
      </c>
      <c r="O24" s="156">
        <f t="shared" si="12"/>
        <v>0</v>
      </c>
      <c r="P24" s="156">
        <f t="shared" si="12"/>
        <v>0</v>
      </c>
      <c r="Q24" s="156">
        <f t="shared" si="12"/>
        <v>0</v>
      </c>
      <c r="R24" s="157">
        <f t="shared" si="0"/>
        <v>0</v>
      </c>
    </row>
    <row r="25" s="7" customFormat="1" spans="1:18">
      <c r="A25" s="7" t="s">
        <v>275</v>
      </c>
      <c r="B25" s="151"/>
      <c r="C25" s="151">
        <f>IF((('Financial Statements'!C54+'Financial Statements'!B54)/2)=0,0,-'Financial Statements'!C28/(('Financial Statements'!C54+'Financial Statements'!B54)/2))</f>
        <v>0</v>
      </c>
      <c r="D25" s="151">
        <f>IF((('Financial Statements'!D54+'Financial Statements'!C54)/2)=0,0,-'Financial Statements'!D28/(('Financial Statements'!D54+'Financial Statements'!C54)/2))</f>
        <v>0</v>
      </c>
      <c r="E25" s="151">
        <f>IF((('Financial Statements'!E54+'Financial Statements'!D54)/2)=0,0,-'Financial Statements'!E28/(('Financial Statements'!E54+'Financial Statements'!D54)/2))</f>
        <v>0</v>
      </c>
      <c r="F25" s="151">
        <f>IF((('Financial Statements'!F54+'Financial Statements'!E54)/2)=0,0,-'Financial Statements'!F28/(('Financial Statements'!F54+'Financial Statements'!E54)/2))</f>
        <v>0</v>
      </c>
      <c r="G25" s="156">
        <f>F25-($F25-$Q25)/11</f>
        <v>0</v>
      </c>
      <c r="H25" s="156">
        <f>G25-($G25-$Q25)/10</f>
        <v>0</v>
      </c>
      <c r="I25" s="156">
        <f>H25-($H25-$Q25)/9</f>
        <v>0</v>
      </c>
      <c r="J25" s="156">
        <f>I25-($I25-$Q25)/8</f>
        <v>0</v>
      </c>
      <c r="K25" s="156">
        <f>J25-($J25-$Q25)/7</f>
        <v>0</v>
      </c>
      <c r="L25" s="156">
        <f>K25-($K25-$Q25)/6</f>
        <v>0</v>
      </c>
      <c r="M25" s="156">
        <f>L25-($L25-$Q25)/5</f>
        <v>0</v>
      </c>
      <c r="N25" s="156">
        <f>M25-($M25-$Q25)/4</f>
        <v>0</v>
      </c>
      <c r="O25" s="156">
        <f>N25-($N25-$Q25)/3</f>
        <v>0</v>
      </c>
      <c r="P25" s="156">
        <f>O25-($O25-$Q25)/2</f>
        <v>0</v>
      </c>
      <c r="Q25" s="156">
        <f>$F25</f>
        <v>0</v>
      </c>
      <c r="R25" s="157">
        <f t="shared" si="0"/>
        <v>0</v>
      </c>
    </row>
    <row r="26" spans="2:18">
      <c r="B26" s="61"/>
      <c r="C26" s="61"/>
      <c r="D26" s="61"/>
      <c r="E26" s="61"/>
      <c r="F26" s="61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</row>
    <row r="27" spans="1:18">
      <c r="A27" s="100" t="s">
        <v>276</v>
      </c>
      <c r="B27" s="150"/>
      <c r="C27" s="150"/>
      <c r="D27" s="150"/>
      <c r="E27" s="150"/>
      <c r="F27" s="150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</row>
    <row r="28" spans="1:18">
      <c r="A28" s="100" t="s">
        <v>277</v>
      </c>
      <c r="B28" s="150"/>
      <c r="C28" s="150"/>
      <c r="D28" s="150"/>
      <c r="E28" s="150"/>
      <c r="F28" s="150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</row>
    <row r="29" spans="1:18">
      <c r="A29" t="s">
        <v>278</v>
      </c>
      <c r="B29" s="151">
        <f>'Financial Statements'!B33/'Financial Statements'!B12</f>
        <v>0.0493493066013351</v>
      </c>
      <c r="C29" s="151">
        <f>'Financial Statements'!C33/'Financial Statements'!C12</f>
        <v>0.0195721039464056</v>
      </c>
      <c r="D29" s="151">
        <f>'Financial Statements'!D33/'Financial Statements'!D12</f>
        <v>0.0248191505582191</v>
      </c>
      <c r="E29" s="151">
        <f>'Financial Statements'!E33/'Financial Statements'!E12</f>
        <v>0.0573751533754356</v>
      </c>
      <c r="F29" s="151">
        <f>'Financial Statements'!F33/'Financial Statements'!F12</f>
        <v>0.0394472896372506</v>
      </c>
      <c r="G29" s="156">
        <f t="shared" ref="G29:G35" si="13">F29-($F29-$Q29)/11</f>
        <v>0.0394472896372506</v>
      </c>
      <c r="H29" s="156">
        <f t="shared" ref="H29:H35" si="14">G29-($G29-$Q29)/10</f>
        <v>0.0394472896372506</v>
      </c>
      <c r="I29" s="156">
        <f t="shared" ref="I29:I35" si="15">H29-($H29-$Q29)/9</f>
        <v>0.0394472896372506</v>
      </c>
      <c r="J29" s="156">
        <f t="shared" ref="J29:J35" si="16">I29-($I29-$Q29)/8</f>
        <v>0.0394472896372506</v>
      </c>
      <c r="K29" s="156">
        <f t="shared" ref="K29:K35" si="17">J29-($J29-$Q29)/7</f>
        <v>0.0394472896372506</v>
      </c>
      <c r="L29" s="156">
        <f t="shared" ref="L29:L35" si="18">K29-($K29-$Q29)/6</f>
        <v>0.0394472896372506</v>
      </c>
      <c r="M29" s="156">
        <f t="shared" ref="M29:M35" si="19">L29-($L29-$Q29)/5</f>
        <v>0.0394472896372506</v>
      </c>
      <c r="N29" s="156">
        <f t="shared" ref="N29:N35" si="20">M29-($M29-$Q29)/4</f>
        <v>0.0394472896372506</v>
      </c>
      <c r="O29" s="156">
        <f t="shared" ref="O29:O35" si="21">N29-($N29-$Q29)/3</f>
        <v>0.0394472896372506</v>
      </c>
      <c r="P29" s="156">
        <f t="shared" ref="P29:P35" si="22">O29-($O29-$Q29)/2</f>
        <v>0.0394472896372506</v>
      </c>
      <c r="Q29" s="156">
        <f t="shared" ref="Q29:Q35" si="23">$F29</f>
        <v>0.0394472896372506</v>
      </c>
      <c r="R29" s="157">
        <f t="shared" ref="R29:R35" si="24">$Q29</f>
        <v>0.0394472896372506</v>
      </c>
    </row>
    <row r="30" spans="1:18">
      <c r="A30" t="s">
        <v>279</v>
      </c>
      <c r="B30" s="151">
        <f>'Financial Statements'!B34/'Financial Statements'!B12</f>
        <v>0</v>
      </c>
      <c r="C30" s="151">
        <f>'Financial Statements'!C34/'Financial Statements'!C12</f>
        <v>0.00442092072574956</v>
      </c>
      <c r="D30" s="151">
        <f>'Financial Statements'!D34/'Financial Statements'!D12</f>
        <v>0</v>
      </c>
      <c r="E30" s="151">
        <f>'Financial Statements'!E34/'Financial Statements'!E12</f>
        <v>0</v>
      </c>
      <c r="F30" s="151">
        <f>'Financial Statements'!F34/'Financial Statements'!F12</f>
        <v>0</v>
      </c>
      <c r="G30" s="156">
        <f t="shared" si="13"/>
        <v>0</v>
      </c>
      <c r="H30" s="156">
        <f t="shared" si="14"/>
        <v>0</v>
      </c>
      <c r="I30" s="156">
        <f t="shared" si="15"/>
        <v>0</v>
      </c>
      <c r="J30" s="156">
        <f t="shared" si="16"/>
        <v>0</v>
      </c>
      <c r="K30" s="156">
        <f t="shared" si="17"/>
        <v>0</v>
      </c>
      <c r="L30" s="156">
        <f t="shared" si="18"/>
        <v>0</v>
      </c>
      <c r="M30" s="156">
        <f t="shared" si="19"/>
        <v>0</v>
      </c>
      <c r="N30" s="156">
        <f t="shared" si="20"/>
        <v>0</v>
      </c>
      <c r="O30" s="156">
        <f t="shared" si="21"/>
        <v>0</v>
      </c>
      <c r="P30" s="156">
        <f t="shared" si="22"/>
        <v>0</v>
      </c>
      <c r="Q30" s="156">
        <f t="shared" si="23"/>
        <v>0</v>
      </c>
      <c r="R30" s="157">
        <f t="shared" si="24"/>
        <v>0</v>
      </c>
    </row>
    <row r="31" spans="1:18">
      <c r="A31" t="s">
        <v>280</v>
      </c>
      <c r="B31" s="151">
        <f>IF('Financial Statements'!B13=0,0,-'Financial Statements'!B35/'Financial Statements'!B13)</f>
        <v>0.208183346908747</v>
      </c>
      <c r="C31" s="151">
        <f>IF('Financial Statements'!C13=0,0,-'Financial Statements'!C35/'Financial Statements'!C13)</f>
        <v>0.222728933345091</v>
      </c>
      <c r="D31" s="151">
        <f>IF('Financial Statements'!D13=0,0,-'Financial Statements'!D35/'Financial Statements'!D13)</f>
        <v>0.212551523527317</v>
      </c>
      <c r="E31" s="151">
        <f>IF('Financial Statements'!E13=0,0,-'Financial Statements'!E35/'Financial Statements'!E13)</f>
        <v>0.193376556689745</v>
      </c>
      <c r="F31" s="151">
        <f>IF('Financial Statements'!F13=0,0,-'Financial Statements'!F35/'Financial Statements'!F13)</f>
        <v>0.234860421719467</v>
      </c>
      <c r="G31" s="156">
        <f t="shared" si="13"/>
        <v>0.234860421719467</v>
      </c>
      <c r="H31" s="156">
        <f t="shared" si="14"/>
        <v>0.234860421719467</v>
      </c>
      <c r="I31" s="156">
        <f t="shared" si="15"/>
        <v>0.234860421719467</v>
      </c>
      <c r="J31" s="156">
        <f t="shared" si="16"/>
        <v>0.234860421719467</v>
      </c>
      <c r="K31" s="156">
        <f t="shared" si="17"/>
        <v>0.234860421719467</v>
      </c>
      <c r="L31" s="156">
        <f t="shared" si="18"/>
        <v>0.234860421719467</v>
      </c>
      <c r="M31" s="156">
        <f t="shared" si="19"/>
        <v>0.234860421719467</v>
      </c>
      <c r="N31" s="156">
        <f t="shared" si="20"/>
        <v>0.234860421719467</v>
      </c>
      <c r="O31" s="156">
        <f t="shared" si="21"/>
        <v>0.234860421719467</v>
      </c>
      <c r="P31" s="156">
        <f t="shared" si="22"/>
        <v>0.234860421719467</v>
      </c>
      <c r="Q31" s="156">
        <f t="shared" si="23"/>
        <v>0.234860421719467</v>
      </c>
      <c r="R31" s="157">
        <f t="shared" si="24"/>
        <v>0.234860421719467</v>
      </c>
    </row>
    <row r="32" spans="1:18">
      <c r="A32" t="s">
        <v>281</v>
      </c>
      <c r="B32" s="151">
        <f>'Financial Statements'!B36/'Financial Statements'!B12</f>
        <v>0.0138994403362478</v>
      </c>
      <c r="C32" s="151">
        <f>'Financial Statements'!C36/'Financial Statements'!C12</f>
        <v>0.00918797895133482</v>
      </c>
      <c r="D32" s="151">
        <f>'Financial Statements'!D36/'Financial Statements'!D12</f>
        <v>0.00683585477832179</v>
      </c>
      <c r="E32" s="151">
        <f>'Financial Statements'!E36/'Financial Statements'!E12</f>
        <v>0.00628006256541732</v>
      </c>
      <c r="F32" s="151">
        <f>'Financial Statements'!F36/'Financial Statements'!F12</f>
        <v>0.00773520964089783</v>
      </c>
      <c r="G32" s="156">
        <f t="shared" si="13"/>
        <v>0.00773520964089783</v>
      </c>
      <c r="H32" s="156">
        <f t="shared" si="14"/>
        <v>0.00773520964089783</v>
      </c>
      <c r="I32" s="156">
        <f t="shared" si="15"/>
        <v>0.00773520964089783</v>
      </c>
      <c r="J32" s="156">
        <f t="shared" si="16"/>
        <v>0.00773520964089783</v>
      </c>
      <c r="K32" s="156">
        <f t="shared" si="17"/>
        <v>0.00773520964089783</v>
      </c>
      <c r="L32" s="156">
        <f t="shared" si="18"/>
        <v>0.00773520964089783</v>
      </c>
      <c r="M32" s="156">
        <f t="shared" si="19"/>
        <v>0.00773520964089783</v>
      </c>
      <c r="N32" s="156">
        <f t="shared" si="20"/>
        <v>0.00773520964089783</v>
      </c>
      <c r="O32" s="156">
        <f t="shared" si="21"/>
        <v>0.00773520964089783</v>
      </c>
      <c r="P32" s="156">
        <f t="shared" si="22"/>
        <v>0.00773520964089783</v>
      </c>
      <c r="Q32" s="156">
        <f t="shared" si="23"/>
        <v>0.00773520964089783</v>
      </c>
      <c r="R32" s="157">
        <f t="shared" si="24"/>
        <v>0.00773520964089783</v>
      </c>
    </row>
    <row r="33" spans="1:18">
      <c r="A33" t="s">
        <v>282</v>
      </c>
      <c r="B33" s="151">
        <f>IF('Financial Statements'!B13=0,0,-'Financial Statements'!B45/'Financial Statements'!B13)</f>
        <v>0.077169657636827</v>
      </c>
      <c r="C33" s="151">
        <f>IF('Financial Statements'!C13=0,0,-'Financial Statements'!C45/'Financial Statements'!C13)</f>
        <v>0.0892175512415122</v>
      </c>
      <c r="D33" s="151">
        <f>IF('Financial Statements'!D13=0,0,-'Financial Statements'!D45/'Financial Statements'!D13)</f>
        <v>0.0806573285616864</v>
      </c>
      <c r="E33" s="151">
        <f>IF('Financial Statements'!E13=0,0,-'Financial Statements'!E45/'Financial Statements'!E13)</f>
        <v>0.0835407038748667</v>
      </c>
      <c r="F33" s="151">
        <f>IF('Financial Statements'!F13=0,0,-'Financial Statements'!F45/'Financial Statements'!F13)</f>
        <v>0.101326679322194</v>
      </c>
      <c r="G33" s="156">
        <f t="shared" si="13"/>
        <v>0.101326679322194</v>
      </c>
      <c r="H33" s="156">
        <f t="shared" si="14"/>
        <v>0.101326679322194</v>
      </c>
      <c r="I33" s="156">
        <f t="shared" si="15"/>
        <v>0.101326679322194</v>
      </c>
      <c r="J33" s="156">
        <f t="shared" si="16"/>
        <v>0.101326679322194</v>
      </c>
      <c r="K33" s="156">
        <f t="shared" si="17"/>
        <v>0.101326679322194</v>
      </c>
      <c r="L33" s="156">
        <f t="shared" si="18"/>
        <v>0.101326679322194</v>
      </c>
      <c r="M33" s="156">
        <f t="shared" si="19"/>
        <v>0.101326679322194</v>
      </c>
      <c r="N33" s="156">
        <f t="shared" si="20"/>
        <v>0.101326679322194</v>
      </c>
      <c r="O33" s="156">
        <f t="shared" si="21"/>
        <v>0.101326679322194</v>
      </c>
      <c r="P33" s="156">
        <f t="shared" si="22"/>
        <v>0.101326679322194</v>
      </c>
      <c r="Q33" s="156">
        <f t="shared" si="23"/>
        <v>0.101326679322194</v>
      </c>
      <c r="R33" s="157">
        <f t="shared" si="24"/>
        <v>0.101326679322194</v>
      </c>
    </row>
    <row r="34" spans="1:18">
      <c r="A34" t="s">
        <v>283</v>
      </c>
      <c r="B34" s="151">
        <f>'Financial Statements'!B46/'Financial Statements'!B12</f>
        <v>0.0014160167224832</v>
      </c>
      <c r="C34" s="151">
        <f>'Financial Statements'!C46/'Financial Statements'!C12</f>
        <v>0.0026288924038154</v>
      </c>
      <c r="D34" s="151">
        <f>'Financial Statements'!D46/'Financial Statements'!D12</f>
        <v>0.00265556440273095</v>
      </c>
      <c r="E34" s="151">
        <f>'Financial Statements'!E46/'Financial Statements'!E12</f>
        <v>0.00338307989635153</v>
      </c>
      <c r="F34" s="151">
        <f>'Financial Statements'!F46/'Financial Statements'!F12</f>
        <v>0.00313815479537407</v>
      </c>
      <c r="G34" s="156">
        <f t="shared" si="13"/>
        <v>0.00313815479537407</v>
      </c>
      <c r="H34" s="156">
        <f t="shared" si="14"/>
        <v>0.00313815479537407</v>
      </c>
      <c r="I34" s="156">
        <f t="shared" si="15"/>
        <v>0.00313815479537407</v>
      </c>
      <c r="J34" s="156">
        <f t="shared" si="16"/>
        <v>0.00313815479537407</v>
      </c>
      <c r="K34" s="156">
        <f t="shared" si="17"/>
        <v>0.00313815479537407</v>
      </c>
      <c r="L34" s="156">
        <f t="shared" si="18"/>
        <v>0.00313815479537407</v>
      </c>
      <c r="M34" s="156">
        <f t="shared" si="19"/>
        <v>0.00313815479537407</v>
      </c>
      <c r="N34" s="156">
        <f t="shared" si="20"/>
        <v>0.00313815479537407</v>
      </c>
      <c r="O34" s="156">
        <f t="shared" si="21"/>
        <v>0.00313815479537407</v>
      </c>
      <c r="P34" s="156">
        <f t="shared" si="22"/>
        <v>0.00313815479537407</v>
      </c>
      <c r="Q34" s="156">
        <f t="shared" si="23"/>
        <v>0.00313815479537407</v>
      </c>
      <c r="R34" s="157">
        <f t="shared" si="24"/>
        <v>0.00313815479537407</v>
      </c>
    </row>
    <row r="35" spans="1:18">
      <c r="A35" t="s">
        <v>284</v>
      </c>
      <c r="B35" s="151">
        <f>'Financial Statements'!B47/'Financial Statements'!B12</f>
        <v>0.0331258007237419</v>
      </c>
      <c r="C35" s="151">
        <f>'Financial Statements'!C47/'Financial Statements'!C12</f>
        <v>0.0271345510947146</v>
      </c>
      <c r="D35" s="151">
        <f>'Financial Statements'!D47/'Financial Statements'!D12</f>
        <v>0.0803572941196402</v>
      </c>
      <c r="E35" s="151">
        <f>'Financial Statements'!E47/'Financial Statements'!E12</f>
        <v>0.0848122057445716</v>
      </c>
      <c r="F35" s="151">
        <f>'Financial Statements'!F47/'Financial Statements'!F12</f>
        <v>0.0839551388234579</v>
      </c>
      <c r="G35" s="156">
        <f t="shared" si="13"/>
        <v>0.0839551388234579</v>
      </c>
      <c r="H35" s="156">
        <f t="shared" si="14"/>
        <v>0.0839551388234579</v>
      </c>
      <c r="I35" s="156">
        <f t="shared" si="15"/>
        <v>0.0839551388234579</v>
      </c>
      <c r="J35" s="156">
        <f t="shared" si="16"/>
        <v>0.0839551388234579</v>
      </c>
      <c r="K35" s="156">
        <f t="shared" si="17"/>
        <v>0.0839551388234579</v>
      </c>
      <c r="L35" s="156">
        <f t="shared" si="18"/>
        <v>0.0839551388234579</v>
      </c>
      <c r="M35" s="156">
        <f t="shared" si="19"/>
        <v>0.0839551388234579</v>
      </c>
      <c r="N35" s="156">
        <f t="shared" si="20"/>
        <v>0.0839551388234579</v>
      </c>
      <c r="O35" s="156">
        <f t="shared" si="21"/>
        <v>0.0839551388234579</v>
      </c>
      <c r="P35" s="156">
        <f t="shared" si="22"/>
        <v>0.0839551388234579</v>
      </c>
      <c r="Q35" s="156">
        <f t="shared" si="23"/>
        <v>0.0839551388234579</v>
      </c>
      <c r="R35" s="157">
        <f t="shared" si="24"/>
        <v>0.0839551388234579</v>
      </c>
    </row>
    <row r="36" spans="1:18">
      <c r="A36" s="100" t="s">
        <v>285</v>
      </c>
      <c r="B36" s="151"/>
      <c r="C36" s="151"/>
      <c r="D36" s="151"/>
      <c r="E36" s="151"/>
      <c r="F36" s="151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</row>
    <row r="37" spans="1:18">
      <c r="A37" t="s">
        <v>286</v>
      </c>
      <c r="B37" s="151">
        <f>'Financial Statements'!B38/'Financial Statements'!B12</f>
        <v>0.14388078487784</v>
      </c>
      <c r="C37" s="151">
        <f>'Financial Statements'!C38/'Financial Statements'!C12</f>
        <v>0.15095538331442</v>
      </c>
      <c r="D37" s="151">
        <f>'Financial Statements'!D38/'Financial Statements'!D12</f>
        <v>0.164407813373541</v>
      </c>
      <c r="E37" s="151">
        <f>'Financial Statements'!E38/'Financial Statements'!E12</f>
        <v>0.161364678764215</v>
      </c>
      <c r="F37" s="151">
        <f>'Financial Statements'!F38/'Financial Statements'!F12</f>
        <v>0.170102426941021</v>
      </c>
      <c r="G37" s="156">
        <f>F37-($F37-$Q37)/11</f>
        <v>0.170102426941021</v>
      </c>
      <c r="H37" s="156">
        <f>G37-($G37-$Q37)/10</f>
        <v>0.170102426941021</v>
      </c>
      <c r="I37" s="156">
        <f>H37-($H37-$Q37)/9</f>
        <v>0.170102426941021</v>
      </c>
      <c r="J37" s="156">
        <f>I37-($I37-$Q37)/8</f>
        <v>0.170102426941021</v>
      </c>
      <c r="K37" s="156">
        <f>J37-($J37-$Q37)/7</f>
        <v>0.170102426941021</v>
      </c>
      <c r="L37" s="156">
        <f>K37-($K37-$Q37)/6</f>
        <v>0.170102426941021</v>
      </c>
      <c r="M37" s="156">
        <f>L37-($L37-$Q37)/5</f>
        <v>0.170102426941021</v>
      </c>
      <c r="N37" s="156">
        <f>M37-($M37-$Q37)/4</f>
        <v>0.170102426941021</v>
      </c>
      <c r="O37" s="156">
        <f>N37-($N37-$Q37)/3</f>
        <v>0.170102426941021</v>
      </c>
      <c r="P37" s="156">
        <f>O37-($O37-$Q37)/2</f>
        <v>0.170102426941021</v>
      </c>
      <c r="Q37" s="156">
        <f>$F37</f>
        <v>0.170102426941021</v>
      </c>
      <c r="R37" s="157">
        <f>$Q37</f>
        <v>0.170102426941021</v>
      </c>
    </row>
    <row r="38" spans="1:18">
      <c r="A38" t="s">
        <v>287</v>
      </c>
      <c r="B38" s="151">
        <f>'Financial Statements'!B39/'Financial Statements'!B12</f>
        <v>0</v>
      </c>
      <c r="C38" s="151">
        <f>'Financial Statements'!C39/'Financial Statements'!C12</f>
        <v>0</v>
      </c>
      <c r="D38" s="151">
        <f>'Financial Statements'!D39/'Financial Statements'!D12</f>
        <v>0</v>
      </c>
      <c r="E38" s="151">
        <f>'Financial Statements'!E39/'Financial Statements'!E12</f>
        <v>0</v>
      </c>
      <c r="F38" s="151">
        <f>'Financial Statements'!F39/'Financial Statements'!F12</f>
        <v>0</v>
      </c>
      <c r="G38" s="156">
        <f>F38-($F38-$Q38)/11</f>
        <v>0</v>
      </c>
      <c r="H38" s="156">
        <f>G38-($G38-$Q38)/10</f>
        <v>0</v>
      </c>
      <c r="I38" s="156">
        <f>H38-($H38-$Q38)/9</f>
        <v>0</v>
      </c>
      <c r="J38" s="156">
        <f>I38-($I38-$Q38)/8</f>
        <v>0</v>
      </c>
      <c r="K38" s="156">
        <f>J38-($J38-$Q38)/7</f>
        <v>0</v>
      </c>
      <c r="L38" s="156">
        <f>K38-($K38-$Q38)/6</f>
        <v>0</v>
      </c>
      <c r="M38" s="156">
        <f>L38-($L38-$Q38)/5</f>
        <v>0</v>
      </c>
      <c r="N38" s="156">
        <f>M38-($M38-$Q38)/4</f>
        <v>0</v>
      </c>
      <c r="O38" s="156">
        <f>N38-($N38-$Q38)/3</f>
        <v>0</v>
      </c>
      <c r="P38" s="156">
        <f>O38-($O38-$Q38)/2</f>
        <v>0</v>
      </c>
      <c r="Q38" s="156">
        <f>$F38</f>
        <v>0</v>
      </c>
      <c r="R38" s="157">
        <f>$Q38</f>
        <v>0</v>
      </c>
    </row>
    <row r="39" spans="1:18">
      <c r="A39" t="s">
        <v>288</v>
      </c>
      <c r="B39" s="151">
        <f>'Financial Statements'!B40/'Financial Statements'!B12</f>
        <v>0.225897372502304</v>
      </c>
      <c r="C39" s="151">
        <f>'Financial Statements'!C40/'Financial Statements'!C12</f>
        <v>0.249100699723528</v>
      </c>
      <c r="D39" s="151">
        <f>'Financial Statements'!D40/'Financial Statements'!D12</f>
        <v>0.215295542717739</v>
      </c>
      <c r="E39" s="151">
        <f>'Financial Statements'!E40/'Financial Statements'!E12</f>
        <v>0.19931554374287</v>
      </c>
      <c r="F39" s="151">
        <f>'Financial Statements'!F40/'Financial Statements'!F12</f>
        <v>0.193167484765132</v>
      </c>
      <c r="G39" s="156">
        <f>F39-($F39-$Q39)/11</f>
        <v>0.193167484765132</v>
      </c>
      <c r="H39" s="156">
        <f>G39-($G39-$Q39)/10</f>
        <v>0.193167484765132</v>
      </c>
      <c r="I39" s="156">
        <f>H39-($H39-$Q39)/9</f>
        <v>0.193167484765132</v>
      </c>
      <c r="J39" s="156">
        <f>I39-($I39-$Q39)/8</f>
        <v>0.193167484765132</v>
      </c>
      <c r="K39" s="156">
        <f>J39-($J39-$Q39)/7</f>
        <v>0.193167484765132</v>
      </c>
      <c r="L39" s="156">
        <f>K39-($K39-$Q39)/6</f>
        <v>0.193167484765132</v>
      </c>
      <c r="M39" s="156">
        <f>L39-($L39-$Q39)/5</f>
        <v>0.193167484765132</v>
      </c>
      <c r="N39" s="156">
        <f>M39-($M39-$Q39)/4</f>
        <v>0.193167484765132</v>
      </c>
      <c r="O39" s="156">
        <f>N39-($N39-$Q39)/3</f>
        <v>0.193167484765132</v>
      </c>
      <c r="P39" s="156">
        <f>O39-($O39-$Q39)/2</f>
        <v>0.193167484765132</v>
      </c>
      <c r="Q39" s="156">
        <f>$F39</f>
        <v>0.193167484765132</v>
      </c>
      <c r="R39" s="157">
        <f>$Q39</f>
        <v>0.193167484765132</v>
      </c>
    </row>
    <row r="40" spans="1:18">
      <c r="A40" t="s">
        <v>289</v>
      </c>
      <c r="B40" s="151">
        <f>'Financial Statements'!B41/'Financial Statements'!B12</f>
        <v>0.158710750488863</v>
      </c>
      <c r="C40" s="151">
        <f>'Financial Statements'!C41/'Financial Statements'!C12</f>
        <v>0.00338688971358217</v>
      </c>
      <c r="D40" s="151">
        <f>'Financial Statements'!D41/'Financial Statements'!D12</f>
        <v>0.268525420570248</v>
      </c>
      <c r="E40" s="151">
        <f>'Financial Statements'!E41/'Financial Statements'!E12</f>
        <v>0.252633353326042</v>
      </c>
      <c r="F40" s="151">
        <f>'Financial Statements'!F41/'Financial Statements'!F12</f>
        <v>0.248883029649104</v>
      </c>
      <c r="G40" s="156">
        <f>F40-($F40-$Q40)/11</f>
        <v>0.248883029649104</v>
      </c>
      <c r="H40" s="156">
        <f>G40-($G40-$Q40)/10</f>
        <v>0.248883029649104</v>
      </c>
      <c r="I40" s="156">
        <f>H40-($H40-$Q40)/9</f>
        <v>0.248883029649104</v>
      </c>
      <c r="J40" s="156">
        <f>I40-($I40-$Q40)/8</f>
        <v>0.248883029649104</v>
      </c>
      <c r="K40" s="156">
        <f>J40-($J40-$Q40)/7</f>
        <v>0.248883029649104</v>
      </c>
      <c r="L40" s="156">
        <f>K40-($K40-$Q40)/6</f>
        <v>0.248883029649104</v>
      </c>
      <c r="M40" s="156">
        <f>L40-($L40-$Q40)/5</f>
        <v>0.248883029649104</v>
      </c>
      <c r="N40" s="156">
        <f>M40-($M40-$Q40)/4</f>
        <v>0.248883029649104</v>
      </c>
      <c r="O40" s="156">
        <f>N40-($N40-$Q40)/3</f>
        <v>0.248883029649104</v>
      </c>
      <c r="P40" s="156">
        <f>O40-($O40-$Q40)/2</f>
        <v>0.248883029649104</v>
      </c>
      <c r="Q40" s="156">
        <f>$F40</f>
        <v>0.248883029649104</v>
      </c>
      <c r="R40" s="157">
        <f>$Q40</f>
        <v>0.248883029649104</v>
      </c>
    </row>
    <row r="41" spans="1:18">
      <c r="A41" s="100" t="s">
        <v>290</v>
      </c>
      <c r="B41" s="151"/>
      <c r="C41" s="151"/>
      <c r="D41" s="151"/>
      <c r="E41" s="151"/>
      <c r="F41" s="151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</row>
    <row r="42" spans="1:18">
      <c r="A42" t="s">
        <v>291</v>
      </c>
      <c r="B42" s="151">
        <f>'Financial Statements'!B50/'Financial Statements'!B12</f>
        <v>0.0244588793239082</v>
      </c>
      <c r="C42" s="151">
        <f>'Financial Statements'!C50/'Financial Statements'!C12</f>
        <v>0.0229633751473275</v>
      </c>
      <c r="D42" s="151">
        <f>'Financial Statements'!D50/'Financial Statements'!D12</f>
        <v>0.223050468429702</v>
      </c>
      <c r="E42" s="151">
        <f>'Financial Statements'!E50/'Financial Statements'!E12</f>
        <v>0.213282998749476</v>
      </c>
      <c r="F42" s="151">
        <f>'Financial Statements'!F50/'Financial Statements'!F12</f>
        <v>0.206012643800435</v>
      </c>
      <c r="G42" s="156">
        <f>F42-($F42-$Q42)/11</f>
        <v>0.206012643800435</v>
      </c>
      <c r="H42" s="156">
        <f>G42-($G42-$Q42)/10</f>
        <v>0.206012643800435</v>
      </c>
      <c r="I42" s="156">
        <f>H42-($H42-$Q42)/9</f>
        <v>0.206012643800435</v>
      </c>
      <c r="J42" s="156">
        <f>I42-($I42-$Q42)/8</f>
        <v>0.206012643800435</v>
      </c>
      <c r="K42" s="156">
        <f>J42-($J42-$Q42)/7</f>
        <v>0.206012643800435</v>
      </c>
      <c r="L42" s="156">
        <f>K42-($K42-$Q42)/6</f>
        <v>0.206012643800435</v>
      </c>
      <c r="M42" s="156">
        <f>L42-($L42-$Q42)/5</f>
        <v>0.206012643800435</v>
      </c>
      <c r="N42" s="156">
        <f>M42-($M42-$Q42)/4</f>
        <v>0.206012643800435</v>
      </c>
      <c r="O42" s="156">
        <f>N42-($N42-$Q42)/3</f>
        <v>0.206012643800435</v>
      </c>
      <c r="P42" s="156">
        <f>O42-($O42-$Q42)/2</f>
        <v>0.206012643800435</v>
      </c>
      <c r="Q42" s="156">
        <f>$F42</f>
        <v>0.206012643800435</v>
      </c>
      <c r="R42" s="157">
        <f>$Q42</f>
        <v>0.206012643800435</v>
      </c>
    </row>
    <row r="43" spans="1:18">
      <c r="A43" t="s">
        <v>292</v>
      </c>
      <c r="B43" s="151">
        <f>'Financial Statements'!B51/'Financial Statements'!B12</f>
        <v>0.0442876087298555</v>
      </c>
      <c r="C43" s="151">
        <f>'Financial Statements'!C51/'Financial Statements'!C12</f>
        <v>0.0426406347898858</v>
      </c>
      <c r="D43" s="151">
        <f>'Financial Statements'!D51/'Financial Statements'!D12</f>
        <v>0.0417054907076423</v>
      </c>
      <c r="E43" s="151">
        <f>'Financial Statements'!E51/'Financial Statements'!E12</f>
        <v>0.0397306080527494</v>
      </c>
      <c r="F43" s="151">
        <f>'Financial Statements'!F51/'Financial Statements'!F12</f>
        <v>0.0375058887892649</v>
      </c>
      <c r="G43" s="156">
        <f>F43-($F43-$Q43)/11</f>
        <v>0.0375058887892649</v>
      </c>
      <c r="H43" s="156">
        <f>G43-($G43-$Q43)/10</f>
        <v>0.0375058887892649</v>
      </c>
      <c r="I43" s="156">
        <f>H43-($H43-$Q43)/9</f>
        <v>0.0375058887892649</v>
      </c>
      <c r="J43" s="156">
        <f>I43-($I43-$Q43)/8</f>
        <v>0.0375058887892649</v>
      </c>
      <c r="K43" s="156">
        <f>J43-($J43-$Q43)/7</f>
        <v>0.0375058887892649</v>
      </c>
      <c r="L43" s="156">
        <f>K43-($K43-$Q43)/6</f>
        <v>0.0375058887892649</v>
      </c>
      <c r="M43" s="156">
        <f>L43-($L43-$Q43)/5</f>
        <v>0.0375058887892649</v>
      </c>
      <c r="N43" s="156">
        <f>M43-($M43-$Q43)/4</f>
        <v>0.0375058887892649</v>
      </c>
      <c r="O43" s="156">
        <f>N43-($N43-$Q43)/3</f>
        <v>0.0375058887892649</v>
      </c>
      <c r="P43" s="156">
        <f>O43-($O43-$Q43)/2</f>
        <v>0.0375058887892649</v>
      </c>
      <c r="Q43" s="156">
        <f>$F43</f>
        <v>0.0375058887892649</v>
      </c>
      <c r="R43" s="157">
        <f>$Q43</f>
        <v>0.0375058887892649</v>
      </c>
    </row>
    <row r="44" spans="1:18">
      <c r="A44" s="100" t="s">
        <v>293</v>
      </c>
      <c r="B44" s="150"/>
      <c r="C44" s="150"/>
      <c r="D44" s="150"/>
      <c r="E44" s="150"/>
      <c r="F44" s="150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</row>
    <row r="45" spans="1:18">
      <c r="A45" t="s">
        <v>294</v>
      </c>
      <c r="B45" s="151">
        <f>'Financial Statements'!B44/'Financial Statements'!B42</f>
        <v>0.0560773413009404</v>
      </c>
      <c r="C45" s="151">
        <f>'Financial Statements'!C44/'Financial Statements'!C42</f>
        <v>0</v>
      </c>
      <c r="D45" s="151">
        <f>'Financial Statements'!D44/'Financial Statements'!D42</f>
        <v>0.0127716530605989</v>
      </c>
      <c r="E45" s="151">
        <f>'Financial Statements'!E44/'Financial Statements'!E42</f>
        <v>0</v>
      </c>
      <c r="F45" s="151">
        <f>'Financial Statements'!F44/'Financial Statements'!F42</f>
        <v>0</v>
      </c>
      <c r="G45" s="156">
        <f>F45-($F45-$Q45)/11</f>
        <v>0</v>
      </c>
      <c r="H45" s="156">
        <f>G45-($G45-$Q45)/10</f>
        <v>0</v>
      </c>
      <c r="I45" s="156">
        <f>H45-($H45-$Q45)/9</f>
        <v>0</v>
      </c>
      <c r="J45" s="156">
        <f>I45-($I45-$Q45)/8</f>
        <v>0</v>
      </c>
      <c r="K45" s="156">
        <f>J45-($J45-$Q45)/7</f>
        <v>0</v>
      </c>
      <c r="L45" s="156">
        <f>K45-($K45-$Q45)/6</f>
        <v>0</v>
      </c>
      <c r="M45" s="156">
        <f>L45-($L45-$Q45)/5</f>
        <v>0</v>
      </c>
      <c r="N45" s="156">
        <f>M45-($M45-$Q45)/4</f>
        <v>0</v>
      </c>
      <c r="O45" s="156">
        <f>N45-($N45-$Q45)/3</f>
        <v>0</v>
      </c>
      <c r="P45" s="156">
        <f>O45-($O45-$Q45)/2</f>
        <v>0</v>
      </c>
      <c r="Q45" s="156">
        <f>$F45</f>
        <v>0</v>
      </c>
      <c r="R45" s="157">
        <f>$Q45</f>
        <v>0</v>
      </c>
    </row>
    <row r="46" spans="1:18">
      <c r="A46" t="s">
        <v>295</v>
      </c>
      <c r="B46" s="151">
        <f>'Financial Statements'!B49/'Financial Statements'!B42</f>
        <v>0.291566663401254</v>
      </c>
      <c r="C46" s="151">
        <f>'Financial Statements'!C49/'Financial Statements'!C42</f>
        <v>0.315920066364471</v>
      </c>
      <c r="D46" s="151">
        <f>'Financial Statements'!D49/'Financial Statements'!D42</f>
        <v>0.179937265640166</v>
      </c>
      <c r="E46" s="151">
        <f>'Financial Statements'!E49/'Financial Statements'!E42</f>
        <v>0.155885195206803</v>
      </c>
      <c r="F46" s="151">
        <f>'Financial Statements'!F49/'Financial Statements'!F42</f>
        <v>0.157307405463636</v>
      </c>
      <c r="G46" s="156">
        <f>F46-($F46-$Q46)/11</f>
        <v>0.157307405463636</v>
      </c>
      <c r="H46" s="156">
        <f>G46-($G46-$Q46)/10</f>
        <v>0.157307405463636</v>
      </c>
      <c r="I46" s="156">
        <f>H46-($H46-$Q46)/9</f>
        <v>0.157307405463636</v>
      </c>
      <c r="J46" s="156">
        <f>I46-($I46-$Q46)/8</f>
        <v>0.157307405463636</v>
      </c>
      <c r="K46" s="156">
        <f>J46-($J46-$Q46)/7</f>
        <v>0.157307405463636</v>
      </c>
      <c r="L46" s="156">
        <f>K46-($K46-$Q46)/6</f>
        <v>0.157307405463636</v>
      </c>
      <c r="M46" s="156">
        <f>L46-($L46-$Q46)/5</f>
        <v>0.157307405463636</v>
      </c>
      <c r="N46" s="156">
        <f>M46-($M46-$Q46)/4</f>
        <v>0.157307405463636</v>
      </c>
      <c r="O46" s="156">
        <f>N46-($N46-$Q46)/3</f>
        <v>0.157307405463636</v>
      </c>
      <c r="P46" s="156">
        <f>O46-($O46-$Q46)/2</f>
        <v>0.157307405463636</v>
      </c>
      <c r="Q46" s="156">
        <f>$F46</f>
        <v>0.157307405463636</v>
      </c>
      <c r="R46" s="157">
        <f>$Q46</f>
        <v>0.157307405463636</v>
      </c>
    </row>
    <row r="47" spans="1:18">
      <c r="A47" t="s">
        <v>296</v>
      </c>
      <c r="B47" s="151">
        <f>'Financial Statements'!B53/'Financial Statements'!B42</f>
        <v>0</v>
      </c>
      <c r="C47" s="151">
        <f>'Financial Statements'!C53/'Financial Statements'!C42</f>
        <v>0</v>
      </c>
      <c r="D47" s="151">
        <f>'Financial Statements'!D53/'Financial Statements'!D42</f>
        <v>0</v>
      </c>
      <c r="E47" s="151">
        <f>'Financial Statements'!E53/'Financial Statements'!E42</f>
        <v>0</v>
      </c>
      <c r="F47" s="151">
        <f>'Financial Statements'!F53/'Financial Statements'!F42</f>
        <v>0</v>
      </c>
      <c r="G47" s="156">
        <f>F47-($F47-$Q47)/11</f>
        <v>0</v>
      </c>
      <c r="H47" s="156">
        <f>G47-($G47-$Q47)/10</f>
        <v>0</v>
      </c>
      <c r="I47" s="156">
        <f>H47-($H47-$Q47)/9</f>
        <v>0</v>
      </c>
      <c r="J47" s="156">
        <f>I47-($I47-$Q47)/8</f>
        <v>0</v>
      </c>
      <c r="K47" s="156">
        <f>J47-($J47-$Q47)/7</f>
        <v>0</v>
      </c>
      <c r="L47" s="156">
        <f>K47-($K47-$Q47)/6</f>
        <v>0</v>
      </c>
      <c r="M47" s="156">
        <f>L47-($L47-$Q47)/5</f>
        <v>0</v>
      </c>
      <c r="N47" s="156">
        <f>M47-($M47-$Q47)/4</f>
        <v>0</v>
      </c>
      <c r="O47" s="156">
        <f>N47-($N47-$Q47)/3</f>
        <v>0</v>
      </c>
      <c r="P47" s="156">
        <f>O47-($O47-$Q47)/2</f>
        <v>0</v>
      </c>
      <c r="Q47" s="156">
        <f>$F47</f>
        <v>0</v>
      </c>
      <c r="R47" s="157">
        <f>$Q47</f>
        <v>0</v>
      </c>
    </row>
    <row r="48" spans="1:18">
      <c r="A48" t="s">
        <v>297</v>
      </c>
      <c r="B48" s="151">
        <f>'Financial Statements'!B54/'Financial Statements'!B42</f>
        <v>0</v>
      </c>
      <c r="C48" s="151">
        <f>'Financial Statements'!C54/'Financial Statements'!C42</f>
        <v>0</v>
      </c>
      <c r="D48" s="151">
        <f>'Financial Statements'!D54/'Financial Statements'!D42</f>
        <v>0</v>
      </c>
      <c r="E48" s="151">
        <f>'Financial Statements'!E54/'Financial Statements'!E42</f>
        <v>0</v>
      </c>
      <c r="F48" s="151">
        <f>'Financial Statements'!F54/'Financial Statements'!F42</f>
        <v>0</v>
      </c>
      <c r="G48" s="156">
        <f>F48-($F48-$Q48)/11</f>
        <v>0</v>
      </c>
      <c r="H48" s="156">
        <f>G48-($G48-$Q48)/10</f>
        <v>0</v>
      </c>
      <c r="I48" s="156">
        <f>H48-($H48-$Q48)/9</f>
        <v>0</v>
      </c>
      <c r="J48" s="156">
        <f>I48-($I48-$Q48)/8</f>
        <v>0</v>
      </c>
      <c r="K48" s="156">
        <f>J48-($J48-$Q48)/7</f>
        <v>0</v>
      </c>
      <c r="L48" s="156">
        <f>K48-($K48-$Q48)/6</f>
        <v>0</v>
      </c>
      <c r="M48" s="156">
        <f>L48-($L48-$Q48)/5</f>
        <v>0</v>
      </c>
      <c r="N48" s="156">
        <f>M48-($M48-$Q48)/4</f>
        <v>0</v>
      </c>
      <c r="O48" s="156">
        <f>N48-($N48-$Q48)/3</f>
        <v>0</v>
      </c>
      <c r="P48" s="156">
        <f>O48-($O48-$Q48)/2</f>
        <v>0</v>
      </c>
      <c r="Q48" s="156">
        <f>$F48</f>
        <v>0</v>
      </c>
      <c r="R48" s="157">
        <f>$Q48</f>
        <v>0</v>
      </c>
    </row>
    <row r="49" spans="1:18">
      <c r="A49" t="s">
        <v>298</v>
      </c>
      <c r="B49" s="151">
        <f>IF('Financial Statements'!B29=0,0,-'Financial Statements'!B64/'Financial Statements'!B29)</f>
        <v>0</v>
      </c>
      <c r="C49" s="151">
        <f>IF('Financial Statements'!C29=0,0,-'Financial Statements'!C64/'Financial Statements'!C29)</f>
        <v>0</v>
      </c>
      <c r="D49" s="151">
        <f>IF('Financial Statements'!D29=0,0,-'Financial Statements'!D64/'Financial Statements'!D29)</f>
        <v>0</v>
      </c>
      <c r="E49" s="151">
        <f>IF('Financial Statements'!E29=0,0,-'Financial Statements'!E64/'Financial Statements'!E29)</f>
        <v>0</v>
      </c>
      <c r="F49" s="151">
        <f>IF('Financial Statements'!F29=0,0,-'Financial Statements'!F64/'Financial Statements'!F29)</f>
        <v>0</v>
      </c>
      <c r="G49" s="156">
        <f>F49-($F49-$Q49)/11</f>
        <v>0</v>
      </c>
      <c r="H49" s="156">
        <f>G49-($G49-$Q49)/10</f>
        <v>0</v>
      </c>
      <c r="I49" s="156">
        <f>H49-($H49-$Q49)/9</f>
        <v>0</v>
      </c>
      <c r="J49" s="156">
        <f>I49-($I49-$Q49)/8</f>
        <v>0</v>
      </c>
      <c r="K49" s="156">
        <f>J49-($J49-$Q49)/7</f>
        <v>0</v>
      </c>
      <c r="L49" s="156">
        <f>K49-($K49-$Q49)/6</f>
        <v>0</v>
      </c>
      <c r="M49" s="156">
        <f>L49-($L49-$Q49)/5</f>
        <v>0</v>
      </c>
      <c r="N49" s="156">
        <f>M49-($M49-$Q49)/4</f>
        <v>0</v>
      </c>
      <c r="O49" s="156">
        <f>N49-($N49-$Q49)/3</f>
        <v>0</v>
      </c>
      <c r="P49" s="156">
        <f>O49-($O49-$Q49)/2</f>
        <v>0</v>
      </c>
      <c r="Q49" s="156">
        <f>$F49</f>
        <v>0</v>
      </c>
      <c r="R49" s="157">
        <f>$Q49</f>
        <v>0</v>
      </c>
    </row>
  </sheetData>
  <customSheetViews>
    <customSheetView guid="{0C8E75F0-104F-11D3-8830-006008AC4B3E}" showRuler="0">
      <selection activeCell="B44" sqref="B44"/>
      <pageMargins left="0.7" right="0.7" top="0.75" bottom="0.75" header="0.3" footer="0.3"/>
      <pageSetup paperSize="1" orientation="portrait"/>
      <headerFooter/>
    </customSheetView>
  </customSheetViews>
  <mergeCells count="1">
    <mergeCell ref="K2:L2"/>
  </mergeCells>
  <pageMargins left="0.75" right="0.75" top="1" bottom="1" header="0.5" footer="0.5"/>
  <pageSetup paperSize="1" orientation="portrait"/>
  <headerFooter/>
  <ignoredErrors>
    <ignoredError sqref="G14:Q49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40"/>
  <sheetViews>
    <sheetView zoomScale="125" zoomScaleNormal="125" topLeftCell="A2" workbookViewId="0">
      <selection activeCell="A1" sqref="A1:D1"/>
    </sheetView>
  </sheetViews>
  <sheetFormatPr defaultColWidth="8.83035714285714" defaultRowHeight="15.2"/>
  <cols>
    <col min="1" max="2" width="8.83035714285714" style="27"/>
    <col min="3" max="3" width="9.83035714285714" style="27" customWidth="1"/>
    <col min="4" max="4" width="8.83035714285714" style="27"/>
    <col min="5" max="5" width="9.33035714285714" style="27" customWidth="1"/>
    <col min="6" max="9" width="8.83035714285714" style="27"/>
    <col min="10" max="10" width="10.6607142857143" style="27" customWidth="1"/>
    <col min="11" max="11" width="8.83035714285714" style="27"/>
    <col min="12" max="12" width="3.66071428571429" style="27" customWidth="1"/>
    <col min="13" max="16384" width="8.83035714285714" style="27"/>
  </cols>
  <sheetData>
    <row r="1" ht="18" customHeight="1" spans="1:12">
      <c r="A1" s="58" t="s">
        <v>299</v>
      </c>
      <c r="B1" s="109"/>
      <c r="C1" s="109"/>
      <c r="D1" s="109"/>
      <c r="E1" s="32"/>
      <c r="F1" s="32"/>
      <c r="G1" s="32"/>
      <c r="H1" s="32"/>
      <c r="I1" s="32"/>
      <c r="J1" s="32"/>
      <c r="K1" s="32"/>
      <c r="L1" s="32"/>
    </row>
    <row r="2" ht="18" customHeight="1" spans="1:12">
      <c r="A2" s="110"/>
      <c r="B2" s="60"/>
      <c r="C2" s="60"/>
      <c r="D2" s="90"/>
      <c r="E2" s="60"/>
      <c r="F2" s="60"/>
      <c r="G2" s="60"/>
      <c r="H2" s="60"/>
      <c r="I2" s="60"/>
      <c r="J2" s="60"/>
      <c r="K2" s="60"/>
      <c r="L2" s="60"/>
    </row>
    <row r="3" ht="18" customHeight="1" spans="1:12">
      <c r="A3" s="111"/>
      <c r="B3" s="112"/>
      <c r="C3" s="112"/>
      <c r="D3" s="113"/>
      <c r="E3" s="38"/>
      <c r="F3" s="38"/>
      <c r="G3" s="38"/>
      <c r="H3" s="38"/>
      <c r="I3" s="38"/>
      <c r="J3" s="38"/>
      <c r="K3" s="38"/>
      <c r="L3" s="38"/>
    </row>
    <row r="4" ht="18" customHeight="1" spans="1:12">
      <c r="A4" s="114" t="str">
        <f ca="1">"Estimated Price/Share="&amp;DOLLAR(B24)</f>
        <v>Estimated Price/Share=£105.41</v>
      </c>
      <c r="B4" s="115"/>
      <c r="C4" s="116"/>
      <c r="D4" s="38"/>
      <c r="E4" s="38"/>
      <c r="F4" s="38"/>
      <c r="G4" s="38"/>
      <c r="H4" s="38"/>
      <c r="I4" s="38"/>
      <c r="J4" s="38"/>
      <c r="K4" s="38"/>
      <c r="L4" s="38"/>
    </row>
    <row r="5" spans="1:12">
      <c r="A5" s="117"/>
      <c r="B5" s="38"/>
      <c r="C5" s="118"/>
      <c r="D5" s="113"/>
      <c r="E5" s="38"/>
      <c r="F5" s="38"/>
      <c r="G5" s="38"/>
      <c r="H5" s="38"/>
      <c r="I5" s="38"/>
      <c r="J5" s="38"/>
      <c r="K5" s="38"/>
      <c r="L5" s="38"/>
    </row>
    <row r="6" spans="1:12">
      <c r="A6" s="113" t="s">
        <v>300</v>
      </c>
      <c r="B6" s="38"/>
      <c r="C6" s="119" t="str">
        <f>'Financial Statements'!B4</f>
        <v>DOLLAR TREE 2021</v>
      </c>
      <c r="D6" s="38"/>
      <c r="E6" s="38"/>
      <c r="F6" s="38"/>
      <c r="G6" s="38"/>
      <c r="H6" s="38"/>
      <c r="I6" s="38"/>
      <c r="J6" s="38"/>
      <c r="K6" s="38"/>
      <c r="L6" s="38"/>
    </row>
    <row r="7" spans="1:1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>
      <c r="A8" s="113" t="s">
        <v>301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2">
      <c r="A9" s="120"/>
      <c r="B9" s="121" t="s">
        <v>302</v>
      </c>
      <c r="C9" s="113"/>
      <c r="D9" s="113"/>
      <c r="E9" s="118"/>
      <c r="F9" s="38"/>
      <c r="G9" s="118"/>
      <c r="H9" s="118"/>
      <c r="I9" s="118"/>
      <c r="J9" s="126">
        <v>0.1</v>
      </c>
      <c r="K9" s="38"/>
      <c r="L9" s="38"/>
    </row>
    <row r="10" spans="1:12">
      <c r="A10" s="120"/>
      <c r="B10" s="121" t="s">
        <v>303</v>
      </c>
      <c r="C10" s="38"/>
      <c r="D10" s="38"/>
      <c r="E10" s="38"/>
      <c r="F10" s="38"/>
      <c r="G10" s="38"/>
      <c r="H10" s="125" t="s">
        <v>304</v>
      </c>
      <c r="I10" s="38"/>
      <c r="J10" s="127">
        <v>0</v>
      </c>
      <c r="K10" s="38"/>
      <c r="L10" s="38"/>
    </row>
    <row r="11" spans="1:12">
      <c r="A11" s="120"/>
      <c r="B11" s="121" t="s">
        <v>305</v>
      </c>
      <c r="C11" s="38"/>
      <c r="D11" s="38"/>
      <c r="E11" s="38"/>
      <c r="F11" s="38"/>
      <c r="G11" s="38"/>
      <c r="H11" s="38"/>
      <c r="I11" s="38"/>
      <c r="J11" s="128">
        <f ca="1">TODAY()</f>
        <v>44549</v>
      </c>
      <c r="K11" s="38"/>
      <c r="L11" s="38"/>
    </row>
    <row r="12" spans="1:12">
      <c r="A12" s="120"/>
      <c r="B12" s="121" t="s">
        <v>306</v>
      </c>
      <c r="C12" s="38"/>
      <c r="D12" s="38"/>
      <c r="E12" s="38"/>
      <c r="F12" s="38"/>
      <c r="G12" s="38"/>
      <c r="H12" s="38"/>
      <c r="I12" s="38"/>
      <c r="J12" s="129">
        <v>1</v>
      </c>
      <c r="K12" s="38"/>
      <c r="L12" s="38"/>
    </row>
    <row r="13" spans="1:1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</row>
    <row r="14" spans="1:12">
      <c r="A14" s="122" t="s">
        <v>307</v>
      </c>
      <c r="B14" s="113"/>
      <c r="C14" s="113"/>
      <c r="D14" s="113"/>
      <c r="E14" s="113"/>
      <c r="F14" s="113"/>
      <c r="G14" s="113"/>
      <c r="H14" s="113"/>
      <c r="I14" s="113"/>
      <c r="J14" s="38"/>
      <c r="K14" s="38"/>
      <c r="L14" s="38"/>
    </row>
    <row r="15" spans="1:12">
      <c r="A15" s="113"/>
      <c r="B15" s="121" t="s">
        <v>308</v>
      </c>
      <c r="C15" s="113"/>
      <c r="D15" s="113"/>
      <c r="E15" s="113"/>
      <c r="F15" s="113"/>
      <c r="G15" s="113"/>
      <c r="H15" s="113"/>
      <c r="I15" s="113"/>
      <c r="J15" s="126">
        <v>0.08</v>
      </c>
      <c r="K15" s="38"/>
      <c r="L15" s="38"/>
    </row>
    <row r="16" spans="1:12">
      <c r="A16" s="113"/>
      <c r="B16" s="121" t="s">
        <v>309</v>
      </c>
      <c r="C16" s="113"/>
      <c r="D16" s="113"/>
      <c r="E16" s="113"/>
      <c r="F16" s="113"/>
      <c r="G16" s="113"/>
      <c r="H16" s="113"/>
      <c r="I16" s="113"/>
      <c r="J16" s="126">
        <v>0.09</v>
      </c>
      <c r="K16" s="38"/>
      <c r="L16" s="38"/>
    </row>
    <row r="17" spans="1:12">
      <c r="A17" s="113"/>
      <c r="B17" s="121" t="s">
        <v>310</v>
      </c>
      <c r="C17" s="113"/>
      <c r="D17" s="113"/>
      <c r="E17" s="113"/>
      <c r="F17" s="113"/>
      <c r="G17" s="113"/>
      <c r="H17" s="113"/>
      <c r="I17" s="113"/>
      <c r="J17" s="126">
        <v>0.1</v>
      </c>
      <c r="K17" s="38"/>
      <c r="L17" s="38"/>
    </row>
    <row r="18" spans="1:1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</row>
    <row r="19" spans="1:12">
      <c r="A19" s="38"/>
      <c r="B19" s="121" t="s">
        <v>311</v>
      </c>
      <c r="C19" s="38"/>
      <c r="D19" s="38"/>
      <c r="E19" s="38"/>
      <c r="F19" s="38"/>
      <c r="G19" s="38"/>
      <c r="H19" s="38"/>
      <c r="I19" s="38"/>
      <c r="J19" s="130">
        <f>J24</f>
        <v>0.0967434955007559</v>
      </c>
      <c r="K19" s="131" t="str">
        <f ca="1">IF(E24&gt;B24,"up","down")</f>
        <v>down</v>
      </c>
      <c r="L19" s="131"/>
    </row>
    <row r="20" spans="1:12">
      <c r="A20" s="38"/>
      <c r="B20" s="121" t="s">
        <v>312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1:1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>
      <c r="A22" s="38"/>
      <c r="B22" s="38" t="s">
        <v>313</v>
      </c>
      <c r="C22" s="38"/>
      <c r="D22" s="38"/>
      <c r="E22" s="38" t="s">
        <v>314</v>
      </c>
      <c r="F22" s="38"/>
      <c r="G22" s="38"/>
      <c r="H22" s="38"/>
      <c r="I22" s="38" t="s">
        <v>315</v>
      </c>
      <c r="J22" s="38"/>
      <c r="K22" s="38"/>
      <c r="L22" s="38"/>
    </row>
    <row r="23" spans="1:12">
      <c r="A23" s="38"/>
      <c r="B23" s="38" t="s">
        <v>316</v>
      </c>
      <c r="C23" s="38"/>
      <c r="D23" s="38"/>
      <c r="E23" s="38" t="s">
        <v>317</v>
      </c>
      <c r="F23" s="38"/>
      <c r="G23" s="38"/>
      <c r="H23" s="38"/>
      <c r="I23" s="38" t="s">
        <v>318</v>
      </c>
      <c r="J23" s="38"/>
      <c r="K23" s="38"/>
      <c r="L23" s="38"/>
    </row>
    <row r="24" spans="1:12">
      <c r="A24" s="38"/>
      <c r="B24" s="123">
        <f ca="1">'Residual Income Valuations'!B27</f>
        <v>105.408250593431</v>
      </c>
      <c r="C24" s="38"/>
      <c r="D24" s="38"/>
      <c r="E24" s="123">
        <f ca="1">'Residual Income Valuations'!B68</f>
        <v>104.410748995397</v>
      </c>
      <c r="F24" s="38"/>
      <c r="G24" s="38"/>
      <c r="H24" s="38"/>
      <c r="I24" s="38"/>
      <c r="J24" s="132">
        <f>('Residual Income Valuations'!B21*J9+'Residual Income Valuations'!B40*(J15*(1-'Forecasting Assumptions'!Q21))+'Residual Income Valuations'!B46*J16+'Residual Income Valuations'!B52*J17)/('Residual Income Valuations'!B21+'Residual Income Valuations'!B40+'Residual Income Valuations'!B46+'Residual Income Valuations'!B52)</f>
        <v>0.0967434955007559</v>
      </c>
      <c r="K24" s="38"/>
      <c r="L24" s="38"/>
    </row>
    <row r="27" spans="10:10">
      <c r="J27" s="133"/>
    </row>
    <row r="29" ht="20.4" spans="1:12">
      <c r="A29" s="58" t="s">
        <v>319</v>
      </c>
      <c r="B29" s="109"/>
      <c r="C29" s="109"/>
      <c r="D29" s="109"/>
      <c r="E29"/>
      <c r="F29"/>
      <c r="G29" s="108" t="s">
        <v>320</v>
      </c>
      <c r="H29"/>
      <c r="I29"/>
      <c r="J29" s="32"/>
      <c r="K29" s="32"/>
      <c r="L29" s="32"/>
    </row>
    <row r="30" ht="20.4" spans="1:12">
      <c r="A30" s="110"/>
      <c r="B30" s="60"/>
      <c r="C30" s="60"/>
      <c r="D30" s="90"/>
      <c r="E30" s="60"/>
      <c r="F30" s="60"/>
      <c r="G30" s="60"/>
      <c r="H30" s="60"/>
      <c r="I30" s="60"/>
      <c r="J30" s="60"/>
      <c r="K30" s="60"/>
      <c r="L30" s="60"/>
    </row>
    <row r="31" spans="1:12">
      <c r="A31" s="124"/>
      <c r="B31" s="124"/>
      <c r="C31" s="124"/>
      <c r="D31" s="113"/>
      <c r="E31" s="38"/>
      <c r="F31" s="38"/>
      <c r="G31" s="38"/>
      <c r="H31" s="38"/>
      <c r="I31" s="38"/>
      <c r="J31" s="38"/>
      <c r="K31" s="38"/>
      <c r="L31" s="38"/>
    </row>
    <row r="32" spans="1:12">
      <c r="A32" s="113" t="s">
        <v>321</v>
      </c>
      <c r="B32" s="38"/>
      <c r="C32" s="38"/>
      <c r="D32" s="113"/>
      <c r="E32" s="38"/>
      <c r="F32" s="38"/>
      <c r="G32" s="38"/>
      <c r="H32" s="38"/>
      <c r="I32" s="38"/>
      <c r="J32" s="38"/>
      <c r="K32" s="38"/>
      <c r="L32" s="38"/>
    </row>
    <row r="33" spans="1:12">
      <c r="A33" s="113"/>
      <c r="B33" s="121" t="s">
        <v>322</v>
      </c>
      <c r="C33" s="113"/>
      <c r="D33" s="38"/>
      <c r="E33" s="38"/>
      <c r="F33" s="38"/>
      <c r="G33" s="38"/>
      <c r="H33" s="38"/>
      <c r="I33" s="38"/>
      <c r="J33" s="134">
        <v>50</v>
      </c>
      <c r="K33" s="38"/>
      <c r="L33" s="38"/>
    </row>
    <row r="34" spans="1:12">
      <c r="A34" s="117"/>
      <c r="B34" s="121" t="s">
        <v>323</v>
      </c>
      <c r="C34" s="118"/>
      <c r="D34" s="113"/>
      <c r="E34" s="38"/>
      <c r="F34" s="38"/>
      <c r="G34" s="38"/>
      <c r="H34" s="38"/>
      <c r="I34" s="38"/>
      <c r="J34" s="134">
        <v>50</v>
      </c>
      <c r="K34" s="38"/>
      <c r="L34" s="38"/>
    </row>
    <row r="35" spans="1:12">
      <c r="A35" s="113"/>
      <c r="B35" s="121" t="s">
        <v>324</v>
      </c>
      <c r="C35" s="119"/>
      <c r="D35" s="38"/>
      <c r="E35" s="38"/>
      <c r="F35" s="38"/>
      <c r="G35" s="38"/>
      <c r="H35" s="38"/>
      <c r="I35" s="38"/>
      <c r="J35" s="135">
        <v>5</v>
      </c>
      <c r="K35" s="38"/>
      <c r="L35" s="38"/>
    </row>
    <row r="36" spans="1:12">
      <c r="A36" s="38"/>
      <c r="B36" s="121" t="s">
        <v>325</v>
      </c>
      <c r="C36" s="38"/>
      <c r="D36" s="38"/>
      <c r="E36" s="38"/>
      <c r="F36" s="38"/>
      <c r="G36" s="38"/>
      <c r="H36" s="38"/>
      <c r="I36" s="38"/>
      <c r="J36" s="136">
        <v>0.02</v>
      </c>
      <c r="K36" s="38"/>
      <c r="L36" s="38"/>
    </row>
    <row r="37" spans="1:12">
      <c r="A37" s="113"/>
      <c r="B37" s="121" t="s">
        <v>326</v>
      </c>
      <c r="C37" s="38"/>
      <c r="D37" s="38"/>
      <c r="E37" s="38"/>
      <c r="F37" s="38"/>
      <c r="G37" s="38"/>
      <c r="H37" s="38"/>
      <c r="I37" s="38"/>
      <c r="J37" s="136">
        <v>0.0366</v>
      </c>
      <c r="K37" s="38"/>
      <c r="L37" s="38"/>
    </row>
    <row r="38" spans="1:12">
      <c r="A38" s="120"/>
      <c r="B38" s="121" t="s">
        <v>327</v>
      </c>
      <c r="C38" s="113"/>
      <c r="D38" s="113"/>
      <c r="E38" s="118"/>
      <c r="F38" s="38"/>
      <c r="G38" s="118"/>
      <c r="H38" s="118"/>
      <c r="I38" s="118"/>
      <c r="J38" s="136">
        <v>0.62</v>
      </c>
      <c r="K38" s="38"/>
      <c r="L38" s="38"/>
    </row>
    <row r="39" spans="1:12">
      <c r="A39" s="120"/>
      <c r="B39" s="121"/>
      <c r="C39" s="38"/>
      <c r="D39" s="38"/>
      <c r="E39" s="38"/>
      <c r="F39" s="38"/>
      <c r="G39" s="38"/>
      <c r="H39" s="38"/>
      <c r="I39" s="38"/>
      <c r="J39" s="38"/>
      <c r="K39" s="38"/>
      <c r="L39" s="38"/>
    </row>
    <row r="40" spans="1:12">
      <c r="A40" s="38"/>
      <c r="B40" s="113" t="s">
        <v>328</v>
      </c>
      <c r="C40" s="38"/>
      <c r="D40" s="38"/>
      <c r="E40" s="38"/>
      <c r="F40" s="38"/>
      <c r="G40" s="38"/>
      <c r="H40" s="38"/>
      <c r="I40" s="38"/>
      <c r="J40" s="137">
        <f>J33*EXP(-J36*J35)*_xlfn.NORM.DIST((LN(J33/J34)+(J37-J36+J38^2/2)*J35)/(J38*J35^0.5),0,1,TRUE)-J34*EXP(-J37*J35)*_xlfn.NORM.DIST((LN(J33/J34)+(J37-J36+J38^2/2)*J35)/(J38*J35^0.5)-J38*J35^0.5,0,1,TRUE)</f>
        <v>24.0683994478543</v>
      </c>
      <c r="K40" s="38"/>
      <c r="L40" s="38"/>
    </row>
  </sheetData>
  <mergeCells count="6">
    <mergeCell ref="A1:D1"/>
    <mergeCell ref="A2:C2"/>
    <mergeCell ref="A14:G14"/>
    <mergeCell ref="A29:F29"/>
    <mergeCell ref="G29:I29"/>
    <mergeCell ref="A30:C30"/>
  </mergeCells>
  <hyperlinks>
    <hyperlink ref="G29" location="'Valuation Parameters'!A1" display="(Back to Valuation Parameters)"/>
    <hyperlink ref="H10" location="'Valuation Parameters'!A51" display="(Link to Calculator)"/>
  </hyperlinks>
  <pageMargins left="0.75" right="0.75" top="1" bottom="1" header="0.5" footer="0.5"/>
  <headerFooter/>
  <ignoredErrors>
    <ignoredError sqref="C6 J11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II68"/>
  <sheetViews>
    <sheetView zoomScale="125" zoomScaleNormal="125" workbookViewId="0">
      <pane xSplit="1" ySplit="10" topLeftCell="B11" activePane="bottomRight" state="frozenSplit"/>
      <selection/>
      <selection pane="topRight"/>
      <selection pane="bottomLeft"/>
      <selection pane="bottomRight" activeCell="A1" sqref="A1"/>
    </sheetView>
  </sheetViews>
  <sheetFormatPr defaultColWidth="8.83035714285714" defaultRowHeight="15.2"/>
  <cols>
    <col min="1" max="1" width="40.6607142857143" customWidth="1"/>
    <col min="2" max="13" width="15.6607142857143" customWidth="1"/>
  </cols>
  <sheetData>
    <row r="1" s="56" customFormat="1" ht="20.4" spans="1:13">
      <c r="A1" s="58" t="s">
        <v>329</v>
      </c>
      <c r="B1" s="87" t="s">
        <v>144</v>
      </c>
      <c r="C1" s="88"/>
      <c r="D1" s="89"/>
      <c r="E1" s="82"/>
      <c r="F1" s="82"/>
      <c r="G1" s="83"/>
      <c r="H1" s="82"/>
      <c r="I1" s="82"/>
      <c r="J1" s="82"/>
      <c r="K1" s="82"/>
      <c r="L1" s="82"/>
      <c r="M1" s="82"/>
    </row>
    <row r="2" ht="18" customHeight="1" spans="1:13">
      <c r="A2" s="32"/>
      <c r="B2" s="32"/>
      <c r="C2" s="32"/>
      <c r="D2" s="32"/>
      <c r="E2" s="32"/>
      <c r="F2" s="32"/>
      <c r="G2" s="108"/>
      <c r="H2" s="32"/>
      <c r="I2" s="32"/>
      <c r="J2" s="32"/>
      <c r="K2" s="32"/>
      <c r="L2" s="32"/>
      <c r="M2" s="32"/>
    </row>
    <row r="3" ht="18" customHeight="1" spans="1:13">
      <c r="A3" s="60"/>
      <c r="B3" s="60"/>
      <c r="C3" s="60"/>
      <c r="D3" s="60"/>
      <c r="E3" s="60"/>
      <c r="F3" s="60"/>
      <c r="G3" s="84"/>
      <c r="H3" s="60"/>
      <c r="I3" s="60"/>
      <c r="J3" s="60"/>
      <c r="K3" s="60"/>
      <c r="L3" s="60"/>
      <c r="M3" s="60"/>
    </row>
    <row r="4" spans="1:13">
      <c r="A4" s="17" t="s">
        <v>91</v>
      </c>
      <c r="B4" s="61" t="str">
        <f>'Financial Statements'!B4</f>
        <v>DOLLAR TREE 2021</v>
      </c>
      <c r="C4" s="17"/>
      <c r="D4" s="17"/>
      <c r="E4" s="16"/>
      <c r="F4" s="16"/>
      <c r="G4" s="16"/>
      <c r="H4" s="16"/>
      <c r="I4" s="106"/>
      <c r="J4" s="16"/>
      <c r="K4" s="16"/>
      <c r="L4" s="16"/>
      <c r="M4" s="16"/>
    </row>
    <row r="5" spans="1:2">
      <c r="A5" s="16" t="s">
        <v>330</v>
      </c>
      <c r="B5" s="93">
        <f>'Financial Statements'!F8</f>
        <v>43130</v>
      </c>
    </row>
    <row r="6" spans="1:2">
      <c r="A6" s="16" t="s">
        <v>331</v>
      </c>
      <c r="B6" s="93">
        <f ca="1">'Valuation Parameters'!J11</f>
        <v>44549</v>
      </c>
    </row>
    <row r="7" spans="1:2">
      <c r="A7" t="s">
        <v>332</v>
      </c>
      <c r="B7" s="96">
        <f>'Valuation Parameters'!J9</f>
        <v>0.1</v>
      </c>
    </row>
    <row r="8" spans="1:2">
      <c r="A8" t="s">
        <v>333</v>
      </c>
      <c r="B8" s="96">
        <f>'Forecasting Assumptions'!Q14</f>
        <v>0.03</v>
      </c>
    </row>
    <row r="10" ht="15.95" spans="1:13">
      <c r="A10" s="66" t="s">
        <v>334</v>
      </c>
      <c r="B10" s="67">
        <f>'Financial Statements'!G8</f>
        <v>43495</v>
      </c>
      <c r="C10" s="67">
        <f>'Financial Statements'!H8</f>
        <v>43860</v>
      </c>
      <c r="D10" s="67">
        <f>'Financial Statements'!I8</f>
        <v>44226</v>
      </c>
      <c r="E10" s="67">
        <f>'Financial Statements'!J8</f>
        <v>44591</v>
      </c>
      <c r="F10" s="67">
        <f>'Financial Statements'!K8</f>
        <v>44956</v>
      </c>
      <c r="G10" s="67">
        <f>'Financial Statements'!L8</f>
        <v>45321</v>
      </c>
      <c r="H10" s="67">
        <f>'Financial Statements'!M8</f>
        <v>45687</v>
      </c>
      <c r="I10" s="67">
        <f>'Financial Statements'!N8</f>
        <v>46052</v>
      </c>
      <c r="J10" s="67">
        <f>'Financial Statements'!O8</f>
        <v>46417</v>
      </c>
      <c r="K10" s="67">
        <f>'Financial Statements'!P8</f>
        <v>46782</v>
      </c>
      <c r="L10" s="67">
        <f>'Financial Statements'!Q8</f>
        <v>47148</v>
      </c>
      <c r="M10" s="67">
        <f>'Financial Statements'!R8</f>
        <v>47513</v>
      </c>
    </row>
    <row r="11" ht="18" hidden="1" customHeight="1" spans="1:13">
      <c r="A11" s="7">
        <f>B21+B40+B46-B58</f>
        <v>153968.782095607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</row>
    <row r="12" spans="1:1">
      <c r="A12" s="100" t="s">
        <v>335</v>
      </c>
    </row>
    <row r="13" spans="1:13">
      <c r="A13" t="s">
        <v>72</v>
      </c>
      <c r="B13" s="7">
        <f>'Financial Statements'!G29</f>
        <v>1368000.92820436</v>
      </c>
      <c r="C13" s="7">
        <f>'Financial Statements'!H29</f>
        <v>1411074.11091536</v>
      </c>
      <c r="D13" s="7">
        <f>'Financial Statements'!I29</f>
        <v>1455269.05872413</v>
      </c>
      <c r="E13" s="7">
        <f>'Financial Statements'!J29</f>
        <v>1500606.4059963</v>
      </c>
      <c r="F13" s="7">
        <f>'Financial Statements'!K29</f>
        <v>1547106.86737447</v>
      </c>
      <c r="G13" s="7">
        <f>'Financial Statements'!L29</f>
        <v>1594791.22653905</v>
      </c>
      <c r="H13" s="7">
        <f>'Financial Statements'!M29</f>
        <v>1643680.32455789</v>
      </c>
      <c r="I13" s="7">
        <f>'Financial Statements'!N29</f>
        <v>1693795.04782332</v>
      </c>
      <c r="J13" s="7">
        <f>'Financial Statements'!O29</f>
        <v>1745156.31557576</v>
      </c>
      <c r="K13" s="7">
        <f>'Financial Statements'!P29</f>
        <v>1797785.06701341</v>
      </c>
      <c r="L13" s="7">
        <f>'Financial Statements'!Q29</f>
        <v>1851702.24798805</v>
      </c>
      <c r="M13" s="7">
        <f>'Financial Statements'!R29</f>
        <v>1907253.31542769</v>
      </c>
    </row>
    <row r="14" spans="1:13">
      <c r="A14" t="s">
        <v>336</v>
      </c>
      <c r="B14" s="7">
        <f>'Financial Statements'!F57</f>
        <v>7718500</v>
      </c>
      <c r="C14" s="7">
        <f>'Financial Statements'!G57</f>
        <v>7962878.99283613</v>
      </c>
      <c r="D14" s="7">
        <f>'Financial Statements'!H57</f>
        <v>8213672.37989699</v>
      </c>
      <c r="E14" s="7">
        <f>'Financial Statements'!I57</f>
        <v>8470999.91355425</v>
      </c>
      <c r="F14" s="7">
        <f>'Financial Statements'!J57</f>
        <v>8734981.88084419</v>
      </c>
      <c r="G14" s="7">
        <f>'Financial Statements'!K57</f>
        <v>9005739.04045513</v>
      </c>
      <c r="H14" s="7">
        <f>'Financial Statements'!L57</f>
        <v>9283392.55732784</v>
      </c>
      <c r="I14" s="7">
        <f>'Financial Statements'!M57</f>
        <v>9568063.93485872</v>
      </c>
      <c r="J14" s="7">
        <f>'Financial Statements'!N57</f>
        <v>9859874.94469782</v>
      </c>
      <c r="K14" s="7">
        <f>'Financial Statements'!O57</f>
        <v>10158947.5541363</v>
      </c>
      <c r="L14" s="7">
        <f>'Financial Statements'!P57</f>
        <v>10465403.8510804</v>
      </c>
      <c r="M14" s="7">
        <f>'Financial Statements'!Q57</f>
        <v>10779365.9666129</v>
      </c>
    </row>
    <row r="15" spans="1:13">
      <c r="A15" s="69" t="s">
        <v>337</v>
      </c>
      <c r="B15" s="7">
        <f>B13-B7*B14</f>
        <v>596150.928204355</v>
      </c>
      <c r="C15" s="7">
        <f>C13-B7*C14</f>
        <v>614786.211631748</v>
      </c>
      <c r="D15" s="7">
        <f>D13-B7*D14</f>
        <v>633901.820734429</v>
      </c>
      <c r="E15" s="7">
        <f>E13-B7*E14</f>
        <v>653506.414640873</v>
      </c>
      <c r="F15" s="7">
        <f>F13-B7*F14</f>
        <v>673608.679290049</v>
      </c>
      <c r="G15" s="7">
        <f>G13-B7*G14</f>
        <v>694217.322493534</v>
      </c>
      <c r="H15" s="7">
        <f>H13-B7*H14</f>
        <v>715341.068825102</v>
      </c>
      <c r="I15" s="7">
        <f>I13-B7*I14</f>
        <v>736988.654337446</v>
      </c>
      <c r="J15" s="7">
        <f>J13-$B$7*J14</f>
        <v>759168.821105977</v>
      </c>
      <c r="K15" s="7">
        <f>K13-$B$7*K14</f>
        <v>781890.311599782</v>
      </c>
      <c r="L15" s="7">
        <f>L13-$B$7*L14</f>
        <v>805161.86288</v>
      </c>
      <c r="M15" s="7">
        <f>M13-$B$7*M14</f>
        <v>829316.718766403</v>
      </c>
    </row>
    <row r="16" spans="1:13">
      <c r="A16" s="69" t="s">
        <v>338</v>
      </c>
      <c r="B16" s="7">
        <f>B15/(1+$B$7)^1</f>
        <v>541955.389276686</v>
      </c>
      <c r="C16" s="7">
        <f>C15/(1+$B$7)^2</f>
        <v>508087.778208057</v>
      </c>
      <c r="D16" s="7">
        <f>D15/(1+$B$7)^3</f>
        <v>476259.820236235</v>
      </c>
      <c r="E16" s="7">
        <f>E15/(1+$B$7)^4</f>
        <v>446353.674367101</v>
      </c>
      <c r="F16" s="7">
        <f>F15/(1+$B$7)^5</f>
        <v>418257.992368907</v>
      </c>
      <c r="G16" s="7">
        <f>G15/(1+$B$7)^6</f>
        <v>391867.580339336</v>
      </c>
      <c r="H16" s="7">
        <f>H15/(1+$B$7)^7</f>
        <v>367083.076771432</v>
      </c>
      <c r="I16" s="7">
        <f>I15/(1+$B$7)^8</f>
        <v>343810.646379258</v>
      </c>
      <c r="J16" s="7">
        <f>J15/(1+$B$7)^9</f>
        <v>321961.688973691</v>
      </c>
      <c r="K16" s="7">
        <f>K15/(1+$B$7)^10</f>
        <v>301452.562707261</v>
      </c>
      <c r="L16" s="7">
        <f>L15/(1+$B$7)^11</f>
        <v>282204.321034513</v>
      </c>
      <c r="M16" s="7">
        <f>M15/(1+$B$7)^12</f>
        <v>264245.864241409</v>
      </c>
    </row>
    <row r="17" spans="1:3">
      <c r="A17" s="14" t="s">
        <v>339</v>
      </c>
      <c r="B17" s="7">
        <f>L16+(M15/($B$7-$B$8))/(1+$B$7)^11</f>
        <v>4434639.33054236</v>
      </c>
      <c r="C17" s="101" t="str">
        <f>IF(($B$7-$B$8)&lt;=0,"Error! cost of equity capital &lt;= growth rate"," ")</f>
        <v> </v>
      </c>
    </row>
    <row r="18" spans="1:2">
      <c r="A18" s="14" t="s">
        <v>340</v>
      </c>
      <c r="B18" s="7">
        <f>SUM(B16:K16)</f>
        <v>4117090.20962796</v>
      </c>
    </row>
    <row r="19" spans="1:1">
      <c r="A19" s="94" t="s">
        <v>341</v>
      </c>
    </row>
    <row r="20" spans="1:2">
      <c r="A20" s="107">
        <f>'Financial Statements'!F8</f>
        <v>43130</v>
      </c>
      <c r="B20" s="7">
        <f>B14</f>
        <v>7718500</v>
      </c>
    </row>
    <row r="21" ht="16" spans="1:2">
      <c r="A21" s="74" t="s">
        <v>342</v>
      </c>
      <c r="B21" s="7">
        <f>B17+B18+B20</f>
        <v>16270229.5401703</v>
      </c>
    </row>
    <row r="22" spans="1:2">
      <c r="A22" s="69" t="s">
        <v>343</v>
      </c>
      <c r="B22" s="7">
        <f ca="1">B21*(1+(B7/2))*(1+B7*(DAYS360(B5,B6)/360))</f>
        <v>23727418.079415</v>
      </c>
    </row>
    <row r="23" spans="1:2">
      <c r="A23" s="69" t="s">
        <v>344</v>
      </c>
      <c r="B23" s="7">
        <f>-'Valuation Parameters'!J10</f>
        <v>0</v>
      </c>
    </row>
    <row r="24" spans="1:2">
      <c r="A24" t="s">
        <v>345</v>
      </c>
      <c r="B24" s="7">
        <f ca="1">B22+B23</f>
        <v>23727418.079415</v>
      </c>
    </row>
    <row r="25" spans="1:2">
      <c r="A25" t="s">
        <v>346</v>
      </c>
      <c r="B25" s="7">
        <f>'Financial Statements'!B5</f>
        <v>225100.198</v>
      </c>
    </row>
    <row r="26" ht="15.95" spans="1:2">
      <c r="A26" t="s">
        <v>347</v>
      </c>
      <c r="B26" s="7">
        <f>B25*'Valuation Parameters'!J12</f>
        <v>225100.198</v>
      </c>
    </row>
    <row r="27" ht="15.95" spans="1:2">
      <c r="A27" t="s">
        <v>348</v>
      </c>
      <c r="B27" s="102">
        <f ca="1">B24/B26</f>
        <v>105.408250593431</v>
      </c>
    </row>
    <row r="29" ht="18" hidden="1" customHeight="1"/>
    <row r="30" spans="1:1">
      <c r="A30" s="100" t="s">
        <v>349</v>
      </c>
    </row>
    <row r="31" spans="1:2">
      <c r="A31" s="16" t="s">
        <v>350</v>
      </c>
      <c r="B31" s="96">
        <f>'Valuation Parameters'!J15</f>
        <v>0.08</v>
      </c>
    </row>
    <row r="32" spans="1:6">
      <c r="A32" s="16" t="s">
        <v>351</v>
      </c>
      <c r="B32" s="96">
        <f>'Valuation Parameters'!J16</f>
        <v>0.09</v>
      </c>
      <c r="F32" s="98"/>
    </row>
    <row r="33" spans="1:6">
      <c r="A33" s="16" t="s">
        <v>352</v>
      </c>
      <c r="B33" s="96">
        <f>'Valuation Parameters'!J17</f>
        <v>0.1</v>
      </c>
      <c r="F33" s="98"/>
    </row>
    <row r="34" spans="1:3">
      <c r="A34" s="69" t="s">
        <v>353</v>
      </c>
      <c r="B34" s="96">
        <f>'Valuation Parameters'!J19</f>
        <v>0.0967434955007559</v>
      </c>
      <c r="C34" s="101"/>
    </row>
    <row r="35" spans="1:2">
      <c r="A35" s="16"/>
      <c r="B35" s="96"/>
    </row>
    <row r="36" spans="1:13">
      <c r="A36" t="s">
        <v>354</v>
      </c>
      <c r="B36" s="7">
        <f>-'Financial Statements'!G20</f>
        <v>186951.663769406</v>
      </c>
      <c r="C36" s="7">
        <f>-'Financial Statements'!H20</f>
        <v>192855.054046288</v>
      </c>
      <c r="D36" s="7">
        <f>-'Financial Statements'!I20</f>
        <v>198912.815392895</v>
      </c>
      <c r="E36" s="7">
        <f>-'Financial Statements'!J20</f>
        <v>205127.809532466</v>
      </c>
      <c r="F36" s="7">
        <f>-'Financial Statements'!K20</f>
        <v>211502.910185437</v>
      </c>
      <c r="G36" s="7">
        <f>-'Financial Statements'!L20</f>
        <v>218041.001538523</v>
      </c>
      <c r="H36" s="7">
        <f>-'Financial Statements'!M20</f>
        <v>224744.976656766</v>
      </c>
      <c r="I36" s="7">
        <f>-'Financial Statements'!N20</f>
        <v>231617.735838328</v>
      </c>
      <c r="J36" s="7">
        <f>-'Financial Statements'!O20</f>
        <v>238662.184911876</v>
      </c>
      <c r="K36" s="7">
        <f>-'Financial Statements'!P20</f>
        <v>245881.233476445</v>
      </c>
      <c r="L36" s="7">
        <f>-'Financial Statements'!Q20</f>
        <v>253277.793083777</v>
      </c>
      <c r="M36" s="7">
        <f>-'Financial Statements'!R20</f>
        <v>260876.12687629</v>
      </c>
    </row>
    <row r="37" spans="1:13">
      <c r="A37" t="s">
        <v>355</v>
      </c>
      <c r="B37" s="7">
        <f>'Financial Statements'!F44+'Financial Statements'!F49</f>
        <v>3417000</v>
      </c>
      <c r="C37" s="7">
        <f>'Financial Statements'!G44+'Financial Statements'!G49</f>
        <v>3525187.21494086</v>
      </c>
      <c r="D37" s="7">
        <f>'Financial Statements'!H44+'Financial Statements'!H49</f>
        <v>3636214.0988674</v>
      </c>
      <c r="E37" s="7">
        <f>'Financial Statements'!I44+'Financial Statements'!I49</f>
        <v>3750133.66646562</v>
      </c>
      <c r="F37" s="7">
        <f>'Financial Statements'!J44+'Financial Statements'!J49</f>
        <v>3866999.16911895</v>
      </c>
      <c r="G37" s="7">
        <f>'Financial Statements'!K44+'Financial Statements'!K49</f>
        <v>3986864.0670124</v>
      </c>
      <c r="H37" s="7">
        <f>'Financial Statements'!L44+'Financial Statements'!L49</f>
        <v>4109782.00017999</v>
      </c>
      <c r="I37" s="7">
        <f>'Financial Statements'!M44+'Financial Statements'!M49</f>
        <v>4235806.75849093</v>
      </c>
      <c r="J37" s="7">
        <f>'Financial Statements'!N44+'Financial Statements'!N49</f>
        <v>4364992.25057102</v>
      </c>
      <c r="K37" s="7">
        <f>'Financial Statements'!O44+'Financial Statements'!O49</f>
        <v>4497392.47165688</v>
      </c>
      <c r="L37" s="7">
        <f>'Financial Statements'!P44+'Financial Statements'!P49</f>
        <v>4633061.4703818</v>
      </c>
      <c r="M37" s="7">
        <f>'Financial Statements'!Q44+'Financial Statements'!Q49</f>
        <v>4772053.31449325</v>
      </c>
    </row>
    <row r="38" spans="1:13">
      <c r="A38" t="s">
        <v>356</v>
      </c>
      <c r="B38" s="7">
        <f>B36-($B$31*B37)</f>
        <v>-86408.3362305936</v>
      </c>
      <c r="C38" s="7">
        <f t="shared" ref="C38:M38" si="0">C36-($B$31*C37)</f>
        <v>-89159.9231489813</v>
      </c>
      <c r="D38" s="7">
        <f t="shared" si="0"/>
        <v>-91984.3125164975</v>
      </c>
      <c r="E38" s="7">
        <f t="shared" si="0"/>
        <v>-94882.8837847833</v>
      </c>
      <c r="F38" s="7">
        <f t="shared" si="0"/>
        <v>-97857.0233440785</v>
      </c>
      <c r="G38" s="7">
        <f t="shared" si="0"/>
        <v>-100908.123822469</v>
      </c>
      <c r="H38" s="7">
        <f t="shared" si="0"/>
        <v>-104037.583357633</v>
      </c>
      <c r="I38" s="7">
        <f t="shared" si="0"/>
        <v>-107246.804840946</v>
      </c>
      <c r="J38" s="7">
        <f t="shared" si="0"/>
        <v>-110537.195133806</v>
      </c>
      <c r="K38" s="7">
        <f t="shared" si="0"/>
        <v>-113910.164256105</v>
      </c>
      <c r="L38" s="7">
        <f t="shared" si="0"/>
        <v>-117367.124546767</v>
      </c>
      <c r="M38" s="7">
        <f t="shared" si="0"/>
        <v>-120888.13828317</v>
      </c>
    </row>
    <row r="39" spans="1:13">
      <c r="A39" t="s">
        <v>357</v>
      </c>
      <c r="B39" s="7">
        <f>B38/(1+$B$31)^1</f>
        <v>-80007.7187320311</v>
      </c>
      <c r="C39" s="7">
        <f>C38/(1+$B$31)^2</f>
        <v>-76440.2633307453</v>
      </c>
      <c r="D39" s="7">
        <f>D38/(1+$B$31)^3</f>
        <v>-73020.1129436708</v>
      </c>
      <c r="E39" s="7">
        <f>E38/(1+$B$31)^4</f>
        <v>-69741.7521012323</v>
      </c>
      <c r="F39" s="7">
        <f>F38/(1+$B$31)^5</f>
        <v>-66599.8457997195</v>
      </c>
      <c r="G39" s="7">
        <f>G38/(1+$B$31)^6</f>
        <v>-63589.2347386791</v>
      </c>
      <c r="H39" s="7">
        <f>H38/(1+$B$31)^7</f>
        <v>-60704.9306354625</v>
      </c>
      <c r="I39" s="7">
        <f>I38/(1+$B$31)^8</f>
        <v>-57942.111617819</v>
      </c>
      <c r="J39" s="7">
        <f>J38/(1+$B$31)^9</f>
        <v>-55296.1176952951</v>
      </c>
      <c r="K39" s="7">
        <f>K38/(1+$B$31)^10</f>
        <v>-52762.4463100848</v>
      </c>
      <c r="L39" s="7">
        <f>L38/(1+$B$31)^11</f>
        <v>-50336.7479678579</v>
      </c>
      <c r="M39" s="7">
        <f>M38/(1+$B$31)^12</f>
        <v>-48006.3429693459</v>
      </c>
    </row>
    <row r="40" ht="16" spans="1:3">
      <c r="A40" s="74" t="s">
        <v>358</v>
      </c>
      <c r="B40" s="7">
        <f>IF($B$31-$B$8&gt;0,B37+SUM(B39:L39)+(M38/($B$31-$B$8))/(1+$B$31)^11,IF(NOT(M38=0),#N/A,B37+SUM(B39:M39)))</f>
        <v>1673621.70998953</v>
      </c>
      <c r="C40" s="101" t="str">
        <f>IF($B$31-$B$8&gt;0," ",IF(NOT(M38=0),"Error! cost of debt &lt;= growth rate"," "))</f>
        <v> </v>
      </c>
    </row>
    <row r="41" spans="1:2">
      <c r="A41" s="74"/>
      <c r="B41" s="7"/>
    </row>
    <row r="42" spans="1:13">
      <c r="A42" t="s">
        <v>359</v>
      </c>
      <c r="B42" s="7">
        <f>'Financial Statements'!G28</f>
        <v>0</v>
      </c>
      <c r="C42" s="7">
        <f>'Financial Statements'!H28</f>
        <v>0</v>
      </c>
      <c r="D42" s="7">
        <f>'Financial Statements'!I28</f>
        <v>0</v>
      </c>
      <c r="E42" s="7">
        <f>'Financial Statements'!J28</f>
        <v>0</v>
      </c>
      <c r="F42" s="7">
        <f>'Financial Statements'!K28</f>
        <v>0</v>
      </c>
      <c r="G42" s="7">
        <f>'Financial Statements'!L28</f>
        <v>0</v>
      </c>
      <c r="H42" s="7">
        <f>'Financial Statements'!M28</f>
        <v>0</v>
      </c>
      <c r="I42" s="7">
        <f>'Financial Statements'!N28</f>
        <v>0</v>
      </c>
      <c r="J42" s="7">
        <f>'Financial Statements'!O28</f>
        <v>0</v>
      </c>
      <c r="K42" s="7">
        <f>'Financial Statements'!P28</f>
        <v>0</v>
      </c>
      <c r="L42" s="7">
        <f>'Financial Statements'!Q28</f>
        <v>0</v>
      </c>
      <c r="M42" s="7">
        <f>'Financial Statements'!R28</f>
        <v>0</v>
      </c>
    </row>
    <row r="43" spans="1:13">
      <c r="A43" t="s">
        <v>360</v>
      </c>
      <c r="B43" s="7">
        <f>'Financial Statements'!F54</f>
        <v>0</v>
      </c>
      <c r="C43" s="7">
        <f>'Financial Statements'!G54</f>
        <v>0</v>
      </c>
      <c r="D43" s="7">
        <f>'Financial Statements'!H54</f>
        <v>0</v>
      </c>
      <c r="E43" s="7">
        <f>'Financial Statements'!I54</f>
        <v>0</v>
      </c>
      <c r="F43" s="7">
        <f>'Financial Statements'!J54</f>
        <v>0</v>
      </c>
      <c r="G43" s="7">
        <f>'Financial Statements'!K54</f>
        <v>0</v>
      </c>
      <c r="H43" s="7">
        <f>'Financial Statements'!L54</f>
        <v>0</v>
      </c>
      <c r="I43" s="7">
        <f>'Financial Statements'!M54</f>
        <v>0</v>
      </c>
      <c r="J43" s="7">
        <f>'Financial Statements'!N54</f>
        <v>0</v>
      </c>
      <c r="K43" s="7">
        <f>'Financial Statements'!O54</f>
        <v>0</v>
      </c>
      <c r="L43" s="7">
        <f>'Financial Statements'!P54</f>
        <v>0</v>
      </c>
      <c r="M43" s="7">
        <f>'Financial Statements'!Q54</f>
        <v>0</v>
      </c>
    </row>
    <row r="44" spans="1:13">
      <c r="A44" t="s">
        <v>361</v>
      </c>
      <c r="B44" s="7">
        <f t="shared" ref="B44:M44" si="1">B42-($B$32*B43)</f>
        <v>0</v>
      </c>
      <c r="C44" s="7">
        <f t="shared" si="1"/>
        <v>0</v>
      </c>
      <c r="D44" s="7">
        <f t="shared" si="1"/>
        <v>0</v>
      </c>
      <c r="E44" s="7">
        <f t="shared" si="1"/>
        <v>0</v>
      </c>
      <c r="F44" s="7">
        <f t="shared" si="1"/>
        <v>0</v>
      </c>
      <c r="G44" s="7">
        <f t="shared" si="1"/>
        <v>0</v>
      </c>
      <c r="H44" s="7">
        <f t="shared" si="1"/>
        <v>0</v>
      </c>
      <c r="I44" s="7">
        <f t="shared" si="1"/>
        <v>0</v>
      </c>
      <c r="J44" s="7">
        <f t="shared" si="1"/>
        <v>0</v>
      </c>
      <c r="K44" s="7">
        <f t="shared" si="1"/>
        <v>0</v>
      </c>
      <c r="L44" s="7">
        <f t="shared" si="1"/>
        <v>0</v>
      </c>
      <c r="M44" s="7">
        <f t="shared" si="1"/>
        <v>0</v>
      </c>
    </row>
    <row r="45" spans="1:13">
      <c r="A45" t="s">
        <v>362</v>
      </c>
      <c r="B45" s="7">
        <f>B44/(1+$B$32)^1</f>
        <v>0</v>
      </c>
      <c r="C45" s="7">
        <f>C44/(1+$B$32)^2</f>
        <v>0</v>
      </c>
      <c r="D45" s="7">
        <f>D44/(1+$B$32)^3</f>
        <v>0</v>
      </c>
      <c r="E45" s="7">
        <f>E44/(1+$B$32)^4</f>
        <v>0</v>
      </c>
      <c r="F45" s="7">
        <f>F44/(1+$B$32)^5</f>
        <v>0</v>
      </c>
      <c r="G45" s="7">
        <f>G44/(1+$B$32)^6</f>
        <v>0</v>
      </c>
      <c r="H45" s="7">
        <f>H44/(1+$B$32)^7</f>
        <v>0</v>
      </c>
      <c r="I45" s="7">
        <f>I44/(1+$B$32)^8</f>
        <v>0</v>
      </c>
      <c r="J45" s="7">
        <f>J44/(1+$B$32)^9</f>
        <v>0</v>
      </c>
      <c r="K45" s="7">
        <f>K44/(1+$B$32)^10</f>
        <v>0</v>
      </c>
      <c r="L45" s="7">
        <f>L44/(1+$B$32)^11</f>
        <v>0</v>
      </c>
      <c r="M45" s="7">
        <f>M44/(1+$B$32)^12</f>
        <v>0</v>
      </c>
    </row>
    <row r="46" ht="16" spans="1:3">
      <c r="A46" s="74" t="s">
        <v>363</v>
      </c>
      <c r="B46" s="7">
        <f>IF($B$32-$B$8&gt;0,B43+SUM(B45:L45)+(M44/($B$32-$B$8))/(1+$B$32)^11,IF(NOT(M44=0),#N/A,B43+SUM(B45:M45)))</f>
        <v>0</v>
      </c>
      <c r="C46" s="101" t="str">
        <f>IF($B$32-$B$8&gt;0," ",IF(NOT(M44=0),"Error! cost of preferred stock &lt;= growth rate"," "))</f>
        <v> </v>
      </c>
    </row>
    <row r="47" spans="1:3">
      <c r="A47" s="74"/>
      <c r="B47" s="7"/>
      <c r="C47" s="101"/>
    </row>
    <row r="48" spans="1:13">
      <c r="A48" t="s">
        <v>33</v>
      </c>
      <c r="B48" s="7">
        <f>-'Financial Statements'!G27</f>
        <v>0</v>
      </c>
      <c r="C48" s="7">
        <f>-'Financial Statements'!H27</f>
        <v>0</v>
      </c>
      <c r="D48" s="7">
        <f>-'Financial Statements'!I27</f>
        <v>0</v>
      </c>
      <c r="E48" s="7">
        <f>-'Financial Statements'!J27</f>
        <v>0</v>
      </c>
      <c r="F48" s="7">
        <f>-'Financial Statements'!K27</f>
        <v>0</v>
      </c>
      <c r="G48" s="7">
        <f>-'Financial Statements'!L27</f>
        <v>0</v>
      </c>
      <c r="H48" s="7">
        <f>-'Financial Statements'!M27</f>
        <v>0</v>
      </c>
      <c r="I48" s="7">
        <f>-'Financial Statements'!N27</f>
        <v>0</v>
      </c>
      <c r="J48" s="7">
        <f>-'Financial Statements'!O27</f>
        <v>0</v>
      </c>
      <c r="K48" s="7">
        <f>-'Financial Statements'!P27</f>
        <v>0</v>
      </c>
      <c r="L48" s="7">
        <f>-'Financial Statements'!Q27</f>
        <v>0</v>
      </c>
      <c r="M48" s="7">
        <f>-'Financial Statements'!R27</f>
        <v>0</v>
      </c>
    </row>
    <row r="49" spans="1:13">
      <c r="A49" t="s">
        <v>364</v>
      </c>
      <c r="B49" s="7">
        <f>'Financial Statements'!F53</f>
        <v>0</v>
      </c>
      <c r="C49" s="7">
        <f>'Financial Statements'!G53</f>
        <v>0</v>
      </c>
      <c r="D49" s="7">
        <f>'Financial Statements'!H53</f>
        <v>0</v>
      </c>
      <c r="E49" s="7">
        <f>'Financial Statements'!I53</f>
        <v>0</v>
      </c>
      <c r="F49" s="7">
        <f>'Financial Statements'!J53</f>
        <v>0</v>
      </c>
      <c r="G49" s="7">
        <f>'Financial Statements'!K53</f>
        <v>0</v>
      </c>
      <c r="H49" s="7">
        <f>'Financial Statements'!L53</f>
        <v>0</v>
      </c>
      <c r="I49" s="7">
        <f>'Financial Statements'!M53</f>
        <v>0</v>
      </c>
      <c r="J49" s="7">
        <f>'Financial Statements'!N53</f>
        <v>0</v>
      </c>
      <c r="K49" s="7">
        <f>'Financial Statements'!O53</f>
        <v>0</v>
      </c>
      <c r="L49" s="7">
        <f>'Financial Statements'!P53</f>
        <v>0</v>
      </c>
      <c r="M49" s="7">
        <f>'Financial Statements'!Q53</f>
        <v>0</v>
      </c>
    </row>
    <row r="50" spans="1:13">
      <c r="A50" t="s">
        <v>365</v>
      </c>
      <c r="B50" s="7">
        <f>B48-$B$33*B49</f>
        <v>0</v>
      </c>
      <c r="C50" s="7">
        <f t="shared" ref="C50:M50" si="2">C48-$B$33*C49</f>
        <v>0</v>
      </c>
      <c r="D50" s="7">
        <f t="shared" si="2"/>
        <v>0</v>
      </c>
      <c r="E50" s="7">
        <f t="shared" si="2"/>
        <v>0</v>
      </c>
      <c r="F50" s="7">
        <f t="shared" si="2"/>
        <v>0</v>
      </c>
      <c r="G50" s="7">
        <f t="shared" si="2"/>
        <v>0</v>
      </c>
      <c r="H50" s="7">
        <f t="shared" si="2"/>
        <v>0</v>
      </c>
      <c r="I50" s="7">
        <f t="shared" si="2"/>
        <v>0</v>
      </c>
      <c r="J50" s="7">
        <f t="shared" si="2"/>
        <v>0</v>
      </c>
      <c r="K50" s="7">
        <f t="shared" si="2"/>
        <v>0</v>
      </c>
      <c r="L50" s="7">
        <f t="shared" si="2"/>
        <v>0</v>
      </c>
      <c r="M50" s="7">
        <f t="shared" si="2"/>
        <v>0</v>
      </c>
    </row>
    <row r="51" spans="1:13">
      <c r="A51" t="s">
        <v>366</v>
      </c>
      <c r="B51" s="7">
        <f>B50/(1+$B$33)^1</f>
        <v>0</v>
      </c>
      <c r="C51" s="7">
        <f>C50/(1+$B$33)^2</f>
        <v>0</v>
      </c>
      <c r="D51" s="7">
        <f>D50/(1+$B$33)^3</f>
        <v>0</v>
      </c>
      <c r="E51" s="7">
        <f>E50/(1+$B$33)^4</f>
        <v>0</v>
      </c>
      <c r="F51" s="7">
        <f>F50/(1+$B$33)^5</f>
        <v>0</v>
      </c>
      <c r="G51" s="7">
        <f>G50/(1+$B$33)^6</f>
        <v>0</v>
      </c>
      <c r="H51" s="7">
        <f>H50/(1+$B$33)^7</f>
        <v>0</v>
      </c>
      <c r="I51" s="7">
        <f>I50/(1+$B$33)^8</f>
        <v>0</v>
      </c>
      <c r="J51" s="7">
        <f>J50/(1+$B$33)^9</f>
        <v>0</v>
      </c>
      <c r="K51" s="7">
        <f>K50/(1+$B$33)^10</f>
        <v>0</v>
      </c>
      <c r="L51" s="7">
        <f>L50/(1+$B$33)^11</f>
        <v>0</v>
      </c>
      <c r="M51" s="7">
        <f>M50/(1+$B$33)^12</f>
        <v>0</v>
      </c>
    </row>
    <row r="52" ht="16" spans="1:3">
      <c r="A52" s="74" t="s">
        <v>367</v>
      </c>
      <c r="B52" s="7">
        <f>IF($B$33-$B$8&gt;0,B49+SUM(B51:L51)+(M50/($B$33-$B$8))/(1+$B$33)^11,IF(NOT(M50=0),#N/A,B49+SUM(B51:M51)))</f>
        <v>0</v>
      </c>
      <c r="C52" s="101" t="str">
        <f>IF($B$33-$B$8&gt;0," ",IF(NOT(M50=0),"Error! cost of noncontrolling interest &lt;= growth rate"," "))</f>
        <v> </v>
      </c>
    </row>
    <row r="53" spans="1:2">
      <c r="A53" s="74"/>
      <c r="B53" s="7"/>
    </row>
    <row r="54" ht="16" spans="1:243">
      <c r="A54" s="103" t="s">
        <v>70</v>
      </c>
      <c r="B54" s="7">
        <f>'Financial Statements'!G71</f>
        <v>1520098.16770895</v>
      </c>
      <c r="C54" s="7">
        <f>'Financial Statements'!H71</f>
        <v>1567974.13926242</v>
      </c>
      <c r="D54" s="7">
        <f>'Financial Statements'!I71</f>
        <v>1617097.46673799</v>
      </c>
      <c r="E54" s="7">
        <f>'Financial Statements'!J71</f>
        <v>1667491.11269778</v>
      </c>
      <c r="F54" s="7">
        <f>'Financial Statements'!K71</f>
        <v>1719178.12974136</v>
      </c>
      <c r="G54" s="7">
        <f>'Financial Statements'!L71</f>
        <v>1772181.6480211</v>
      </c>
      <c r="H54" s="7">
        <f>'Financial Statements'!M71</f>
        <v>1826524.8622999</v>
      </c>
      <c r="I54" s="7">
        <f>'Financial Statements'!N71</f>
        <v>1882231.01854977</v>
      </c>
      <c r="J54" s="7">
        <f>'Financial Statements'!O71</f>
        <v>1939323.4000902</v>
      </c>
      <c r="K54" s="7">
        <f>'Financial Statements'!P71</f>
        <v>1997825.31326593</v>
      </c>
      <c r="L54" s="7">
        <f>'Financial Statements'!Q71</f>
        <v>2057760.07266391</v>
      </c>
      <c r="M54" s="7">
        <f>'Financial Statements'!R71</f>
        <v>2119492.87484383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</row>
    <row r="55" spans="1:13">
      <c r="A55" t="s">
        <v>368</v>
      </c>
      <c r="B55" s="7">
        <f>'Financial Statements'!F75</f>
        <v>11135500</v>
      </c>
      <c r="C55" s="7">
        <f>'Financial Statements'!G75</f>
        <v>11488066.207777</v>
      </c>
      <c r="D55" s="7">
        <f>'Financial Statements'!H75</f>
        <v>11849886.4787644</v>
      </c>
      <c r="E55" s="7">
        <f>'Financial Statements'!I75</f>
        <v>12221133.5800199</v>
      </c>
      <c r="F55" s="7">
        <f>'Financial Statements'!J75</f>
        <v>12601981.0499631</v>
      </c>
      <c r="G55" s="7">
        <f>'Financial Statements'!K75</f>
        <v>12992603.1074675</v>
      </c>
      <c r="H55" s="7">
        <f>'Financial Statements'!L75</f>
        <v>13393174.5575078</v>
      </c>
      <c r="I55" s="7">
        <f>'Financial Statements'!M75</f>
        <v>13803870.6933497</v>
      </c>
      <c r="J55" s="7">
        <f>'Financial Statements'!N75</f>
        <v>14224867.1952688</v>
      </c>
      <c r="K55" s="7">
        <f>'Financial Statements'!O75</f>
        <v>14656340.0257931</v>
      </c>
      <c r="L55" s="7">
        <f>'Financial Statements'!P75</f>
        <v>15098465.3214622</v>
      </c>
      <c r="M55" s="7">
        <f>'Financial Statements'!Q75</f>
        <v>15551419.2811061</v>
      </c>
    </row>
    <row r="56" spans="1:13">
      <c r="A56" t="s">
        <v>369</v>
      </c>
      <c r="B56" s="7">
        <f t="shared" ref="B56:M56" si="3">B54-($B$34*B55)</f>
        <v>442810.97356028</v>
      </c>
      <c r="C56" s="7">
        <f t="shared" si="3"/>
        <v>456578.457777959</v>
      </c>
      <c r="D56" s="7">
        <f t="shared" si="3"/>
        <v>470698.027495179</v>
      </c>
      <c r="E56" s="7">
        <f t="shared" si="3"/>
        <v>485175.931184993</v>
      </c>
      <c r="F56" s="7">
        <f t="shared" si="3"/>
        <v>500018.432733641</v>
      </c>
      <c r="G56" s="7">
        <f t="shared" si="3"/>
        <v>515231.807750707</v>
      </c>
      <c r="H56" s="7">
        <f t="shared" si="3"/>
        <v>530822.339754806</v>
      </c>
      <c r="I56" s="7">
        <f t="shared" si="3"/>
        <v>546796.316234682</v>
      </c>
      <c r="J56" s="7">
        <f t="shared" si="3"/>
        <v>563160.024585864</v>
      </c>
      <c r="K56" s="7">
        <f t="shared" si="3"/>
        <v>579919.747923066</v>
      </c>
      <c r="L56" s="7">
        <f t="shared" si="3"/>
        <v>597081.760768709</v>
      </c>
      <c r="M56" s="7">
        <f t="shared" si="3"/>
        <v>614994.213591773</v>
      </c>
    </row>
    <row r="57" spans="1:13">
      <c r="A57" t="s">
        <v>370</v>
      </c>
      <c r="B57" s="7">
        <f>B56/(1+$B$34)^1</f>
        <v>403750.717808542</v>
      </c>
      <c r="C57" s="7">
        <f>C56/(1+$B$34)^2</f>
        <v>379581.713561419</v>
      </c>
      <c r="D57" s="7">
        <f>D56/(1+$B$34)^3</f>
        <v>356801.914624684</v>
      </c>
      <c r="E57" s="7">
        <f>E56/(1+$B$34)^4</f>
        <v>335335.072547375</v>
      </c>
      <c r="F57" s="7">
        <f>F56/(1+$B$34)^5</f>
        <v>315108.90571272</v>
      </c>
      <c r="G57" s="7">
        <f>G56/(1+$B$34)^6</f>
        <v>296054.905735855</v>
      </c>
      <c r="H57" s="7">
        <f>H56/(1+$B$34)^7</f>
        <v>278108.152589083</v>
      </c>
      <c r="I57" s="7">
        <f>I56/(1+$B$34)^8</f>
        <v>261207.138100456</v>
      </c>
      <c r="J57" s="7">
        <f>J56/(1+$B$34)^9</f>
        <v>245293.597483836</v>
      </c>
      <c r="K57" s="7">
        <f>K56/(1+$B$34)^10</f>
        <v>230312.34857054</v>
      </c>
      <c r="L57" s="7">
        <f>L56/(1+$B$34)^11</f>
        <v>216211.138424342</v>
      </c>
      <c r="M57" s="7">
        <f>M56/(1+$B$34)^12</f>
        <v>203053.378926485</v>
      </c>
    </row>
    <row r="58" spans="1:3">
      <c r="A58" s="69" t="s">
        <v>371</v>
      </c>
      <c r="B58" s="7">
        <f>IF(ISNA($B$34),#N/A,B55+SUM(B57:L57)+(M56/($B$34-$B$8))/(1+$B$34)^11)</f>
        <v>17789882.4680643</v>
      </c>
      <c r="C58" s="101" t="str">
        <f>IF(($B$34-$B$8)&lt;=0,"Error! weighted average cost of capital &lt;= growth rate"," ")</f>
        <v> </v>
      </c>
    </row>
    <row r="59" ht="16" spans="1:2">
      <c r="A59" s="74" t="s">
        <v>372</v>
      </c>
      <c r="B59" s="7">
        <f>-B40</f>
        <v>-1673621.70998953</v>
      </c>
    </row>
    <row r="60" ht="16" spans="1:2">
      <c r="A60" s="74" t="s">
        <v>373</v>
      </c>
      <c r="B60" s="7">
        <f>-B46</f>
        <v>0</v>
      </c>
    </row>
    <row r="61" ht="16" spans="1:2">
      <c r="A61" s="74" t="s">
        <v>374</v>
      </c>
      <c r="B61" s="7">
        <f>-B52</f>
        <v>0</v>
      </c>
    </row>
    <row r="62" ht="12.75" customHeight="1" spans="1:2">
      <c r="A62" s="74" t="s">
        <v>342</v>
      </c>
      <c r="B62" s="7">
        <f>B58+B59+B60+B61</f>
        <v>16116260.7580747</v>
      </c>
    </row>
    <row r="63" spans="1:2">
      <c r="A63" s="69" t="s">
        <v>343</v>
      </c>
      <c r="B63" s="7">
        <f ca="1">B62*(1+($B$7/2))*(1+$B$7*(DAYS360(B5,B6)/360))</f>
        <v>23502880.2721923</v>
      </c>
    </row>
    <row r="64" spans="1:4">
      <c r="A64" s="69" t="s">
        <v>344</v>
      </c>
      <c r="B64" s="7">
        <f>-'Valuation Parameters'!J10</f>
        <v>0</v>
      </c>
      <c r="D64" s="70"/>
    </row>
    <row r="65" spans="1:2">
      <c r="A65" t="s">
        <v>345</v>
      </c>
      <c r="B65" s="7">
        <f ca="1">B63+B64</f>
        <v>23502880.2721923</v>
      </c>
    </row>
    <row r="66" spans="1:2">
      <c r="A66" t="s">
        <v>346</v>
      </c>
      <c r="B66" s="7">
        <f>'Financial Statements'!B5</f>
        <v>225100.198</v>
      </c>
    </row>
    <row r="67" ht="15.95" spans="1:2">
      <c r="A67" t="s">
        <v>347</v>
      </c>
      <c r="B67" s="7">
        <f>B66*'Valuation Parameters'!J12</f>
        <v>225100.198</v>
      </c>
    </row>
    <row r="68" ht="15.95" spans="1:2">
      <c r="A68" t="s">
        <v>348</v>
      </c>
      <c r="B68" s="102">
        <f ca="1">B65/B67</f>
        <v>104.410748995397</v>
      </c>
    </row>
  </sheetData>
  <pageMargins left="0.75" right="0.75" top="1" bottom="1" header="0.5" footer="0.5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II55"/>
  <sheetViews>
    <sheetView zoomScale="125" zoomScaleNormal="125" workbookViewId="0">
      <pane xSplit="1" ySplit="10" topLeftCell="B11" activePane="bottomRight" state="frozenSplit"/>
      <selection/>
      <selection pane="topRight"/>
      <selection pane="bottomLeft"/>
      <selection pane="bottomRight" activeCell="G18" sqref="G18"/>
    </sheetView>
  </sheetViews>
  <sheetFormatPr defaultColWidth="8.83035714285714" defaultRowHeight="15.2"/>
  <cols>
    <col min="1" max="1" width="40.6607142857143" customWidth="1"/>
    <col min="2" max="13" width="15.6607142857143" customWidth="1"/>
  </cols>
  <sheetData>
    <row r="1" s="56" customFormat="1" ht="20.4" spans="1:13">
      <c r="A1" s="58" t="s">
        <v>375</v>
      </c>
      <c r="B1" s="87" t="s">
        <v>144</v>
      </c>
      <c r="C1" s="88"/>
      <c r="D1" s="89"/>
      <c r="E1" s="104"/>
      <c r="F1" s="82"/>
      <c r="G1" s="83"/>
      <c r="H1" s="82"/>
      <c r="I1" s="82"/>
      <c r="J1" s="82"/>
      <c r="K1" s="82"/>
      <c r="L1" s="82"/>
      <c r="M1" s="82"/>
    </row>
    <row r="2" s="56" customFormat="1" ht="20.4" spans="1:13">
      <c r="A2" s="58"/>
      <c r="B2" s="87"/>
      <c r="C2" s="88"/>
      <c r="D2" s="89"/>
      <c r="E2" s="104"/>
      <c r="F2" s="82"/>
      <c r="G2" s="83"/>
      <c r="H2" s="82"/>
      <c r="I2" s="82"/>
      <c r="J2" s="82"/>
      <c r="K2" s="82"/>
      <c r="L2" s="82"/>
      <c r="M2" s="82"/>
    </row>
    <row r="3" ht="18" customHeight="1" spans="1:13">
      <c r="A3" s="90"/>
      <c r="B3" s="60"/>
      <c r="C3" s="91"/>
      <c r="D3" s="92"/>
      <c r="E3" s="105"/>
      <c r="F3" s="60"/>
      <c r="G3" s="84"/>
      <c r="H3" s="60"/>
      <c r="I3" s="60"/>
      <c r="J3" s="60"/>
      <c r="K3" s="60"/>
      <c r="L3" s="60"/>
      <c r="M3" s="60"/>
    </row>
    <row r="4" spans="1:13">
      <c r="A4" s="17" t="s">
        <v>91</v>
      </c>
      <c r="B4" s="61" t="str">
        <f>'Financial Statements'!B4</f>
        <v>DOLLAR TREE 2021</v>
      </c>
      <c r="C4" s="17"/>
      <c r="D4" s="17"/>
      <c r="E4" s="16"/>
      <c r="F4" s="16"/>
      <c r="G4" s="16"/>
      <c r="H4" s="16"/>
      <c r="I4" s="106"/>
      <c r="J4" s="16"/>
      <c r="K4" s="16"/>
      <c r="L4" s="16"/>
      <c r="M4" s="16"/>
    </row>
    <row r="5" spans="1:7">
      <c r="A5" s="16" t="s">
        <v>330</v>
      </c>
      <c r="B5" s="93">
        <f>'Financial Statements'!F8</f>
        <v>43130</v>
      </c>
      <c r="C5" s="94"/>
      <c r="D5" s="95"/>
      <c r="E5" s="93"/>
      <c r="G5" s="9"/>
    </row>
    <row r="6" spans="1:7">
      <c r="A6" s="16" t="s">
        <v>331</v>
      </c>
      <c r="B6" s="93">
        <f ca="1">'Valuation Parameters'!J11</f>
        <v>44549</v>
      </c>
      <c r="C6" s="94"/>
      <c r="D6" s="95"/>
      <c r="G6" s="9"/>
    </row>
    <row r="7" spans="1:2">
      <c r="A7" s="16" t="s">
        <v>332</v>
      </c>
      <c r="B7" s="96">
        <f>'Valuation Parameters'!J9</f>
        <v>0.1</v>
      </c>
    </row>
    <row r="8" spans="1:2">
      <c r="A8" s="16" t="s">
        <v>376</v>
      </c>
      <c r="B8" s="96">
        <f>'Forecasting Assumptions'!Q14</f>
        <v>0.03</v>
      </c>
    </row>
    <row r="9" spans="1:2">
      <c r="A9" s="16"/>
      <c r="B9" s="97"/>
    </row>
    <row r="10" ht="15.95" spans="1:13">
      <c r="A10" s="66" t="s">
        <v>334</v>
      </c>
      <c r="B10" s="67">
        <f>'Financial Statements'!G8</f>
        <v>43495</v>
      </c>
      <c r="C10" s="67">
        <f>'Financial Statements'!H8</f>
        <v>43860</v>
      </c>
      <c r="D10" s="67">
        <f>'Financial Statements'!I8</f>
        <v>44226</v>
      </c>
      <c r="E10" s="67">
        <f>'Financial Statements'!J8</f>
        <v>44591</v>
      </c>
      <c r="F10" s="67">
        <f>'Financial Statements'!K8</f>
        <v>44956</v>
      </c>
      <c r="G10" s="67">
        <f>'Financial Statements'!L8</f>
        <v>45321</v>
      </c>
      <c r="H10" s="67">
        <f>'Financial Statements'!M8</f>
        <v>45687</v>
      </c>
      <c r="I10" s="67">
        <f>'Financial Statements'!N8</f>
        <v>46052</v>
      </c>
      <c r="J10" s="67">
        <f>'Financial Statements'!O8</f>
        <v>46417</v>
      </c>
      <c r="K10" s="67">
        <f>'Financial Statements'!P8</f>
        <v>46782</v>
      </c>
      <c r="L10" s="67">
        <f>'Financial Statements'!Q8</f>
        <v>47148</v>
      </c>
      <c r="M10" s="67">
        <f>'Financial Statements'!R8</f>
        <v>47513</v>
      </c>
    </row>
    <row r="11" ht="18" hidden="1" customHeight="1" spans="1:13">
      <c r="A11" s="98">
        <f>B17+B33+B37-B45</f>
        <v>153968.782095589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</row>
    <row r="12" spans="1:1">
      <c r="A12" s="100" t="s">
        <v>335</v>
      </c>
    </row>
    <row r="13" spans="1:13">
      <c r="A13" t="s">
        <v>178</v>
      </c>
      <c r="B13" s="7">
        <f>'Cash Flow Analysis'!F64</f>
        <v>1123621.93536823</v>
      </c>
      <c r="C13" s="7">
        <f>'Cash Flow Analysis'!G64</f>
        <v>1160280.7238545</v>
      </c>
      <c r="D13" s="7">
        <f>'Cash Flow Analysis'!H64</f>
        <v>1197941.52506687</v>
      </c>
      <c r="E13" s="7">
        <f>'Cash Flow Analysis'!I64</f>
        <v>1236624.43870636</v>
      </c>
      <c r="F13" s="7">
        <f>'Cash Flow Analysis'!J64</f>
        <v>1276349.70776353</v>
      </c>
      <c r="G13" s="7">
        <f>'Cash Flow Analysis'!K64</f>
        <v>1317137.70966634</v>
      </c>
      <c r="H13" s="7">
        <f>'Cash Flow Analysis'!L64</f>
        <v>1359008.947027</v>
      </c>
      <c r="I13" s="7">
        <f>'Cash Flow Analysis'!M64</f>
        <v>1401984.03798422</v>
      </c>
      <c r="J13" s="7">
        <f>'Cash Flow Analysis'!N64</f>
        <v>1446083.70613731</v>
      </c>
      <c r="K13" s="7">
        <f>'Cash Flow Analysis'!O64</f>
        <v>1491328.77006923</v>
      </c>
      <c r="L13" s="7">
        <f>'Cash Flow Analysis'!P64</f>
        <v>1537740.13245563</v>
      </c>
      <c r="M13" s="7">
        <f>'Cash Flow Analysis'!Q64</f>
        <v>1583872.33642931</v>
      </c>
    </row>
    <row r="14" spans="1:13">
      <c r="A14" s="69" t="s">
        <v>377</v>
      </c>
      <c r="B14" s="7">
        <f>B13/(1+$B$7)^1</f>
        <v>1021474.48669839</v>
      </c>
      <c r="C14" s="7">
        <f>C13/(1+$B$7)^2</f>
        <v>958909.689135947</v>
      </c>
      <c r="D14" s="7">
        <f>D13/(1+$B$7)^3</f>
        <v>900031.198397349</v>
      </c>
      <c r="E14" s="7">
        <f>E13/(1+$B$7)^4</f>
        <v>844631.13086972</v>
      </c>
      <c r="F14" s="7">
        <f>F13/(1+$B$7)^5</f>
        <v>792512.749230695</v>
      </c>
      <c r="G14" s="7">
        <f>G13/(1+$B$7)^6</f>
        <v>743489.899397392</v>
      </c>
      <c r="H14" s="7">
        <f>H13/(1+$B$7)^7</f>
        <v>697386.47391507</v>
      </c>
      <c r="I14" s="7">
        <f>I13/(1+$B$7)^8</f>
        <v>654035.900655882</v>
      </c>
      <c r="J14" s="7">
        <f>J13/(1+$B$7)^9</f>
        <v>613280.655740089</v>
      </c>
      <c r="K14" s="7">
        <f>K13/(1+$B$7)^10</f>
        <v>574971.799633387</v>
      </c>
      <c r="L14" s="7">
        <f>L13/(1+$B$7)^11</f>
        <v>538968.535413406</v>
      </c>
      <c r="M14" s="7">
        <f>M13/(1+$B$7)^12</f>
        <v>504670.537705282</v>
      </c>
    </row>
    <row r="15" spans="1:3">
      <c r="A15" s="14" t="s">
        <v>339</v>
      </c>
      <c r="B15" s="7">
        <f>L14+(M13/($B$7-$B$8))/(1+$B$7)^11</f>
        <v>8469505.55649642</v>
      </c>
      <c r="C15" s="101" t="str">
        <f>IF(($B$7-$B$8)&lt;0,"Error! cost of equity capital &lt; growth rate"," ")</f>
        <v> </v>
      </c>
    </row>
    <row r="16" spans="1:2">
      <c r="A16" s="14" t="s">
        <v>340</v>
      </c>
      <c r="B16" s="7">
        <f>SUM(B14:K14)</f>
        <v>7800723.98367392</v>
      </c>
    </row>
    <row r="17" ht="12.75" customHeight="1" spans="1:2">
      <c r="A17" s="74" t="s">
        <v>342</v>
      </c>
      <c r="B17" s="7">
        <f>B15+B16</f>
        <v>16270229.5401703</v>
      </c>
    </row>
    <row r="18" spans="1:2">
      <c r="A18" s="69" t="s">
        <v>343</v>
      </c>
      <c r="B18" s="7">
        <f ca="1">B17*(1+(B7/2))*(1+B7*(DAYS360(B5,B6)/360))</f>
        <v>23727418.079415</v>
      </c>
    </row>
    <row r="19" spans="1:2">
      <c r="A19" s="69" t="s">
        <v>344</v>
      </c>
      <c r="B19" s="7">
        <f>-'Valuation Parameters'!J10</f>
        <v>0</v>
      </c>
    </row>
    <row r="20" spans="1:2">
      <c r="A20" t="s">
        <v>345</v>
      </c>
      <c r="B20" s="68">
        <f ca="1">B18+B19</f>
        <v>23727418.079415</v>
      </c>
    </row>
    <row r="21" spans="1:2">
      <c r="A21" t="s">
        <v>346</v>
      </c>
      <c r="B21" s="7">
        <f>'Financial Statements'!B5</f>
        <v>225100.198</v>
      </c>
    </row>
    <row r="22" ht="15.95" spans="1:2">
      <c r="A22" t="s">
        <v>347</v>
      </c>
      <c r="B22" s="7">
        <f>B21*'Valuation Parameters'!J12</f>
        <v>225100.198</v>
      </c>
    </row>
    <row r="23" ht="15.95" spans="1:2">
      <c r="A23" t="s">
        <v>348</v>
      </c>
      <c r="B23" s="102">
        <f ca="1">B20/B22</f>
        <v>105.408250593431</v>
      </c>
    </row>
    <row r="25" spans="1:1">
      <c r="A25" s="100" t="s">
        <v>349</v>
      </c>
    </row>
    <row r="26" spans="1:2">
      <c r="A26" s="16" t="s">
        <v>378</v>
      </c>
      <c r="B26" s="96">
        <f>'Valuation Parameters'!J15</f>
        <v>0.08</v>
      </c>
    </row>
    <row r="27" spans="1:6">
      <c r="A27" s="16" t="s">
        <v>351</v>
      </c>
      <c r="B27" s="96">
        <f>'Valuation Parameters'!J16</f>
        <v>0.09</v>
      </c>
      <c r="F27" s="98"/>
    </row>
    <row r="28" spans="1:6">
      <c r="A28" s="16" t="s">
        <v>352</v>
      </c>
      <c r="B28" s="96">
        <f>'Valuation Parameters'!J17</f>
        <v>0.1</v>
      </c>
      <c r="F28" s="98"/>
    </row>
    <row r="29" spans="1:3">
      <c r="A29" s="69" t="s">
        <v>353</v>
      </c>
      <c r="B29" s="96">
        <f>'Valuation Parameters'!J19</f>
        <v>0.0967434955007559</v>
      </c>
      <c r="C29" s="101"/>
    </row>
    <row r="30" spans="1:2">
      <c r="A30" s="16"/>
      <c r="B30" s="96"/>
    </row>
    <row r="31" spans="1:13">
      <c r="A31" t="s">
        <v>379</v>
      </c>
      <c r="B31" s="7">
        <f>'Cash Flow Analysis'!F90+'Cash Flow Analysis'!F95</f>
        <v>78764.4488285446</v>
      </c>
      <c r="C31" s="7">
        <f>'Cash Flow Analysis'!G90+'Cash Flow Analysis'!G95</f>
        <v>81828.1701197494</v>
      </c>
      <c r="D31" s="7">
        <f>'Cash Flow Analysis'!H90+'Cash Flow Analysis'!H95</f>
        <v>84993.2477946774</v>
      </c>
      <c r="E31" s="7">
        <f>'Cash Flow Analysis'!I90+'Cash Flow Analysis'!I95</f>
        <v>88262.306879136</v>
      </c>
      <c r="F31" s="7">
        <f>'Cash Flow Analysis'!J90+'Cash Flow Analysis'!J95</f>
        <v>91638.0122919876</v>
      </c>
      <c r="G31" s="7">
        <f>'Cash Flow Analysis'!K90+'Cash Flow Analysis'!K95</f>
        <v>95123.0683709338</v>
      </c>
      <c r="H31" s="7">
        <f>'Cash Flow Analysis'!L90+'Cash Flow Analysis'!L95</f>
        <v>98720.2183458229</v>
      </c>
      <c r="I31" s="7">
        <f>'Cash Flow Analysis'!M90+'Cash Flow Analysis'!M95</f>
        <v>102432.243758236</v>
      </c>
      <c r="J31" s="7">
        <f>'Cash Flow Analysis'!N90+'Cash Flow Analysis'!N95</f>
        <v>106261.963826018</v>
      </c>
      <c r="K31" s="7">
        <f>'Cash Flow Analysis'!O90+'Cash Flow Analysis'!O95</f>
        <v>110212.234751528</v>
      </c>
      <c r="L31" s="7">
        <f>'Cash Flow Analysis'!P90+'Cash Flow Analysis'!P95</f>
        <v>114285.948972322</v>
      </c>
      <c r="M31" s="7">
        <f>'Cash Flow Analysis'!Q90+'Cash Flow Analysis'!Q95</f>
        <v>117714.527441493</v>
      </c>
    </row>
    <row r="32" spans="1:13">
      <c r="A32" t="s">
        <v>380</v>
      </c>
      <c r="B32" s="7">
        <f>B31/(1+$B$26)^1</f>
        <v>72930.0452116153</v>
      </c>
      <c r="C32" s="7">
        <f>C31/(1+$B$26)^2</f>
        <v>70154.4668379196</v>
      </c>
      <c r="D32" s="7">
        <f>D31/(1+$B$26)^3</f>
        <v>67470.3803684313</v>
      </c>
      <c r="E32" s="7">
        <f>E31/(1+$B$26)^4</f>
        <v>64875.4304328467</v>
      </c>
      <c r="F32" s="7">
        <f>F31/(1+$B$26)^5</f>
        <v>62367.2913754993</v>
      </c>
      <c r="G32" s="7">
        <f>G31/(1+$B$26)^6</f>
        <v>59943.6685032874</v>
      </c>
      <c r="H32" s="7">
        <f>H31/(1+$B$26)^7</f>
        <v>57602.2992229684</v>
      </c>
      <c r="I32" s="7">
        <f>I31/(1+$B$26)^8</f>
        <v>55340.9540722966</v>
      </c>
      <c r="J32" s="7">
        <f>J31/(1+$B$26)^9</f>
        <v>53157.4376493259</v>
      </c>
      <c r="K32" s="7">
        <f>K31/(1+$B$26)^10</f>
        <v>51049.5894441683</v>
      </c>
      <c r="L32" s="7">
        <f>L31/(1+$B$26)^11</f>
        <v>49015.2845773686</v>
      </c>
      <c r="M32" s="7">
        <f>M31/(1+$B$26)^12</f>
        <v>46746.0584395278</v>
      </c>
    </row>
    <row r="33" ht="16" spans="1:3">
      <c r="A33" s="74" t="s">
        <v>358</v>
      </c>
      <c r="B33" s="7">
        <f>IF($B$26-$B$8&gt;0,SUM(B32:L32)+(M31/($B$26-$B$8))/(1+$B$26)^11,IF(NOT(M31=0),#N/A,SUM(B32:M32)))</f>
        <v>1673621.70998953</v>
      </c>
      <c r="C33" s="101" t="str">
        <f>IF($B$26-$B$8&gt;0," ",IF(NOT(M31=0),"Error! cost of debt &lt;= growth rate"," "))</f>
        <v> </v>
      </c>
    </row>
    <row r="34" spans="1:2">
      <c r="A34" s="74"/>
      <c r="B34" s="7"/>
    </row>
    <row r="35" spans="1:13">
      <c r="A35" t="s">
        <v>381</v>
      </c>
      <c r="B35" s="7">
        <f>'Cash Flow Analysis'!F92+'Cash Flow Analysis'!F96</f>
        <v>0</v>
      </c>
      <c r="C35" s="7">
        <f>'Cash Flow Analysis'!G92+'Cash Flow Analysis'!G96</f>
        <v>0</v>
      </c>
      <c r="D35" s="7">
        <f>'Cash Flow Analysis'!H92+'Cash Flow Analysis'!H96</f>
        <v>0</v>
      </c>
      <c r="E35" s="7">
        <f>'Cash Flow Analysis'!I92+'Cash Flow Analysis'!I96</f>
        <v>0</v>
      </c>
      <c r="F35" s="7">
        <f>'Cash Flow Analysis'!J92+'Cash Flow Analysis'!J96</f>
        <v>0</v>
      </c>
      <c r="G35" s="7">
        <f>'Cash Flow Analysis'!K92+'Cash Flow Analysis'!K96</f>
        <v>0</v>
      </c>
      <c r="H35" s="7">
        <f>'Cash Flow Analysis'!L92+'Cash Flow Analysis'!L96</f>
        <v>0</v>
      </c>
      <c r="I35" s="7">
        <f>'Cash Flow Analysis'!M92+'Cash Flow Analysis'!M96</f>
        <v>0</v>
      </c>
      <c r="J35" s="7">
        <f>'Cash Flow Analysis'!N92+'Cash Flow Analysis'!N96</f>
        <v>0</v>
      </c>
      <c r="K35" s="7">
        <f>'Cash Flow Analysis'!O92+'Cash Flow Analysis'!O96</f>
        <v>0</v>
      </c>
      <c r="L35" s="7">
        <f>'Cash Flow Analysis'!P92+'Cash Flow Analysis'!P96</f>
        <v>0</v>
      </c>
      <c r="M35" s="7">
        <f>'Cash Flow Analysis'!Q92+'Cash Flow Analysis'!Q96</f>
        <v>0</v>
      </c>
    </row>
    <row r="36" spans="1:13">
      <c r="A36" t="s">
        <v>382</v>
      </c>
      <c r="B36" s="7">
        <f>B35/(1+$B$27)^1</f>
        <v>0</v>
      </c>
      <c r="C36" s="7">
        <f>C35/(1+$B$27)^2</f>
        <v>0</v>
      </c>
      <c r="D36" s="7">
        <f>D35/(1+$B$27)^3</f>
        <v>0</v>
      </c>
      <c r="E36" s="7">
        <f>E35/(1+$B$27)^4</f>
        <v>0</v>
      </c>
      <c r="F36" s="7">
        <f>F35/(1+$B$27)^5</f>
        <v>0</v>
      </c>
      <c r="G36" s="7">
        <f>G35/(1+$B$27)^6</f>
        <v>0</v>
      </c>
      <c r="H36" s="7">
        <f>H35/(1+$B$27)^7</f>
        <v>0</v>
      </c>
      <c r="I36" s="7">
        <f>I35/(1+$B$27)^8</f>
        <v>0</v>
      </c>
      <c r="J36" s="7">
        <f>J35/(1+$B$27)^9</f>
        <v>0</v>
      </c>
      <c r="K36" s="7">
        <f>K35/(1+$B$27)^10</f>
        <v>0</v>
      </c>
      <c r="L36" s="7">
        <f>L35/(1+$B$27)^11</f>
        <v>0</v>
      </c>
      <c r="M36" s="7">
        <f>M35/(1+$B$27)^12</f>
        <v>0</v>
      </c>
    </row>
    <row r="37" ht="16" spans="1:3">
      <c r="A37" s="74" t="s">
        <v>363</v>
      </c>
      <c r="B37" s="7">
        <f>IF($B$27-$B$8&gt;0,SUM(B36:L36)+(M35/($B$27-$B$8))/(1+$B$27)^11,IF(NOT(M35=0),#N/A,SUM(B36:M36)))</f>
        <v>0</v>
      </c>
      <c r="C37" s="101" t="str">
        <f>IF($B$27-$B$8&gt;0," ",IF(NOT(M35=0),"Error! cost of preferred stock &lt;= growth rate"," "))</f>
        <v> </v>
      </c>
    </row>
    <row r="38" spans="1:3">
      <c r="A38" s="74"/>
      <c r="B38" s="7"/>
      <c r="C38" s="101"/>
    </row>
    <row r="39" spans="1:13">
      <c r="A39" t="s">
        <v>383</v>
      </c>
      <c r="B39" s="7">
        <f>'Cash Flow Analysis'!F93</f>
        <v>0</v>
      </c>
      <c r="C39" s="7">
        <f>'Cash Flow Analysis'!G93</f>
        <v>0</v>
      </c>
      <c r="D39" s="7">
        <f>'Cash Flow Analysis'!H93</f>
        <v>0</v>
      </c>
      <c r="E39" s="7">
        <f>'Cash Flow Analysis'!I93</f>
        <v>0</v>
      </c>
      <c r="F39" s="7">
        <f>'Cash Flow Analysis'!J93</f>
        <v>0</v>
      </c>
      <c r="G39" s="7">
        <f>'Cash Flow Analysis'!K93</f>
        <v>0</v>
      </c>
      <c r="H39" s="7">
        <f>'Cash Flow Analysis'!L93</f>
        <v>0</v>
      </c>
      <c r="I39" s="7">
        <f>'Cash Flow Analysis'!M93</f>
        <v>0</v>
      </c>
      <c r="J39" s="7">
        <f>'Cash Flow Analysis'!N93</f>
        <v>0</v>
      </c>
      <c r="K39" s="7">
        <f>'Cash Flow Analysis'!O93</f>
        <v>0</v>
      </c>
      <c r="L39" s="7">
        <f>'Cash Flow Analysis'!P93</f>
        <v>0</v>
      </c>
      <c r="M39" s="7">
        <f>'Cash Flow Analysis'!Q93</f>
        <v>0</v>
      </c>
    </row>
    <row r="40" spans="1:13">
      <c r="A40" t="s">
        <v>384</v>
      </c>
      <c r="B40" s="7">
        <f>B39/(1+$B$28)^1</f>
        <v>0</v>
      </c>
      <c r="C40" s="7">
        <f>C39/(1+$B$28)^2</f>
        <v>0</v>
      </c>
      <c r="D40" s="7">
        <f>D39/(1+$B$28)^3</f>
        <v>0</v>
      </c>
      <c r="E40" s="7">
        <f>E39/(1+$B$28)^4</f>
        <v>0</v>
      </c>
      <c r="F40" s="7">
        <f>F39/(1+$B$28)^5</f>
        <v>0</v>
      </c>
      <c r="G40" s="7">
        <f>G39/(1+$B$28)^6</f>
        <v>0</v>
      </c>
      <c r="H40" s="7">
        <f>H39/(1+$B$28)^7</f>
        <v>0</v>
      </c>
      <c r="I40" s="7">
        <f>I39/(1+$B$28)^8</f>
        <v>0</v>
      </c>
      <c r="J40" s="7">
        <f>J39/(1+$B$28)^9</f>
        <v>0</v>
      </c>
      <c r="K40" s="7">
        <f>K39/(1+$B$28)^10</f>
        <v>0</v>
      </c>
      <c r="L40" s="7">
        <f>L39/(1+$B$28)^11</f>
        <v>0</v>
      </c>
      <c r="M40" s="7">
        <f>M39/(1+$B$28)^12</f>
        <v>0</v>
      </c>
    </row>
    <row r="41" ht="16" spans="1:3">
      <c r="A41" s="74" t="s">
        <v>367</v>
      </c>
      <c r="B41" s="7">
        <f>IF($B$28-$B$8&gt;0,SUM(B40:L40)+(M39/($B$28-$B$8))/(1+$B$28)^11,IF(NOT(M39=0),#N/A,SUM(B40:M40)))</f>
        <v>0</v>
      </c>
      <c r="C41" s="101" t="str">
        <f>IF($B$28-$B$8&gt;0," ",IF(NOT(M39=0),"Error! cost of noncontrolling interest &lt;= growth rate"," "))</f>
        <v> </v>
      </c>
    </row>
    <row r="42" spans="1:2">
      <c r="A42" s="74"/>
      <c r="B42" s="7"/>
    </row>
    <row r="43" ht="16" spans="1:243">
      <c r="A43" s="103" t="s">
        <v>385</v>
      </c>
      <c r="B43" s="7">
        <f>'Cash Flow Analysis'!F97</f>
        <v>1167531.95993196</v>
      </c>
      <c r="C43" s="7">
        <f>'Cash Flow Analysis'!G97</f>
        <v>1206153.86827501</v>
      </c>
      <c r="D43" s="7">
        <f>'Cash Flow Analysis'!H97</f>
        <v>1245850.36548252</v>
      </c>
      <c r="E43" s="7">
        <f>'Cash Flow Analysis'!I97</f>
        <v>1286643.64275451</v>
      </c>
      <c r="F43" s="7">
        <f>'Cash Flow Analysis'!J97</f>
        <v>1328556.07223697</v>
      </c>
      <c r="G43" s="7">
        <f>'Cash Flow Analysis'!K97</f>
        <v>1371610.19798081</v>
      </c>
      <c r="H43" s="7">
        <f>'Cash Flow Analysis'!L97</f>
        <v>1415828.72645808</v>
      </c>
      <c r="I43" s="7">
        <f>'Cash Flow Analysis'!M97</f>
        <v>1461234.51663058</v>
      </c>
      <c r="J43" s="7">
        <f>'Cash Flow Analysis'!N97</f>
        <v>1507850.5695659</v>
      </c>
      <c r="K43" s="7">
        <f>'Cash Flow Analysis'!O97</f>
        <v>1555700.01759683</v>
      </c>
      <c r="L43" s="7">
        <f>'Cash Flow Analysis'!P97</f>
        <v>1604806.11302004</v>
      </c>
      <c r="M43" s="7">
        <f>'Cash Flow Analysis'!Q97</f>
        <v>1652950.29641065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</row>
    <row r="44" spans="1:13">
      <c r="A44" t="s">
        <v>386</v>
      </c>
      <c r="B44" s="7">
        <f>B43/(1+$B$29)^1</f>
        <v>1064544.23000602</v>
      </c>
      <c r="C44" s="7">
        <f>C43/(1+$B$29)^2</f>
        <v>1002749.78886809</v>
      </c>
      <c r="D44" s="7">
        <f>D43/(1+$B$29)^3</f>
        <v>944388.482156061</v>
      </c>
      <c r="E44" s="7">
        <f>E43/(1+$B$29)^4</f>
        <v>889278.943066927</v>
      </c>
      <c r="F44" s="7">
        <f>F43/(1+$B$29)^5</f>
        <v>837248.834631642</v>
      </c>
      <c r="G44" s="7">
        <f>G43/(1+$B$29)^6</f>
        <v>788134.431455793</v>
      </c>
      <c r="H44" s="7">
        <f>H43/(1+$B$29)^7</f>
        <v>741780.219121315</v>
      </c>
      <c r="I44" s="7">
        <f>I43/(1+$B$29)^8</f>
        <v>698038.510593879</v>
      </c>
      <c r="J44" s="7">
        <f>J43/(1+$B$29)^9</f>
        <v>656769.078999992</v>
      </c>
      <c r="K44" s="7">
        <f>K43/(1+$B$29)^10</f>
        <v>617838.806157521</v>
      </c>
      <c r="L44" s="7">
        <f>L43/(1+$B$29)^11</f>
        <v>581121.346262013</v>
      </c>
      <c r="M44" s="7">
        <f>M43/(1+$B$29)^12</f>
        <v>545756.586754668</v>
      </c>
    </row>
    <row r="45" spans="1:3">
      <c r="A45" s="69" t="s">
        <v>371</v>
      </c>
      <c r="B45" s="7">
        <f>IF(ISNA($B$29),#N/A,SUM(B44:L44)+(M43/($B$29-$B$8))/(1+$B$29)^11)</f>
        <v>17789882.4680643</v>
      </c>
      <c r="C45" s="101" t="str">
        <f>IF(($B$29-$B$8)&lt;=0,"Error! weighted average cost of capital &lt;= growth rate"," ")</f>
        <v> </v>
      </c>
    </row>
    <row r="46" ht="16" spans="1:2">
      <c r="A46" s="74" t="s">
        <v>387</v>
      </c>
      <c r="B46" s="7">
        <f>-B33</f>
        <v>-1673621.70998953</v>
      </c>
    </row>
    <row r="47" ht="16" spans="1:2">
      <c r="A47" s="74" t="s">
        <v>373</v>
      </c>
      <c r="B47" s="7">
        <f>-B37</f>
        <v>0</v>
      </c>
    </row>
    <row r="48" ht="16" spans="1:2">
      <c r="A48" s="74" t="s">
        <v>374</v>
      </c>
      <c r="B48" s="7">
        <f>-B41</f>
        <v>0</v>
      </c>
    </row>
    <row r="49" ht="12.75" customHeight="1" spans="1:2">
      <c r="A49" s="74" t="s">
        <v>342</v>
      </c>
      <c r="B49" s="7">
        <f>B45+B46+B47+B48</f>
        <v>16116260.7580747</v>
      </c>
    </row>
    <row r="50" spans="1:2">
      <c r="A50" s="69" t="s">
        <v>343</v>
      </c>
      <c r="B50" s="7">
        <f ca="1">B49*(1+(B7/2))*(1+B7*(DAYS360(B5,B6)/360))</f>
        <v>23502880.2721923</v>
      </c>
    </row>
    <row r="51" spans="1:4">
      <c r="A51" s="69" t="s">
        <v>344</v>
      </c>
      <c r="B51" s="7">
        <f>-'Valuation Parameters'!J10</f>
        <v>0</v>
      </c>
      <c r="D51" s="70"/>
    </row>
    <row r="52" spans="1:2">
      <c r="A52" t="s">
        <v>345</v>
      </c>
      <c r="B52" s="7">
        <f ca="1">B50+B51</f>
        <v>23502880.2721923</v>
      </c>
    </row>
    <row r="53" spans="1:2">
      <c r="A53" t="s">
        <v>346</v>
      </c>
      <c r="B53" s="7">
        <f>'Financial Statements'!B5</f>
        <v>225100.198</v>
      </c>
    </row>
    <row r="54" ht="15.95" spans="1:2">
      <c r="A54" t="s">
        <v>347</v>
      </c>
      <c r="B54" s="7">
        <f>B53*'Valuation Parameters'!J12</f>
        <v>225100.198</v>
      </c>
    </row>
    <row r="55" ht="15.95" spans="1:2">
      <c r="A55" t="s">
        <v>348</v>
      </c>
      <c r="B55" s="102">
        <f ca="1">B52/B54</f>
        <v>104.410748995397</v>
      </c>
    </row>
  </sheetData>
  <pageMargins left="0.75" right="0.75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Z69"/>
  <sheetViews>
    <sheetView zoomScale="125" zoomScaleNormal="125" workbookViewId="0">
      <pane xSplit="1" ySplit="10" topLeftCell="B11" activePane="bottomRight" state="frozen"/>
      <selection/>
      <selection pane="topRight"/>
      <selection pane="bottomLeft"/>
      <selection pane="bottomRight" activeCell="A1" sqref="A1"/>
    </sheetView>
  </sheetViews>
  <sheetFormatPr defaultColWidth="8.83035714285714" defaultRowHeight="15.2"/>
  <cols>
    <col min="1" max="1" width="37.1607142857143" style="27" customWidth="1"/>
    <col min="2" max="26" width="15.6607142857143" style="27" customWidth="1"/>
    <col min="27" max="16384" width="8.83035714285714" style="27"/>
  </cols>
  <sheetData>
    <row r="1" s="56" customFormat="1" ht="20.4" spans="1:26">
      <c r="A1" s="58" t="s">
        <v>388</v>
      </c>
      <c r="B1" s="59" t="s">
        <v>389</v>
      </c>
      <c r="C1" s="58"/>
      <c r="D1" s="58"/>
      <c r="E1" s="82"/>
      <c r="F1" s="82"/>
      <c r="G1" s="83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="56" customFormat="1" ht="20.4" spans="1:26">
      <c r="A2" s="58"/>
      <c r="B2" s="32"/>
      <c r="C2" s="58"/>
      <c r="D2" s="58"/>
      <c r="E2" s="82"/>
      <c r="F2" s="82"/>
      <c r="G2" s="83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customFormat="1" spans="1:26">
      <c r="A3" s="60"/>
      <c r="B3" s="60"/>
      <c r="C3" s="60"/>
      <c r="D3" s="60"/>
      <c r="E3" s="60"/>
      <c r="F3" s="60"/>
      <c r="G3" s="84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Format="1" spans="1:18">
      <c r="A4" s="17" t="s">
        <v>91</v>
      </c>
      <c r="B4" s="61" t="str">
        <f>'Financial Statements'!B4</f>
        <v>DOLLAR TREE 2021</v>
      </c>
      <c r="C4" s="17"/>
      <c r="D4" s="17"/>
      <c r="E4" s="16"/>
      <c r="F4" s="16"/>
      <c r="G4" s="16"/>
      <c r="H4" s="16"/>
      <c r="I4" s="86"/>
      <c r="J4" s="16"/>
      <c r="K4" s="16"/>
      <c r="L4" s="16"/>
      <c r="M4" s="16"/>
      <c r="N4" s="16"/>
      <c r="O4" s="16"/>
      <c r="P4" s="16"/>
      <c r="Q4" s="16"/>
      <c r="R4" s="16"/>
    </row>
    <row r="5" customFormat="1" spans="1:4">
      <c r="A5" s="17" t="s">
        <v>346</v>
      </c>
      <c r="B5" s="62">
        <f>'Financial Statements'!B5</f>
        <v>225100.198</v>
      </c>
      <c r="C5" s="17"/>
      <c r="D5" s="17"/>
    </row>
    <row r="6" customFormat="1" spans="1:4">
      <c r="A6" s="17" t="s">
        <v>347</v>
      </c>
      <c r="B6" s="63">
        <f>B5*'Valuation Parameters'!J12</f>
        <v>225100.198</v>
      </c>
      <c r="C6" s="17"/>
      <c r="D6" s="17"/>
    </row>
    <row r="7" customFormat="1" spans="1:4">
      <c r="A7" s="17" t="s">
        <v>390</v>
      </c>
      <c r="B7" s="64">
        <f ca="1">'Residual Income Valuations'!B27</f>
        <v>105.408250593431</v>
      </c>
      <c r="C7" s="17"/>
      <c r="D7" s="17"/>
    </row>
    <row r="8" customFormat="1" spans="1:4">
      <c r="A8" s="17"/>
      <c r="C8" s="17"/>
      <c r="D8" s="17"/>
    </row>
    <row r="9" customFormat="1" spans="1:13">
      <c r="A9" s="17"/>
      <c r="B9" s="65" t="s">
        <v>15</v>
      </c>
      <c r="C9" s="65" t="s">
        <v>15</v>
      </c>
      <c r="D9" s="65" t="s">
        <v>15</v>
      </c>
      <c r="E9" s="65" t="s">
        <v>15</v>
      </c>
      <c r="F9" s="65" t="s">
        <v>15</v>
      </c>
      <c r="G9" s="65" t="s">
        <v>15</v>
      </c>
      <c r="H9" s="65" t="s">
        <v>15</v>
      </c>
      <c r="I9" s="65" t="s">
        <v>15</v>
      </c>
      <c r="J9" s="65" t="s">
        <v>15</v>
      </c>
      <c r="K9" s="65" t="s">
        <v>15</v>
      </c>
      <c r="L9" s="65" t="s">
        <v>15</v>
      </c>
      <c r="M9" s="65" t="s">
        <v>15</v>
      </c>
    </row>
    <row r="10" customFormat="1" ht="15.95" spans="1:13">
      <c r="A10" s="66" t="s">
        <v>334</v>
      </c>
      <c r="B10" s="67">
        <f>'Financial Statements'!G8</f>
        <v>43495</v>
      </c>
      <c r="C10" s="67">
        <f>'Financial Statements'!H8</f>
        <v>43860</v>
      </c>
      <c r="D10" s="67">
        <f>'Financial Statements'!I8</f>
        <v>44226</v>
      </c>
      <c r="E10" s="67">
        <f>'Financial Statements'!J8</f>
        <v>44591</v>
      </c>
      <c r="F10" s="67">
        <f>'Financial Statements'!K8</f>
        <v>44956</v>
      </c>
      <c r="G10" s="67">
        <f>'Financial Statements'!L8</f>
        <v>45321</v>
      </c>
      <c r="H10" s="67">
        <f>'Financial Statements'!M8</f>
        <v>45687</v>
      </c>
      <c r="I10" s="67">
        <f>'Financial Statements'!N8</f>
        <v>46052</v>
      </c>
      <c r="J10" s="67">
        <f>'Financial Statements'!O8</f>
        <v>46417</v>
      </c>
      <c r="K10" s="67">
        <f>'Financial Statements'!P8</f>
        <v>46782</v>
      </c>
      <c r="L10" s="67">
        <f>'Financial Statements'!Q8</f>
        <v>47148</v>
      </c>
      <c r="M10" s="67">
        <f>'Financial Statements'!R8</f>
        <v>47513</v>
      </c>
    </row>
    <row r="11" customFormat="1" spans="1:13">
      <c r="A11" t="s">
        <v>72</v>
      </c>
      <c r="B11" s="7">
        <f>'Financial Statements'!G29</f>
        <v>1368000.92820436</v>
      </c>
      <c r="C11" s="7">
        <f>'Financial Statements'!H29</f>
        <v>1411074.11091536</v>
      </c>
      <c r="D11" s="7">
        <f>'Financial Statements'!I29</f>
        <v>1455269.05872413</v>
      </c>
      <c r="E11" s="7">
        <f>'Financial Statements'!J29</f>
        <v>1500606.4059963</v>
      </c>
      <c r="F11" s="7">
        <f>'Financial Statements'!K29</f>
        <v>1547106.86737447</v>
      </c>
      <c r="G11" s="7">
        <f>'Financial Statements'!L29</f>
        <v>1594791.22653905</v>
      </c>
      <c r="H11" s="7">
        <f>'Financial Statements'!M29</f>
        <v>1643680.32455789</v>
      </c>
      <c r="I11" s="7">
        <f>'Financial Statements'!N29</f>
        <v>1693795.04782332</v>
      </c>
      <c r="J11" s="7">
        <f>'Financial Statements'!O29</f>
        <v>1745156.31557576</v>
      </c>
      <c r="K11" s="7">
        <f>'Financial Statements'!P29</f>
        <v>1797785.06701341</v>
      </c>
      <c r="L11" s="7">
        <f>'Financial Statements'!Q29</f>
        <v>1851702.24798805</v>
      </c>
      <c r="M11" s="7">
        <f>'Financial Statements'!R29</f>
        <v>1907253.31542769</v>
      </c>
    </row>
    <row r="12" customFormat="1" spans="1:13">
      <c r="A12" t="s">
        <v>391</v>
      </c>
      <c r="B12" s="68">
        <f>'Cash Flow Analysis'!F39</f>
        <v>-1123621.93536823</v>
      </c>
      <c r="C12" s="68">
        <f>'Cash Flow Analysis'!G39</f>
        <v>-1160280.7238545</v>
      </c>
      <c r="D12" s="68">
        <f>'Cash Flow Analysis'!H39</f>
        <v>-1197941.52506687</v>
      </c>
      <c r="E12" s="68">
        <f>'Cash Flow Analysis'!I39</f>
        <v>-1236624.43870636</v>
      </c>
      <c r="F12" s="68">
        <f>'Cash Flow Analysis'!J39</f>
        <v>-1276349.70776353</v>
      </c>
      <c r="G12" s="68">
        <f>'Cash Flow Analysis'!K39</f>
        <v>-1317137.70966634</v>
      </c>
      <c r="H12" s="68">
        <f>'Cash Flow Analysis'!L39</f>
        <v>-1359008.947027</v>
      </c>
      <c r="I12" s="68">
        <f>'Cash Flow Analysis'!M39</f>
        <v>-1401984.03798422</v>
      </c>
      <c r="J12" s="68">
        <f>'Cash Flow Analysis'!N39</f>
        <v>-1446083.70613731</v>
      </c>
      <c r="K12" s="68">
        <f>'Cash Flow Analysis'!O39</f>
        <v>-1491328.77006923</v>
      </c>
      <c r="L12" s="68">
        <f>'Cash Flow Analysis'!P39</f>
        <v>-1537740.13245563</v>
      </c>
      <c r="M12" s="68">
        <f>'Cash Flow Analysis'!Q39</f>
        <v>-1583872.33642931</v>
      </c>
    </row>
    <row r="13" customFormat="1" spans="1:13">
      <c r="A13" s="69" t="s">
        <v>392</v>
      </c>
      <c r="B13" s="70">
        <f ca="1">B7*(1+'Valuation Parameters'!J9*(DAYS360('Residual Income Valuations'!B6,'Residual Income Valuations'!B10)/360))+('Financial Statements'!G64/'EPS Forecaster'!B6)*(DAYS360('Residual Income Valuations'!B6,'Residual Income Valuations'!B10)/360)</f>
        <v>74.9862582693827</v>
      </c>
      <c r="C13" s="70">
        <f ca="1">(B13*(1+'Valuation Parameters'!J9))+('Financial Statements'!H64/'EPS Forecaster'!B15)</f>
        <v>82.484884096321</v>
      </c>
      <c r="D13" s="70">
        <f ca="1">(C13*(1+'Valuation Parameters'!J9))+('Financial Statements'!I64/'EPS Forecaster'!C15)</f>
        <v>90.7333725059531</v>
      </c>
      <c r="E13" s="70">
        <f ca="1">(D13*(1+'Valuation Parameters'!J9))+('Financial Statements'!J64/'EPS Forecaster'!D15)</f>
        <v>99.8067097565484</v>
      </c>
      <c r="F13" s="70">
        <f ca="1">(E13*(1+'Valuation Parameters'!J9))+('Financial Statements'!K64/'EPS Forecaster'!E15)</f>
        <v>109.787380732203</v>
      </c>
      <c r="G13" s="70">
        <f ca="1">(F13*(1+'Valuation Parameters'!J9))+('Financial Statements'!L64/'EPS Forecaster'!F15)</f>
        <v>120.766118805424</v>
      </c>
      <c r="H13" s="70">
        <f ca="1">(G13*(1+'Valuation Parameters'!J9))+('Financial Statements'!M64/'EPS Forecaster'!G15)</f>
        <v>132.842730685966</v>
      </c>
      <c r="I13" s="70">
        <f ca="1">(H13*(1+'Valuation Parameters'!J9))+('Financial Statements'!N64/'EPS Forecaster'!H15)</f>
        <v>146.127003754563</v>
      </c>
      <c r="J13" s="70">
        <f ca="1">(I13*(1+'Valuation Parameters'!$J$9))+('Financial Statements'!O64/'EPS Forecaster'!I15)</f>
        <v>160.739704130019</v>
      </c>
      <c r="K13" s="70">
        <f ca="1">(J13*(1+'Valuation Parameters'!$J$9))+('Financial Statements'!P64/'EPS Forecaster'!J15)</f>
        <v>176.813674543021</v>
      </c>
      <c r="L13" s="70">
        <f ca="1">(K13*(1+'Valuation Parameters'!$J$9))+('Financial Statements'!Q64/'EPS Forecaster'!K15)</f>
        <v>194.495041997323</v>
      </c>
      <c r="M13" s="70">
        <f ca="1">(L13*(1+'Valuation Parameters'!$J$9))+('Financial Statements'!R64/'EPS Forecaster'!L15)</f>
        <v>213.944546197055</v>
      </c>
    </row>
    <row r="14" customFormat="1" spans="1:13">
      <c r="A14" t="s">
        <v>393</v>
      </c>
      <c r="B14" s="7">
        <f ca="1">B12/B13</f>
        <v>-14984.3712874924</v>
      </c>
      <c r="C14" s="7">
        <f ca="1" t="shared" ref="C14:M14" si="0">C12/C13</f>
        <v>-14066.586097152</v>
      </c>
      <c r="D14" s="7">
        <f ca="1" t="shared" si="0"/>
        <v>-13202.8766481514</v>
      </c>
      <c r="E14" s="7">
        <f ca="1" t="shared" si="0"/>
        <v>-12390.1934220933</v>
      </c>
      <c r="F14" s="7">
        <f ca="1" t="shared" si="0"/>
        <v>-11625.6504094659</v>
      </c>
      <c r="G14" s="7">
        <f ca="1" t="shared" si="0"/>
        <v>-10906.5168500487</v>
      </c>
      <c r="H14" s="7">
        <f ca="1" t="shared" si="0"/>
        <v>-10230.2093611703</v>
      </c>
      <c r="I14" s="7">
        <f ca="1" t="shared" si="0"/>
        <v>-9594.28443724896</v>
      </c>
      <c r="J14" s="7">
        <f ca="1" t="shared" si="0"/>
        <v>-8996.43130466138</v>
      </c>
      <c r="K14" s="7">
        <f ca="1" t="shared" si="0"/>
        <v>-8434.46511659014</v>
      </c>
      <c r="L14" s="7">
        <f ca="1" t="shared" si="0"/>
        <v>-7906.32047307816</v>
      </c>
      <c r="M14" s="7">
        <f ca="1" t="shared" si="0"/>
        <v>-7403.19098842778</v>
      </c>
    </row>
    <row r="15" customFormat="1" spans="1:13">
      <c r="A15" t="s">
        <v>394</v>
      </c>
      <c r="B15" s="7">
        <f ca="1">B6+B14</f>
        <v>210115.826712508</v>
      </c>
      <c r="C15" s="7">
        <f ca="1">B15+C14</f>
        <v>196049.240615356</v>
      </c>
      <c r="D15" s="7">
        <f ca="1" t="shared" ref="D15:M15" si="1">C15+D14</f>
        <v>182846.363967204</v>
      </c>
      <c r="E15" s="7">
        <f ca="1" t="shared" si="1"/>
        <v>170456.170545111</v>
      </c>
      <c r="F15" s="7">
        <f ca="1" t="shared" si="1"/>
        <v>158830.520135645</v>
      </c>
      <c r="G15" s="7">
        <f ca="1" t="shared" si="1"/>
        <v>147924.003285596</v>
      </c>
      <c r="H15" s="7">
        <f ca="1" t="shared" si="1"/>
        <v>137693.793924426</v>
      </c>
      <c r="I15" s="7">
        <f ca="1" t="shared" si="1"/>
        <v>128099.509487177</v>
      </c>
      <c r="J15" s="7">
        <f ca="1" t="shared" si="1"/>
        <v>119103.078182516</v>
      </c>
      <c r="K15" s="7">
        <f ca="1" t="shared" si="1"/>
        <v>110668.613065925</v>
      </c>
      <c r="L15" s="7">
        <f ca="1" t="shared" si="1"/>
        <v>102762.292592847</v>
      </c>
      <c r="M15" s="7">
        <f ca="1" t="shared" si="1"/>
        <v>95359.1016044195</v>
      </c>
    </row>
    <row r="16" customFormat="1" spans="1:13">
      <c r="A16" t="s">
        <v>395</v>
      </c>
      <c r="B16" s="70">
        <f ca="1">B11/((B6+B15)/2)</f>
        <v>6.28653749184914</v>
      </c>
      <c r="C16" s="70">
        <f ca="1">C11/((B15+C15)/2)</f>
        <v>6.94827903442675</v>
      </c>
      <c r="D16" s="70">
        <f ca="1" t="shared" ref="D16:M16" si="2">D11/((C15+D15)/2)</f>
        <v>7.68163600275829</v>
      </c>
      <c r="E16" s="70">
        <f ca="1" t="shared" si="2"/>
        <v>8.49473898095681</v>
      </c>
      <c r="F16" s="70">
        <f ca="1" t="shared" si="2"/>
        <v>9.39671666763108</v>
      </c>
      <c r="G16" s="70">
        <f ca="1" t="shared" si="2"/>
        <v>10.3978334777418</v>
      </c>
      <c r="H16" s="70">
        <f ca="1" t="shared" si="2"/>
        <v>11.5096491928285</v>
      </c>
      <c r="I16" s="70">
        <f ca="1" t="shared" si="2"/>
        <v>12.7452048346029</v>
      </c>
      <c r="J16" s="70">
        <f ca="1" t="shared" si="2"/>
        <v>14.1192398674047</v>
      </c>
      <c r="K16" s="70">
        <f ca="1" t="shared" si="2"/>
        <v>15.6484470062028</v>
      </c>
      <c r="L16" s="70">
        <f ca="1" t="shared" si="2"/>
        <v>17.3517723899696</v>
      </c>
      <c r="M16" s="70">
        <f ca="1" t="shared" si="2"/>
        <v>19.253380717972</v>
      </c>
    </row>
    <row r="17" customFormat="1" spans="1:26">
      <c r="A17" s="71" t="s">
        <v>396</v>
      </c>
      <c r="B17" s="72"/>
      <c r="C17" s="72"/>
      <c r="D17" s="73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customFormat="1" spans="1:2">
      <c r="A18" s="74"/>
      <c r="B18" s="7"/>
    </row>
    <row r="19" customFormat="1" ht="12" customHeight="1" spans="1:2">
      <c r="A19" s="74" t="s">
        <v>397</v>
      </c>
      <c r="B19" s="75">
        <f ca="1">(G16/B16)^(1/5)-1</f>
        <v>0.105875583900086</v>
      </c>
    </row>
    <row r="20" customFormat="1" ht="12" customHeight="1" spans="1:2">
      <c r="A20" s="76" t="s">
        <v>398</v>
      </c>
      <c r="B20" s="77"/>
    </row>
    <row r="21" customFormat="1" ht="12" customHeight="1" spans="2:2">
      <c r="B21" s="75"/>
    </row>
    <row r="22" s="57" customFormat="1" ht="12" customHeight="1" spans="1:2">
      <c r="A22" s="78"/>
      <c r="B22" s="79"/>
    </row>
    <row r="23" s="57" customFormat="1" ht="12" customHeight="1" spans="2:7">
      <c r="B23" s="79"/>
      <c r="C23" s="80" t="str">
        <f>HYPERLINK(CONCATENATE("http://biz.yahoo.com/z/a/",LEFT(TRIM('Financial Statements'!D4),1),"/",TRIM('Financial Statements'!D4),".html"),"To obtain analyst forecasts, click here")</f>
        <v>To obtain analyst forecasts, click here</v>
      </c>
      <c r="D23" s="65"/>
      <c r="E23" s="85"/>
      <c r="F23" s="85"/>
      <c r="G23" s="85"/>
    </row>
    <row r="24" customFormat="1" ht="12" customHeight="1" spans="1:3">
      <c r="A24" s="74"/>
      <c r="B24" s="75"/>
      <c r="C24" s="81"/>
    </row>
    <row r="25" customFormat="1" ht="12" customHeight="1" spans="1:2">
      <c r="A25" s="74"/>
      <c r="B25" s="75"/>
    </row>
    <row r="26" customFormat="1" ht="12" customHeight="1" spans="1:2">
      <c r="A26" s="74"/>
      <c r="B26" s="75"/>
    </row>
    <row r="27" customFormat="1" ht="12" customHeight="1" spans="1:2">
      <c r="A27" s="74"/>
      <c r="B27" s="75"/>
    </row>
    <row r="28" customFormat="1" ht="12" customHeight="1" spans="1:2">
      <c r="A28" s="74"/>
      <c r="B28" s="75"/>
    </row>
    <row r="29" customFormat="1" ht="12" customHeight="1" spans="1:2">
      <c r="A29" s="74"/>
      <c r="B29" s="75"/>
    </row>
    <row r="30" customFormat="1" ht="12" customHeight="1" spans="1:2">
      <c r="A30" s="74"/>
      <c r="B30" s="75"/>
    </row>
    <row r="31" customFormat="1" ht="12" customHeight="1" spans="1:2">
      <c r="A31" s="74"/>
      <c r="B31" s="75"/>
    </row>
    <row r="32" customFormat="1" ht="12" customHeight="1" spans="1:2">
      <c r="A32" s="74"/>
      <c r="B32" s="75"/>
    </row>
    <row r="33" customFormat="1" ht="12" customHeight="1" spans="1:2">
      <c r="A33" s="74"/>
      <c r="B33" s="75"/>
    </row>
    <row r="34" customFormat="1" ht="12" customHeight="1" spans="1:2">
      <c r="A34" s="74"/>
      <c r="B34" s="75"/>
    </row>
    <row r="35" customFormat="1" ht="12" customHeight="1" spans="1:2">
      <c r="A35" s="74"/>
      <c r="B35" s="75"/>
    </row>
    <row r="36" customFormat="1" ht="12" customHeight="1" spans="1:2">
      <c r="A36" s="74"/>
      <c r="B36" s="75"/>
    </row>
    <row r="37" customFormat="1" ht="12" customHeight="1" spans="1:2">
      <c r="A37" s="74"/>
      <c r="B37" s="75"/>
    </row>
    <row r="38" customFormat="1" ht="12" customHeight="1" spans="1:2">
      <c r="A38" s="74"/>
      <c r="B38" s="75"/>
    </row>
    <row r="39" customFormat="1" ht="12" customHeight="1" spans="1:2">
      <c r="A39" s="74"/>
      <c r="B39" s="75"/>
    </row>
    <row r="40" customFormat="1" ht="12" customHeight="1" spans="1:2">
      <c r="A40" s="74"/>
      <c r="B40" s="75"/>
    </row>
    <row r="41" customFormat="1" ht="12" customHeight="1" spans="1:2">
      <c r="A41" s="74"/>
      <c r="B41" s="75"/>
    </row>
    <row r="42" customFormat="1" ht="12" customHeight="1" spans="1:2">
      <c r="A42" s="74"/>
      <c r="B42" s="75"/>
    </row>
    <row r="43" customFormat="1" ht="12" customHeight="1" spans="1:2">
      <c r="A43" s="74"/>
      <c r="B43" s="75"/>
    </row>
    <row r="44" customFormat="1" ht="12" customHeight="1" spans="1:2">
      <c r="A44" s="74"/>
      <c r="B44" s="75"/>
    </row>
    <row r="45" customFormat="1" ht="12" customHeight="1" spans="1:2">
      <c r="A45" s="74"/>
      <c r="B45" s="75"/>
    </row>
    <row r="46" customFormat="1" ht="12" customHeight="1" spans="1:2">
      <c r="A46" s="74"/>
      <c r="B46" s="75"/>
    </row>
    <row r="47" customFormat="1" ht="12" customHeight="1" spans="1:2">
      <c r="A47" s="74"/>
      <c r="B47" s="75"/>
    </row>
    <row r="48" customFormat="1" ht="12" customHeight="1" spans="1:2">
      <c r="A48" s="74"/>
      <c r="B48" s="75"/>
    </row>
    <row r="49" customFormat="1" ht="12" customHeight="1" spans="1:2">
      <c r="A49" s="74"/>
      <c r="B49" s="75"/>
    </row>
    <row r="50" customFormat="1" ht="12" customHeight="1" spans="1:2">
      <c r="A50" s="74"/>
      <c r="B50" s="75"/>
    </row>
    <row r="51" customFormat="1" ht="12" customHeight="1" spans="1:2">
      <c r="A51" s="74"/>
      <c r="B51" s="75"/>
    </row>
    <row r="52" customFormat="1" ht="12" customHeight="1" spans="1:2">
      <c r="A52" s="74"/>
      <c r="B52" s="75"/>
    </row>
    <row r="53" customFormat="1" ht="12" customHeight="1" spans="1:2">
      <c r="A53" s="74"/>
      <c r="B53" s="75"/>
    </row>
    <row r="54" customFormat="1" ht="12" customHeight="1" spans="1:2">
      <c r="A54" s="74"/>
      <c r="B54" s="75"/>
    </row>
    <row r="55" customFormat="1" ht="12" customHeight="1" spans="1:2">
      <c r="A55" s="74"/>
      <c r="B55" s="75"/>
    </row>
    <row r="56" customFormat="1" ht="12" customHeight="1" spans="1:2">
      <c r="A56" s="74"/>
      <c r="B56" s="75"/>
    </row>
    <row r="57" customFormat="1" ht="12" customHeight="1" spans="1:2">
      <c r="A57" s="74"/>
      <c r="B57" s="75"/>
    </row>
    <row r="58" customFormat="1" ht="12" customHeight="1" spans="1:2">
      <c r="A58" s="74"/>
      <c r="B58" s="75"/>
    </row>
    <row r="59" customFormat="1" ht="12" customHeight="1" spans="1:2">
      <c r="A59" s="74"/>
      <c r="B59" s="75"/>
    </row>
    <row r="60" customFormat="1" ht="12" customHeight="1" spans="1:2">
      <c r="A60" s="74"/>
      <c r="B60" s="75"/>
    </row>
    <row r="61" customFormat="1" ht="12" customHeight="1" spans="1:2">
      <c r="A61" s="74"/>
      <c r="B61" s="75"/>
    </row>
    <row r="62" customFormat="1" ht="12" customHeight="1" spans="1:2">
      <c r="A62" s="74"/>
      <c r="B62" s="75"/>
    </row>
    <row r="63" customFormat="1" ht="12" customHeight="1" spans="1:2">
      <c r="A63" s="74"/>
      <c r="B63" s="75"/>
    </row>
    <row r="64" customFormat="1" ht="12" customHeight="1" spans="1:2">
      <c r="A64" s="74"/>
      <c r="B64" s="75"/>
    </row>
    <row r="65" customFormat="1" ht="12" customHeight="1" spans="1:2">
      <c r="A65" s="74"/>
      <c r="B65" s="75"/>
    </row>
    <row r="66" customFormat="1" ht="12" customHeight="1" spans="1:2">
      <c r="A66" s="74"/>
      <c r="B66" s="75"/>
    </row>
    <row r="67" customFormat="1" ht="12" customHeight="1" spans="1:2">
      <c r="A67" s="74"/>
      <c r="B67" s="75"/>
    </row>
    <row r="68" customFormat="1" ht="12" customHeight="1" spans="1:2">
      <c r="A68" s="74"/>
      <c r="B68" s="75"/>
    </row>
    <row r="69" customFormat="1" ht="12" customHeight="1" spans="1:2">
      <c r="A69" s="74"/>
      <c r="B69" s="75"/>
    </row>
  </sheetData>
  <mergeCells count="1">
    <mergeCell ref="C23:D23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DC201"/>
  <sheetViews>
    <sheetView showGridLines="0" zoomScale="125" zoomScaleNormal="125" workbookViewId="0">
      <selection activeCell="A1" sqref="A1"/>
    </sheetView>
  </sheetViews>
  <sheetFormatPr defaultColWidth="8.83035714285714" defaultRowHeight="15.2"/>
  <cols>
    <col min="1" max="1" width="27.3303571428571" style="27" customWidth="1"/>
    <col min="2" max="2" width="18.3303571428571" style="27" customWidth="1"/>
    <col min="3" max="16384" width="8.83035714285714" style="27"/>
  </cols>
  <sheetData>
    <row r="1" ht="20.4" spans="1:3">
      <c r="A1" s="28" t="s">
        <v>399</v>
      </c>
      <c r="B1" s="29"/>
      <c r="C1" s="30"/>
    </row>
    <row r="2" ht="20.4" spans="1:3">
      <c r="A2" s="31"/>
      <c r="B2" s="32"/>
      <c r="C2" s="33"/>
    </row>
    <row r="3" ht="15.95" spans="1:3">
      <c r="A3" s="34"/>
      <c r="B3" s="35"/>
      <c r="C3" s="36"/>
    </row>
    <row r="4" spans="1:3">
      <c r="A4" s="37" t="s">
        <v>400</v>
      </c>
      <c r="B4" s="38"/>
      <c r="C4" s="39"/>
    </row>
    <row r="5" spans="1:3">
      <c r="A5" s="40" t="str">
        <f>'Financial Statements'!B4</f>
        <v>DOLLAR TREE 2021</v>
      </c>
      <c r="B5" s="41"/>
      <c r="C5" s="39"/>
    </row>
    <row r="6" spans="1:3">
      <c r="A6" s="42" t="s">
        <v>401</v>
      </c>
      <c r="B6" s="43">
        <f>'Financial Statements'!F8</f>
        <v>43130</v>
      </c>
      <c r="C6" s="39"/>
    </row>
    <row r="7" spans="1:3">
      <c r="A7" s="42" t="s">
        <v>402</v>
      </c>
      <c r="B7" s="44">
        <f>AVERAGE('Ratio Analysis'!C19:F19)</f>
        <v>0.0665410230091407</v>
      </c>
      <c r="C7" s="39"/>
    </row>
    <row r="8" spans="1:3">
      <c r="A8" s="42" t="s">
        <v>403</v>
      </c>
      <c r="B8" s="44">
        <f>(('Financial Statements'!F12/'Financial Statements'!B12)^(1/4))-1</f>
        <v>0.0429557394302513</v>
      </c>
      <c r="C8" s="39"/>
    </row>
    <row r="9" spans="1:3">
      <c r="A9" s="42"/>
      <c r="B9" s="38"/>
      <c r="C9" s="39"/>
    </row>
    <row r="10" spans="1:3">
      <c r="A10" s="37" t="s">
        <v>404</v>
      </c>
      <c r="B10" s="38"/>
      <c r="C10" s="39"/>
    </row>
    <row r="11" spans="1:3">
      <c r="A11" s="42" t="s">
        <v>405</v>
      </c>
      <c r="B11" s="45" t="s">
        <v>406</v>
      </c>
      <c r="C11" s="39"/>
    </row>
    <row r="12" spans="1:3">
      <c r="A12" s="42" t="s">
        <v>407</v>
      </c>
      <c r="B12" s="46">
        <f>'Ratio Analysis'!G19</f>
        <v>0.174474569976188</v>
      </c>
      <c r="C12" s="39"/>
    </row>
    <row r="13" spans="1:3">
      <c r="A13" s="42" t="s">
        <v>408</v>
      </c>
      <c r="B13" s="46">
        <f>'Ratio Analysis'!Q19</f>
        <v>0.174320763545848</v>
      </c>
      <c r="C13" s="39"/>
    </row>
    <row r="14" spans="1:3">
      <c r="A14" s="42" t="s">
        <v>409</v>
      </c>
      <c r="B14" s="46">
        <f>'Ratio Analysis'!G10</f>
        <v>0.0316614617912969</v>
      </c>
      <c r="C14" s="39"/>
    </row>
    <row r="15" spans="1:3">
      <c r="A15" s="42" t="s">
        <v>410</v>
      </c>
      <c r="B15" s="46">
        <f>'Ratio Analysis'!Q10</f>
        <v>0.03</v>
      </c>
      <c r="C15" s="39"/>
    </row>
    <row r="16" spans="1:3">
      <c r="A16" s="42" t="s">
        <v>411</v>
      </c>
      <c r="B16" s="47">
        <f ca="1">'EPS Forecaster'!B16</f>
        <v>6.28653749184914</v>
      </c>
      <c r="C16" s="39"/>
    </row>
    <row r="17" spans="1:3">
      <c r="A17" s="42" t="s">
        <v>412</v>
      </c>
      <c r="B17" s="46">
        <f ca="1">'EPS Forecaster'!B19</f>
        <v>0.105875583900086</v>
      </c>
      <c r="C17" s="39"/>
    </row>
    <row r="18" spans="1:3">
      <c r="A18" s="42"/>
      <c r="B18" s="38"/>
      <c r="C18" s="39"/>
    </row>
    <row r="19" spans="1:3">
      <c r="A19" s="37" t="s">
        <v>413</v>
      </c>
      <c r="B19" s="38"/>
      <c r="C19" s="39"/>
    </row>
    <row r="20" spans="1:3">
      <c r="A20" s="42" t="s">
        <v>414</v>
      </c>
      <c r="B20" s="46">
        <f>'Valuation Parameters'!J9</f>
        <v>0.1</v>
      </c>
      <c r="C20" s="39"/>
    </row>
    <row r="21" ht="15.95" spans="1:3">
      <c r="A21" s="42" t="s">
        <v>415</v>
      </c>
      <c r="B21" s="48">
        <f ca="1">'Valuation Parameters'!J11</f>
        <v>44549</v>
      </c>
      <c r="C21" s="39"/>
    </row>
    <row r="22" ht="16.7" spans="1:3">
      <c r="A22" s="42" t="s">
        <v>416</v>
      </c>
      <c r="B22" s="49">
        <f ca="1">'Residual Income Valuations'!B27</f>
        <v>105.408250593431</v>
      </c>
      <c r="C22" s="39"/>
    </row>
    <row r="23" ht="15.95" spans="1:3">
      <c r="A23" s="42" t="s">
        <v>417</v>
      </c>
      <c r="B23" s="50">
        <f ca="1">B22/'Model Summary'!B16</f>
        <v>16.7672984898443</v>
      </c>
      <c r="C23" s="39"/>
    </row>
    <row r="24" spans="1:3">
      <c r="A24" s="42" t="s">
        <v>418</v>
      </c>
      <c r="B24" s="51">
        <f ca="1">(B22*'Residual Income Valuations'!B26)/'Financial Statements'!F57</f>
        <v>3.07409704986915</v>
      </c>
      <c r="C24" s="39"/>
    </row>
    <row r="25" ht="15.95" spans="1:3">
      <c r="A25" s="52"/>
      <c r="B25" s="53"/>
      <c r="C25" s="54"/>
    </row>
    <row r="101" spans="30:98"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55"/>
      <c r="CA101" s="55"/>
      <c r="CB101" s="55"/>
      <c r="CC101" s="55"/>
      <c r="CD101" s="55"/>
      <c r="CE101" s="55"/>
      <c r="CF101" s="55"/>
      <c r="CG101" s="55"/>
      <c r="CH101" s="55"/>
      <c r="CI101" s="55"/>
      <c r="CJ101" s="55"/>
      <c r="CK101" s="55"/>
      <c r="CL101" s="55"/>
      <c r="CM101" s="55"/>
      <c r="CN101" s="55"/>
      <c r="CO101" s="55"/>
      <c r="CP101" s="55"/>
      <c r="CQ101" s="55"/>
      <c r="CR101" s="55"/>
      <c r="CS101" s="55"/>
      <c r="CT101" s="55"/>
    </row>
    <row r="102" spans="30:98"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5"/>
      <c r="CK102" s="55"/>
      <c r="CL102" s="55"/>
      <c r="CM102" s="55"/>
      <c r="CN102" s="55"/>
      <c r="CO102" s="55"/>
      <c r="CP102" s="55"/>
      <c r="CQ102" s="55"/>
      <c r="CR102" s="55"/>
      <c r="CS102" s="55"/>
      <c r="CT102" s="55"/>
    </row>
    <row r="103" spans="30:98"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/>
      <c r="CF103" s="55"/>
      <c r="CG103" s="55"/>
      <c r="CH103" s="55"/>
      <c r="CI103" s="55"/>
      <c r="CJ103" s="55"/>
      <c r="CK103" s="55"/>
      <c r="CL103" s="55"/>
      <c r="CM103" s="55"/>
      <c r="CN103" s="55"/>
      <c r="CO103" s="55"/>
      <c r="CP103" s="55"/>
      <c r="CQ103" s="55"/>
      <c r="CR103" s="55"/>
      <c r="CS103" s="55"/>
      <c r="CT103" s="55"/>
    </row>
    <row r="104" spans="30:98"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</row>
    <row r="105" spans="30:98"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  <c r="CJ105" s="55"/>
      <c r="CK105" s="55"/>
      <c r="CL105" s="55"/>
      <c r="CM105" s="55"/>
      <c r="CN105" s="55"/>
      <c r="CO105" s="55"/>
      <c r="CP105" s="55"/>
      <c r="CQ105" s="55"/>
      <c r="CR105" s="55"/>
      <c r="CS105" s="55"/>
      <c r="CT105" s="55"/>
    </row>
    <row r="106" spans="30:98"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  <c r="CR106" s="55"/>
      <c r="CS106" s="55"/>
      <c r="CT106" s="55"/>
    </row>
    <row r="107" spans="30:98"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</row>
    <row r="108" spans="30:98"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5"/>
      <c r="CI108" s="55"/>
      <c r="CJ108" s="55"/>
      <c r="CK108" s="55"/>
      <c r="CL108" s="55"/>
      <c r="CM108" s="55"/>
      <c r="CN108" s="55"/>
      <c r="CO108" s="55"/>
      <c r="CP108" s="55"/>
      <c r="CQ108" s="55"/>
      <c r="CR108" s="55"/>
      <c r="CS108" s="55"/>
      <c r="CT108" s="55"/>
    </row>
    <row r="109" spans="30:98"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  <c r="CJ109" s="55"/>
      <c r="CK109" s="55"/>
      <c r="CL109" s="55"/>
      <c r="CM109" s="55"/>
      <c r="CN109" s="55"/>
      <c r="CO109" s="55"/>
      <c r="CP109" s="55"/>
      <c r="CQ109" s="55"/>
      <c r="CR109" s="55"/>
      <c r="CS109" s="55"/>
      <c r="CT109" s="55"/>
    </row>
    <row r="110" spans="30:98"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</row>
    <row r="111" spans="30:98"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55"/>
      <c r="CN111" s="55"/>
      <c r="CO111" s="55"/>
      <c r="CP111" s="55"/>
      <c r="CQ111" s="55"/>
      <c r="CR111" s="55"/>
      <c r="CS111" s="55"/>
      <c r="CT111" s="55"/>
    </row>
    <row r="112" spans="30:98"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</row>
    <row r="113" spans="30:98"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</row>
    <row r="114" spans="30:98"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</row>
    <row r="115" spans="30:98"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</row>
    <row r="116" spans="30:98"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55"/>
      <c r="CN116" s="55"/>
      <c r="CO116" s="55"/>
      <c r="CP116" s="55"/>
      <c r="CQ116" s="55"/>
      <c r="CR116" s="55"/>
      <c r="CS116" s="55"/>
      <c r="CT116" s="55"/>
    </row>
    <row r="117" spans="30:98"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55"/>
      <c r="CN117" s="55"/>
      <c r="CO117" s="55"/>
      <c r="CP117" s="55"/>
      <c r="CQ117" s="55"/>
      <c r="CR117" s="55"/>
      <c r="CS117" s="55"/>
      <c r="CT117" s="55"/>
    </row>
    <row r="118" spans="30:98"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5"/>
      <c r="CI118" s="55"/>
      <c r="CJ118" s="55"/>
      <c r="CK118" s="55"/>
      <c r="CL118" s="55"/>
      <c r="CM118" s="55"/>
      <c r="CN118" s="55"/>
      <c r="CO118" s="55"/>
      <c r="CP118" s="55"/>
      <c r="CQ118" s="55"/>
      <c r="CR118" s="55"/>
      <c r="CS118" s="55"/>
      <c r="CT118" s="55"/>
    </row>
    <row r="119" spans="30:98"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55"/>
      <c r="CN119" s="55"/>
      <c r="CO119" s="55"/>
      <c r="CP119" s="55"/>
      <c r="CQ119" s="55"/>
      <c r="CR119" s="55"/>
      <c r="CS119" s="55"/>
      <c r="CT119" s="55"/>
    </row>
    <row r="120" spans="30:98"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</row>
    <row r="121" spans="30:98"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</row>
    <row r="122" spans="30:98"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</row>
    <row r="123" spans="30:98"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</row>
    <row r="124" spans="30:98"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</row>
    <row r="125" spans="30:98"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5"/>
      <c r="BY125" s="55"/>
      <c r="BZ125" s="55"/>
      <c r="CA125" s="55"/>
      <c r="CB125" s="55"/>
      <c r="CC125" s="55"/>
      <c r="CD125" s="55"/>
      <c r="CE125" s="55"/>
      <c r="CF125" s="55"/>
      <c r="CG125" s="55"/>
      <c r="CH125" s="55"/>
      <c r="CI125" s="55"/>
      <c r="CJ125" s="55"/>
      <c r="CK125" s="55"/>
      <c r="CL125" s="55"/>
      <c r="CM125" s="55"/>
      <c r="CN125" s="55"/>
      <c r="CO125" s="55"/>
      <c r="CP125" s="55"/>
      <c r="CQ125" s="55"/>
      <c r="CR125" s="55"/>
      <c r="CS125" s="55"/>
      <c r="CT125" s="55"/>
    </row>
    <row r="126" spans="30:98"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</row>
    <row r="127" spans="30:98"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  <c r="CR127" s="55"/>
      <c r="CS127" s="55"/>
      <c r="CT127" s="55"/>
    </row>
    <row r="128" spans="30:98"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</row>
    <row r="129" spans="30:98"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</row>
    <row r="130" spans="30:98"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  <c r="BW130" s="55"/>
      <c r="BX130" s="55"/>
      <c r="BY130" s="55"/>
      <c r="BZ130" s="55"/>
      <c r="CA130" s="55"/>
      <c r="CB130" s="55"/>
      <c r="CC130" s="55"/>
      <c r="CD130" s="55"/>
      <c r="CE130" s="55"/>
      <c r="CF130" s="55"/>
      <c r="CG130" s="55"/>
      <c r="CH130" s="55"/>
      <c r="CI130" s="55"/>
      <c r="CJ130" s="55"/>
      <c r="CK130" s="55"/>
      <c r="CL130" s="55"/>
      <c r="CM130" s="55"/>
      <c r="CN130" s="55"/>
      <c r="CO130" s="55"/>
      <c r="CP130" s="55"/>
      <c r="CQ130" s="55"/>
      <c r="CR130" s="55"/>
      <c r="CS130" s="55"/>
      <c r="CT130" s="55"/>
    </row>
    <row r="131" spans="30:98"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</row>
    <row r="132" spans="30:98"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5"/>
      <c r="BY132" s="55"/>
      <c r="BZ132" s="55"/>
      <c r="CA132" s="55"/>
      <c r="CB132" s="55"/>
      <c r="CC132" s="55"/>
      <c r="CD132" s="55"/>
      <c r="CE132" s="55"/>
      <c r="CF132" s="55"/>
      <c r="CG132" s="55"/>
      <c r="CH132" s="55"/>
      <c r="CI132" s="55"/>
      <c r="CJ132" s="55"/>
      <c r="CK132" s="55"/>
      <c r="CL132" s="55"/>
      <c r="CM132" s="55"/>
      <c r="CN132" s="55"/>
      <c r="CO132" s="55"/>
      <c r="CP132" s="55"/>
      <c r="CQ132" s="55"/>
      <c r="CR132" s="55"/>
      <c r="CS132" s="55"/>
      <c r="CT132" s="55"/>
    </row>
    <row r="133" spans="30:98"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</row>
    <row r="134" spans="30:98"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  <c r="CP134" s="55"/>
      <c r="CQ134" s="55"/>
      <c r="CR134" s="55"/>
      <c r="CS134" s="55"/>
      <c r="CT134" s="55"/>
    </row>
    <row r="135" spans="30:98"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</row>
    <row r="136" spans="30:98"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</row>
    <row r="137" spans="30:98"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</row>
    <row r="138" spans="30:98"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</row>
    <row r="139" spans="30:98"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5"/>
      <c r="BZ139" s="55"/>
      <c r="CA139" s="55"/>
      <c r="CB139" s="55"/>
      <c r="CC139" s="55"/>
      <c r="CD139" s="55"/>
      <c r="CE139" s="55"/>
      <c r="CF139" s="55"/>
      <c r="CG139" s="55"/>
      <c r="CH139" s="55"/>
      <c r="CI139" s="55"/>
      <c r="CJ139" s="55"/>
      <c r="CK139" s="55"/>
      <c r="CL139" s="55"/>
      <c r="CM139" s="55"/>
      <c r="CN139" s="55"/>
      <c r="CO139" s="55"/>
      <c r="CP139" s="55"/>
      <c r="CQ139" s="55"/>
      <c r="CR139" s="55"/>
      <c r="CS139" s="55"/>
      <c r="CT139" s="55"/>
    </row>
    <row r="140" spans="30:98"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</row>
    <row r="141" spans="30:98"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  <c r="CR141" s="55"/>
      <c r="CS141" s="55"/>
      <c r="CT141" s="55"/>
    </row>
    <row r="142" spans="30:98"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  <c r="BW142" s="55"/>
      <c r="BX142" s="55"/>
      <c r="BY142" s="55"/>
      <c r="BZ142" s="55"/>
      <c r="CA142" s="55"/>
      <c r="CB142" s="55"/>
      <c r="CC142" s="55"/>
      <c r="CD142" s="55"/>
      <c r="CE142" s="55"/>
      <c r="CF142" s="55"/>
      <c r="CG142" s="55"/>
      <c r="CH142" s="55"/>
      <c r="CI142" s="55"/>
      <c r="CJ142" s="55"/>
      <c r="CK142" s="55"/>
      <c r="CL142" s="55"/>
      <c r="CM142" s="55"/>
      <c r="CN142" s="55"/>
      <c r="CO142" s="55"/>
      <c r="CP142" s="55"/>
      <c r="CQ142" s="55"/>
      <c r="CR142" s="55"/>
      <c r="CS142" s="55"/>
      <c r="CT142" s="55"/>
    </row>
    <row r="143" spans="30:98"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5"/>
      <c r="BY143" s="55"/>
      <c r="BZ143" s="55"/>
      <c r="CA143" s="55"/>
      <c r="CB143" s="55"/>
      <c r="CC143" s="55"/>
      <c r="CD143" s="55"/>
      <c r="CE143" s="55"/>
      <c r="CF143" s="55"/>
      <c r="CG143" s="55"/>
      <c r="CH143" s="55"/>
      <c r="CI143" s="55"/>
      <c r="CJ143" s="55"/>
      <c r="CK143" s="55"/>
      <c r="CL143" s="55"/>
      <c r="CM143" s="55"/>
      <c r="CN143" s="55"/>
      <c r="CO143" s="55"/>
      <c r="CP143" s="55"/>
      <c r="CQ143" s="55"/>
      <c r="CR143" s="55"/>
      <c r="CS143" s="55"/>
      <c r="CT143" s="55"/>
    </row>
    <row r="144" spans="30:98"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55"/>
      <c r="CJ144" s="55"/>
      <c r="CK144" s="55"/>
      <c r="CL144" s="55"/>
      <c r="CM144" s="55"/>
      <c r="CN144" s="55"/>
      <c r="CO144" s="55"/>
      <c r="CP144" s="55"/>
      <c r="CQ144" s="55"/>
      <c r="CR144" s="55"/>
      <c r="CS144" s="55"/>
      <c r="CT144" s="55"/>
    </row>
    <row r="145" spans="30:98"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</row>
    <row r="146" spans="30:98"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5"/>
      <c r="BY146" s="55"/>
      <c r="BZ146" s="55"/>
      <c r="CA146" s="55"/>
      <c r="CB146" s="55"/>
      <c r="CC146" s="55"/>
      <c r="CD146" s="55"/>
      <c r="CE146" s="55"/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  <c r="CP146" s="55"/>
      <c r="CQ146" s="55"/>
      <c r="CR146" s="55"/>
      <c r="CS146" s="55"/>
      <c r="CT146" s="55"/>
    </row>
    <row r="147" spans="30:98"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5"/>
      <c r="BY147" s="55"/>
      <c r="BZ147" s="55"/>
      <c r="CA147" s="55"/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</row>
    <row r="148" spans="30:98"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</row>
    <row r="149" spans="30:98"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  <c r="CR149" s="55"/>
      <c r="CS149" s="55"/>
      <c r="CT149" s="55"/>
    </row>
    <row r="150" spans="30:98"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</row>
    <row r="151" spans="30:98"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</row>
    <row r="152" spans="30:98"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</row>
    <row r="153" spans="30:98"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</row>
    <row r="154" spans="30:98"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</row>
    <row r="155" customFormat="1" spans="1:107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</row>
    <row r="156" customFormat="1" spans="1:107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</row>
    <row r="157" customFormat="1" spans="1:10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</row>
    <row r="158" customFormat="1" spans="1:107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</row>
    <row r="159" customFormat="1" spans="1:107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</row>
    <row r="160" customFormat="1" spans="1:107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</row>
    <row r="161" customFormat="1" spans="1:107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</row>
    <row r="162" customFormat="1" spans="1:107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</row>
    <row r="163" customFormat="1" spans="1:107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</row>
    <row r="164" customFormat="1" spans="1:107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</row>
    <row r="165" customFormat="1" spans="1:107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</row>
    <row r="166" customFormat="1" spans="1:107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</row>
    <row r="167" customFormat="1" spans="1:10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</row>
    <row r="168" customFormat="1" spans="1:107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</row>
    <row r="169" customFormat="1" spans="1:107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</row>
    <row r="170" customFormat="1" spans="1:107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</row>
    <row r="171" customFormat="1" spans="1:107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</row>
    <row r="172" customFormat="1" spans="1:107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</row>
    <row r="173" customFormat="1" spans="1:107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</row>
    <row r="174" customFormat="1" spans="1:107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</row>
    <row r="175" customFormat="1" spans="1:107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</row>
    <row r="176" customFormat="1" spans="1:107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</row>
    <row r="177" customFormat="1" spans="1:10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</row>
    <row r="178" customFormat="1" spans="1:107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</row>
    <row r="179" customFormat="1" spans="1:107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</row>
    <row r="180" customFormat="1" spans="1:107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</row>
    <row r="181" customFormat="1" spans="1:107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</row>
    <row r="182" customFormat="1" spans="1:107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</row>
    <row r="183" customFormat="1" spans="1:107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</row>
    <row r="184" customFormat="1" spans="1:107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</row>
    <row r="185" customFormat="1" spans="1:107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</row>
    <row r="186" customFormat="1" spans="1:107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</row>
    <row r="187" customFormat="1" spans="1:10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</row>
    <row r="188" customFormat="1" spans="1:107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</row>
    <row r="189" customFormat="1" spans="1:107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</row>
    <row r="190" customFormat="1" spans="1:107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</row>
    <row r="191" customFormat="1" spans="1:107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</row>
    <row r="192" customFormat="1" spans="1:107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</row>
    <row r="193" customFormat="1" spans="1:107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</row>
    <row r="194" customFormat="1" spans="1:107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</row>
    <row r="195" customFormat="1" spans="1:107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</row>
    <row r="196" customFormat="1" spans="1:107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</row>
    <row r="197" customFormat="1" spans="1:10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</row>
    <row r="198" customFormat="1" spans="1:107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</row>
    <row r="199" customFormat="1" spans="1:107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</row>
    <row r="200" customFormat="1" spans="1:107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</row>
    <row r="201" customFormat="1" spans="1:107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2"/>
  <sheetViews>
    <sheetView zoomScale="136" zoomScaleNormal="136" workbookViewId="0">
      <selection activeCell="A1" sqref="A1"/>
    </sheetView>
  </sheetViews>
  <sheetFormatPr defaultColWidth="8.83035714285714" defaultRowHeight="15.2"/>
  <cols>
    <col min="1" max="1" width="30.5" customWidth="1"/>
    <col min="2" max="8" width="14.1607142857143" customWidth="1"/>
    <col min="9" max="12" width="15.6607142857143" customWidth="1"/>
    <col min="13" max="13" width="11.1607142857143" customWidth="1"/>
  </cols>
  <sheetData>
    <row r="1" ht="16.8" spans="1:1">
      <c r="A1" s="8" t="s">
        <v>419</v>
      </c>
    </row>
    <row r="2" spans="1:7">
      <c r="A2" s="9" t="s">
        <v>420</v>
      </c>
      <c r="B2" s="9" t="s">
        <v>421</v>
      </c>
      <c r="D2" s="9" t="s">
        <v>422</v>
      </c>
      <c r="G2" s="9" t="s">
        <v>423</v>
      </c>
    </row>
    <row r="3" spans="1:8">
      <c r="A3" s="9" t="s">
        <v>424</v>
      </c>
      <c r="B3" s="9" t="s">
        <v>79</v>
      </c>
      <c r="D3" s="9" t="s">
        <v>425</v>
      </c>
      <c r="F3" s="9"/>
      <c r="G3" s="9" t="s">
        <v>426</v>
      </c>
      <c r="H3" s="9"/>
    </row>
    <row r="4" spans="1:8">
      <c r="A4" s="9" t="s">
        <v>427</v>
      </c>
      <c r="B4" s="9" t="s">
        <v>428</v>
      </c>
      <c r="D4" s="9" t="s">
        <v>429</v>
      </c>
      <c r="F4" s="9"/>
      <c r="G4" s="9" t="s">
        <v>430</v>
      </c>
      <c r="H4" s="9"/>
    </row>
    <row r="5" spans="1:8">
      <c r="A5" s="9" t="s">
        <v>431</v>
      </c>
      <c r="B5" s="9" t="s">
        <v>432</v>
      </c>
      <c r="D5" s="9" t="s">
        <v>433</v>
      </c>
      <c r="F5" s="9"/>
      <c r="G5" s="9" t="s">
        <v>434</v>
      </c>
      <c r="H5" s="9"/>
    </row>
    <row r="6" spans="1:8">
      <c r="A6" s="9" t="s">
        <v>435</v>
      </c>
      <c r="B6" s="9" t="s">
        <v>436</v>
      </c>
      <c r="D6" s="9" t="s">
        <v>437</v>
      </c>
      <c r="F6" s="9"/>
      <c r="G6" s="9" t="s">
        <v>438</v>
      </c>
      <c r="H6" s="9"/>
    </row>
    <row r="7" spans="1:8">
      <c r="A7" s="9" t="s">
        <v>439</v>
      </c>
      <c r="B7" s="9" t="s">
        <v>440</v>
      </c>
      <c r="D7" s="9" t="s">
        <v>441</v>
      </c>
      <c r="F7" s="9"/>
      <c r="G7" s="9" t="s">
        <v>442</v>
      </c>
      <c r="H7" s="9"/>
    </row>
    <row r="8" spans="1:8">
      <c r="A8" s="9" t="s">
        <v>443</v>
      </c>
      <c r="B8" s="9" t="s">
        <v>444</v>
      </c>
      <c r="D8" s="9" t="s">
        <v>445</v>
      </c>
      <c r="F8" s="9"/>
      <c r="G8" s="9"/>
      <c r="H8" s="9"/>
    </row>
    <row r="9" spans="8:8">
      <c r="H9" s="9"/>
    </row>
    <row r="10" spans="1:8">
      <c r="A10" s="10" t="s">
        <v>10</v>
      </c>
      <c r="B10" s="11" t="s">
        <v>446</v>
      </c>
      <c r="C10" s="11"/>
      <c r="D10" s="11" t="s">
        <v>447</v>
      </c>
      <c r="E10" s="15"/>
      <c r="F10" s="15">
        <v>7374</v>
      </c>
      <c r="H10" s="9"/>
    </row>
    <row r="11" spans="1:8">
      <c r="A11" s="10" t="s">
        <v>448</v>
      </c>
      <c r="B11" s="11">
        <v>2255000</v>
      </c>
      <c r="C11" s="11"/>
      <c r="D11" s="11"/>
      <c r="E11" s="11"/>
      <c r="F11" s="11"/>
      <c r="H11" s="9"/>
    </row>
    <row r="12" spans="1:8">
      <c r="A12" s="12" t="s">
        <v>16</v>
      </c>
      <c r="B12" s="13">
        <v>33418</v>
      </c>
      <c r="C12" s="13">
        <v>33784</v>
      </c>
      <c r="D12" s="13">
        <v>34149</v>
      </c>
      <c r="E12" s="13">
        <v>34514</v>
      </c>
      <c r="F12" s="13">
        <v>34879</v>
      </c>
      <c r="H12" s="9"/>
    </row>
    <row r="13" spans="1:8">
      <c r="A13" s="14" t="s">
        <v>18</v>
      </c>
      <c r="B13" s="11">
        <v>394290</v>
      </c>
      <c r="C13" s="11">
        <v>1094000</v>
      </c>
      <c r="D13" s="11">
        <v>2197000</v>
      </c>
      <c r="E13" s="11">
        <v>3091000</v>
      </c>
      <c r="F13" s="11">
        <v>4777000</v>
      </c>
      <c r="H13" s="9"/>
    </row>
    <row r="14" spans="1:8">
      <c r="A14" s="14" t="s">
        <v>19</v>
      </c>
      <c r="B14" s="11">
        <v>-229724</v>
      </c>
      <c r="C14" s="11">
        <v>-654000</v>
      </c>
      <c r="D14" s="11">
        <v>-1770000</v>
      </c>
      <c r="E14" s="11">
        <v>-2434000</v>
      </c>
      <c r="F14" s="11">
        <v>-3465000</v>
      </c>
      <c r="H14" s="9"/>
    </row>
    <row r="15" spans="1:8">
      <c r="A15" s="14" t="s">
        <v>21</v>
      </c>
      <c r="B15" s="11">
        <v>-64598</v>
      </c>
      <c r="C15" s="11">
        <v>-75000</v>
      </c>
      <c r="D15" s="11">
        <v>-204000</v>
      </c>
      <c r="E15" s="11">
        <v>-333000</v>
      </c>
      <c r="F15" s="11">
        <v>-286000</v>
      </c>
      <c r="H15" s="9"/>
    </row>
    <row r="16" spans="1:8">
      <c r="A16" s="14" t="s">
        <v>22</v>
      </c>
      <c r="B16" s="11">
        <v>-119764</v>
      </c>
      <c r="C16" s="11">
        <v>-293000</v>
      </c>
      <c r="D16" s="11">
        <v>-605000</v>
      </c>
      <c r="E16" s="11">
        <v>-328000</v>
      </c>
      <c r="F16" s="11">
        <v>-408000</v>
      </c>
      <c r="H16" s="9"/>
    </row>
    <row r="17" spans="1:8">
      <c r="A17" s="14" t="s">
        <v>24</v>
      </c>
      <c r="B17" s="11">
        <v>-1653</v>
      </c>
      <c r="C17" s="11">
        <v>-7000</v>
      </c>
      <c r="D17" s="11">
        <v>-6000</v>
      </c>
      <c r="E17" s="11">
        <v>-24000</v>
      </c>
      <c r="F17" s="11">
        <v>-65000</v>
      </c>
      <c r="H17" s="9"/>
    </row>
    <row r="18" spans="1:8">
      <c r="A18" s="14" t="s">
        <v>82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H18" s="9"/>
    </row>
    <row r="19" spans="1:8">
      <c r="A19" s="14" t="s">
        <v>27</v>
      </c>
      <c r="B19" s="11">
        <v>867</v>
      </c>
      <c r="C19" s="11">
        <v>-3000</v>
      </c>
      <c r="D19" s="11">
        <v>-87000</v>
      </c>
      <c r="E19" s="11">
        <v>-62000</v>
      </c>
      <c r="F19" s="11">
        <v>543000</v>
      </c>
      <c r="H19" s="9"/>
    </row>
    <row r="20" spans="1:8">
      <c r="A20" s="14" t="s">
        <v>29</v>
      </c>
      <c r="B20" s="11">
        <v>-15169</v>
      </c>
      <c r="C20" s="11">
        <v>-32000</v>
      </c>
      <c r="D20" s="11">
        <v>-10000</v>
      </c>
      <c r="E20" s="11">
        <v>16000</v>
      </c>
      <c r="F20" s="11">
        <v>-334000</v>
      </c>
      <c r="H20" s="9"/>
    </row>
    <row r="21" spans="1:8">
      <c r="A21" s="14" t="s">
        <v>33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H21" s="9"/>
    </row>
    <row r="22" spans="1:8">
      <c r="A22" s="14" t="s">
        <v>30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H22" s="9"/>
    </row>
    <row r="23" spans="1:8">
      <c r="A23" s="14" t="s">
        <v>32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H23" s="9"/>
    </row>
    <row r="24" spans="1:8">
      <c r="A24" s="14" t="s">
        <v>34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H24" s="9"/>
    </row>
    <row r="25" spans="1:8">
      <c r="A25" s="14" t="s">
        <v>38</v>
      </c>
      <c r="B25" s="11">
        <v>64549</v>
      </c>
      <c r="C25" s="11">
        <v>129133</v>
      </c>
      <c r="D25" s="11">
        <v>124000</v>
      </c>
      <c r="E25" s="11">
        <v>823000</v>
      </c>
      <c r="F25" s="11">
        <v>1424000</v>
      </c>
      <c r="H25" s="9"/>
    </row>
    <row r="26" spans="1:6">
      <c r="A26" s="14" t="s">
        <v>39</v>
      </c>
      <c r="B26" s="11">
        <v>32176</v>
      </c>
      <c r="C26" s="11">
        <v>42939</v>
      </c>
      <c r="D26" s="11">
        <v>65000</v>
      </c>
      <c r="E26" s="11">
        <v>192000</v>
      </c>
      <c r="F26" s="11">
        <v>323000</v>
      </c>
    </row>
    <row r="27" spans="1:6">
      <c r="A27" s="14" t="s">
        <v>40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</row>
    <row r="28" spans="1:6">
      <c r="A28" s="14" t="s">
        <v>41</v>
      </c>
      <c r="B28" s="11">
        <v>36908</v>
      </c>
      <c r="C28" s="11">
        <v>98506</v>
      </c>
      <c r="D28" s="11">
        <v>134000</v>
      </c>
      <c r="E28" s="11">
        <v>248000</v>
      </c>
      <c r="F28" s="11">
        <v>232000</v>
      </c>
    </row>
    <row r="29" spans="1:6">
      <c r="A29" s="14" t="s">
        <v>43</v>
      </c>
      <c r="B29" s="11">
        <v>70919</v>
      </c>
      <c r="C29" s="11">
        <v>101277</v>
      </c>
      <c r="D29" s="11">
        <v>233000</v>
      </c>
      <c r="E29" s="11">
        <v>503000</v>
      </c>
      <c r="F29" s="11">
        <v>657000</v>
      </c>
    </row>
    <row r="30" spans="1:6">
      <c r="A30" s="14" t="s">
        <v>44</v>
      </c>
      <c r="B30" s="11">
        <v>0</v>
      </c>
      <c r="C30" s="11">
        <v>0</v>
      </c>
      <c r="D30" s="11">
        <v>81000</v>
      </c>
      <c r="E30" s="11">
        <v>531000</v>
      </c>
      <c r="F30" s="11">
        <v>2151000</v>
      </c>
    </row>
    <row r="31" spans="1:6">
      <c r="A31" s="14" t="s">
        <v>45</v>
      </c>
      <c r="B31" s="11">
        <v>59935</v>
      </c>
      <c r="C31" s="11">
        <v>56638</v>
      </c>
      <c r="D31" s="11">
        <v>59000</v>
      </c>
      <c r="E31" s="11">
        <v>472000</v>
      </c>
      <c r="F31" s="11">
        <v>454000</v>
      </c>
    </row>
    <row r="32" spans="1:13">
      <c r="A32" s="14" t="s">
        <v>46</v>
      </c>
      <c r="B32" s="11">
        <v>140926</v>
      </c>
      <c r="C32" s="11">
        <v>530261</v>
      </c>
      <c r="D32" s="11">
        <v>137000</v>
      </c>
      <c r="E32" s="11">
        <v>105000</v>
      </c>
      <c r="F32" s="11">
        <v>107000</v>
      </c>
      <c r="M32" s="7"/>
    </row>
    <row r="33" spans="1:6">
      <c r="A33" s="14" t="s">
        <v>48</v>
      </c>
      <c r="B33" s="11">
        <v>2329</v>
      </c>
      <c r="C33" s="11">
        <v>2435</v>
      </c>
      <c r="D33" s="11">
        <v>0</v>
      </c>
      <c r="E33" s="11">
        <v>0</v>
      </c>
      <c r="F33" s="11">
        <v>0</v>
      </c>
    </row>
    <row r="34" spans="1:6">
      <c r="A34" s="14" t="s">
        <v>49</v>
      </c>
      <c r="B34" s="11">
        <v>84640</v>
      </c>
      <c r="C34" s="11">
        <v>105904</v>
      </c>
      <c r="D34" s="11">
        <v>68000</v>
      </c>
      <c r="E34" s="11">
        <v>120000</v>
      </c>
      <c r="F34" s="11">
        <v>74000</v>
      </c>
    </row>
    <row r="35" spans="1:6">
      <c r="A35" s="14" t="s">
        <v>50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</row>
    <row r="36" spans="1:6">
      <c r="A36" s="14" t="s">
        <v>51</v>
      </c>
      <c r="B36" s="11">
        <v>46393</v>
      </c>
      <c r="C36" s="11">
        <v>181567</v>
      </c>
      <c r="D36" s="11">
        <v>485000</v>
      </c>
      <c r="E36" s="11">
        <v>1035000</v>
      </c>
      <c r="F36" s="11">
        <v>1651000</v>
      </c>
    </row>
    <row r="37" spans="1:6">
      <c r="A37" s="14" t="s">
        <v>53</v>
      </c>
      <c r="B37" s="11">
        <v>17369</v>
      </c>
      <c r="C37" s="11">
        <v>19306</v>
      </c>
      <c r="D37" s="11">
        <v>50000</v>
      </c>
      <c r="E37" s="11">
        <v>372000</v>
      </c>
      <c r="F37" s="11">
        <v>348000</v>
      </c>
    </row>
    <row r="38" spans="1:6">
      <c r="A38" s="14" t="s">
        <v>54</v>
      </c>
      <c r="B38" s="11">
        <v>2243</v>
      </c>
      <c r="C38" s="11">
        <v>1168</v>
      </c>
      <c r="D38" s="11">
        <v>4000</v>
      </c>
      <c r="E38" s="11">
        <v>7000</v>
      </c>
      <c r="F38" s="11">
        <v>15000</v>
      </c>
    </row>
    <row r="39" spans="1:6">
      <c r="A39" s="14" t="s">
        <v>55</v>
      </c>
      <c r="B39" s="11">
        <v>35627</v>
      </c>
      <c r="C39" s="11">
        <v>135872</v>
      </c>
      <c r="D39" s="11">
        <v>86000</v>
      </c>
      <c r="E39" s="11">
        <v>344000</v>
      </c>
      <c r="F39" s="11">
        <v>227000</v>
      </c>
    </row>
    <row r="40" spans="1:6">
      <c r="A40" s="14" t="s">
        <v>57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</row>
    <row r="41" spans="1:6">
      <c r="A41" s="14" t="s">
        <v>58</v>
      </c>
      <c r="B41" s="11">
        <v>0</v>
      </c>
      <c r="C41" s="11">
        <v>1</v>
      </c>
      <c r="D41" s="11">
        <v>0</v>
      </c>
      <c r="E41" s="11">
        <v>0</v>
      </c>
      <c r="F41" s="11">
        <v>0</v>
      </c>
    </row>
    <row r="42" spans="1:6">
      <c r="A42" s="14" t="s">
        <v>59</v>
      </c>
      <c r="B42" s="11">
        <v>253435</v>
      </c>
      <c r="C42" s="11">
        <v>520268</v>
      </c>
      <c r="D42" s="11">
        <v>647000</v>
      </c>
      <c r="E42" s="11">
        <v>1586000</v>
      </c>
      <c r="F42" s="11">
        <v>2882000</v>
      </c>
    </row>
    <row r="43" spans="1:13">
      <c r="A43" s="14" t="s">
        <v>60</v>
      </c>
      <c r="B43" s="11">
        <v>-36623</v>
      </c>
      <c r="C43" s="11">
        <v>-7767</v>
      </c>
      <c r="D43" s="11">
        <v>-507000</v>
      </c>
      <c r="E43" s="11">
        <v>-590000</v>
      </c>
      <c r="F43" s="11">
        <v>151000</v>
      </c>
      <c r="M43" s="7"/>
    </row>
    <row r="44" spans="1:6">
      <c r="A44" s="237" t="s">
        <v>83</v>
      </c>
      <c r="B44" s="11"/>
      <c r="C44" s="11">
        <v>0</v>
      </c>
      <c r="D44" s="11">
        <v>0</v>
      </c>
      <c r="E44" s="11">
        <v>0</v>
      </c>
      <c r="F44" s="11">
        <v>0</v>
      </c>
    </row>
    <row r="48" spans="1:7">
      <c r="A48" s="10" t="s">
        <v>10</v>
      </c>
      <c r="B48" s="11" t="s">
        <v>449</v>
      </c>
      <c r="C48" s="11"/>
      <c r="D48" s="11" t="s">
        <v>450</v>
      </c>
      <c r="E48" s="15"/>
      <c r="F48" s="15">
        <v>5961</v>
      </c>
      <c r="G48" s="9" t="s">
        <v>451</v>
      </c>
    </row>
    <row r="49" spans="1:6">
      <c r="A49" s="10" t="s">
        <v>448</v>
      </c>
      <c r="B49" s="11">
        <v>357140</v>
      </c>
      <c r="C49" s="11"/>
      <c r="D49" s="11"/>
      <c r="E49" s="11"/>
      <c r="F49" s="11"/>
    </row>
    <row r="50" spans="1:6">
      <c r="A50" s="12" t="s">
        <v>16</v>
      </c>
      <c r="B50" s="13">
        <v>33968</v>
      </c>
      <c r="C50" s="13">
        <v>34333</v>
      </c>
      <c r="D50" s="13">
        <v>34698</v>
      </c>
      <c r="E50" s="13">
        <v>35063</v>
      </c>
      <c r="F50" s="13">
        <v>35429</v>
      </c>
    </row>
    <row r="51" spans="1:6">
      <c r="A51" s="14" t="s">
        <v>18</v>
      </c>
      <c r="B51" s="11">
        <v>15746</v>
      </c>
      <c r="C51" s="11">
        <v>147787</v>
      </c>
      <c r="D51" s="11">
        <v>609819</v>
      </c>
      <c r="E51" s="11">
        <v>1639839</v>
      </c>
      <c r="F51" s="11">
        <v>2761983</v>
      </c>
    </row>
    <row r="52" spans="1:6">
      <c r="A52" s="14" t="s">
        <v>19</v>
      </c>
      <c r="B52" s="11">
        <v>-12287</v>
      </c>
      <c r="C52" s="11">
        <v>-118969</v>
      </c>
      <c r="D52" s="11">
        <v>-476155</v>
      </c>
      <c r="E52" s="11">
        <v>-1349194</v>
      </c>
      <c r="F52" s="11">
        <v>-2106206</v>
      </c>
    </row>
    <row r="53" spans="1:6">
      <c r="A53" s="14" t="s">
        <v>21</v>
      </c>
      <c r="B53" s="11">
        <v>-2401</v>
      </c>
      <c r="C53" s="11">
        <v>0</v>
      </c>
      <c r="D53" s="11">
        <v>0</v>
      </c>
      <c r="E53" s="11">
        <v>0</v>
      </c>
      <c r="F53" s="11">
        <v>0</v>
      </c>
    </row>
    <row r="54" spans="1:6">
      <c r="A54" s="14" t="s">
        <v>22</v>
      </c>
      <c r="B54" s="11">
        <v>-7501</v>
      </c>
      <c r="C54" s="11">
        <v>-60202</v>
      </c>
      <c r="D54" s="11">
        <v>-194696</v>
      </c>
      <c r="E54" s="11">
        <v>-643016</v>
      </c>
      <c r="F54" s="11">
        <v>-972777</v>
      </c>
    </row>
    <row r="55" spans="1:6">
      <c r="A55" s="14" t="s">
        <v>24</v>
      </c>
      <c r="B55" s="11">
        <v>0</v>
      </c>
      <c r="C55" s="11">
        <v>0</v>
      </c>
      <c r="D55" s="11">
        <v>-42599</v>
      </c>
      <c r="E55" s="11">
        <v>-214694</v>
      </c>
      <c r="F55" s="11">
        <v>-321772</v>
      </c>
    </row>
    <row r="56" spans="1:6">
      <c r="A56" s="14" t="s">
        <v>82</v>
      </c>
      <c r="B56" s="11">
        <v>-5</v>
      </c>
      <c r="C56" s="11">
        <v>-326</v>
      </c>
      <c r="D56" s="11">
        <v>-26639</v>
      </c>
      <c r="E56" s="11">
        <v>-84566</v>
      </c>
      <c r="F56" s="11">
        <v>-130921</v>
      </c>
    </row>
    <row r="57" spans="1:6">
      <c r="A57" s="14" t="s">
        <v>27</v>
      </c>
      <c r="B57" s="11">
        <v>202</v>
      </c>
      <c r="C57" s="11">
        <v>690</v>
      </c>
      <c r="D57" s="11">
        <v>8629</v>
      </c>
      <c r="E57" s="11">
        <v>8432</v>
      </c>
      <c r="F57" s="11">
        <v>-336984</v>
      </c>
    </row>
    <row r="58" spans="1:6">
      <c r="A58" s="14" t="s">
        <v>29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</row>
    <row r="59" spans="1:6">
      <c r="A59" s="14" t="s">
        <v>33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</row>
    <row r="60" spans="1:6">
      <c r="A60" s="14" t="s">
        <v>30</v>
      </c>
      <c r="B60" s="11">
        <v>0</v>
      </c>
      <c r="C60" s="11">
        <v>0</v>
      </c>
      <c r="D60" s="11">
        <v>-2905</v>
      </c>
      <c r="E60" s="11">
        <v>-76769</v>
      </c>
      <c r="F60" s="11">
        <v>-304596</v>
      </c>
    </row>
    <row r="61" spans="1:6">
      <c r="A61" s="14" t="s">
        <v>32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</row>
    <row r="62" spans="1:6">
      <c r="A62" s="14" t="s">
        <v>34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</row>
    <row r="63" spans="1:6">
      <c r="A63" s="14" t="s">
        <v>38</v>
      </c>
      <c r="B63" s="11">
        <v>6248</v>
      </c>
      <c r="C63" s="11">
        <v>125375</v>
      </c>
      <c r="D63" s="11">
        <v>373445</v>
      </c>
      <c r="E63" s="11">
        <v>706188</v>
      </c>
      <c r="F63" s="11">
        <v>1100522</v>
      </c>
    </row>
    <row r="64" spans="1:6">
      <c r="A64" s="14" t="s">
        <v>39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</row>
    <row r="65" spans="1:6">
      <c r="A65" s="14" t="s">
        <v>40</v>
      </c>
      <c r="B65" s="11">
        <v>571</v>
      </c>
      <c r="C65" s="11">
        <v>8971</v>
      </c>
      <c r="D65" s="11">
        <v>29501</v>
      </c>
      <c r="E65" s="11">
        <v>220646</v>
      </c>
      <c r="F65" s="11">
        <v>174563</v>
      </c>
    </row>
    <row r="66" spans="1:6">
      <c r="A66" s="14" t="s">
        <v>41</v>
      </c>
      <c r="B66" s="11">
        <v>321</v>
      </c>
      <c r="C66" s="11">
        <v>3363</v>
      </c>
      <c r="D66" s="11">
        <v>21308</v>
      </c>
      <c r="E66" s="11">
        <v>79643</v>
      </c>
      <c r="F66" s="11">
        <v>86044</v>
      </c>
    </row>
    <row r="67" spans="1:6">
      <c r="A67" s="14" t="s">
        <v>43</v>
      </c>
      <c r="B67" s="11">
        <v>985</v>
      </c>
      <c r="C67" s="11">
        <v>9726</v>
      </c>
      <c r="D67" s="11">
        <v>29791</v>
      </c>
      <c r="E67" s="11">
        <v>317613</v>
      </c>
      <c r="F67" s="11">
        <v>366416</v>
      </c>
    </row>
    <row r="68" spans="1:6">
      <c r="A68" s="14" t="s">
        <v>44</v>
      </c>
      <c r="B68" s="11">
        <v>0</v>
      </c>
      <c r="C68" s="11">
        <v>0</v>
      </c>
      <c r="D68" s="11">
        <v>7740</v>
      </c>
      <c r="E68" s="11">
        <v>371462</v>
      </c>
      <c r="F68" s="11">
        <v>92250</v>
      </c>
    </row>
    <row r="69" spans="1:6">
      <c r="A69" s="14" t="s">
        <v>45</v>
      </c>
      <c r="B69" s="11">
        <v>0</v>
      </c>
      <c r="C69" s="11">
        <v>0</v>
      </c>
      <c r="D69" s="11">
        <v>178638</v>
      </c>
      <c r="E69" s="11">
        <v>730144</v>
      </c>
      <c r="F69" s="11">
        <v>255325</v>
      </c>
    </row>
    <row r="70" spans="1:6">
      <c r="A70" s="14" t="s">
        <v>46</v>
      </c>
      <c r="B70" s="11">
        <v>146</v>
      </c>
      <c r="C70" s="11">
        <v>2409</v>
      </c>
      <c r="D70" s="11">
        <v>8037</v>
      </c>
      <c r="E70" s="11">
        <v>40154</v>
      </c>
      <c r="F70" s="11">
        <v>60049</v>
      </c>
    </row>
    <row r="71" spans="1:6">
      <c r="A71" s="14" t="s">
        <v>48</v>
      </c>
      <c r="B71" s="11">
        <v>0</v>
      </c>
      <c r="C71" s="11">
        <v>1500</v>
      </c>
      <c r="D71" s="11">
        <v>808</v>
      </c>
      <c r="E71" s="11">
        <v>14322</v>
      </c>
      <c r="F71" s="11">
        <v>16577</v>
      </c>
    </row>
    <row r="72" spans="1:6">
      <c r="A72" s="14" t="s">
        <v>49</v>
      </c>
      <c r="B72" s="11">
        <v>2852</v>
      </c>
      <c r="C72" s="11">
        <v>33027</v>
      </c>
      <c r="D72" s="11">
        <v>113273</v>
      </c>
      <c r="E72" s="11">
        <v>463026</v>
      </c>
      <c r="F72" s="11">
        <v>485383</v>
      </c>
    </row>
    <row r="73" spans="1:6">
      <c r="A73" s="14" t="s">
        <v>50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</row>
    <row r="74" spans="1:6">
      <c r="A74" s="14" t="s">
        <v>51</v>
      </c>
      <c r="B74" s="11">
        <v>2018</v>
      </c>
      <c r="C74" s="11">
        <v>10024</v>
      </c>
      <c r="D74" s="11">
        <v>47494</v>
      </c>
      <c r="E74" s="11">
        <v>255886</v>
      </c>
      <c r="F74" s="11">
        <v>472996</v>
      </c>
    </row>
    <row r="75" spans="1:6">
      <c r="A75" s="14" t="s">
        <v>53</v>
      </c>
      <c r="B75" s="11">
        <v>0</v>
      </c>
      <c r="C75" s="11">
        <v>76521</v>
      </c>
      <c r="D75" s="11">
        <v>348140</v>
      </c>
      <c r="E75" s="11">
        <v>1466338</v>
      </c>
      <c r="F75" s="11">
        <v>2127464</v>
      </c>
    </row>
    <row r="76" spans="1:6">
      <c r="A76" s="14" t="s">
        <v>54</v>
      </c>
      <c r="B76" s="11">
        <v>0</v>
      </c>
      <c r="C76" s="11">
        <v>181</v>
      </c>
      <c r="D76" s="11">
        <v>0</v>
      </c>
      <c r="E76" s="11">
        <v>0</v>
      </c>
      <c r="F76" s="11">
        <v>0</v>
      </c>
    </row>
    <row r="77" spans="1:6">
      <c r="A77" s="14" t="s">
        <v>55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</row>
    <row r="78" spans="1:6">
      <c r="A78" s="14" t="s">
        <v>57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</row>
    <row r="79" spans="1:6">
      <c r="A79" s="14" t="s">
        <v>58</v>
      </c>
      <c r="B79" s="11">
        <v>6</v>
      </c>
      <c r="C79" s="11">
        <v>0</v>
      </c>
      <c r="D79" s="11">
        <v>0</v>
      </c>
      <c r="E79" s="11">
        <v>0</v>
      </c>
      <c r="F79" s="11">
        <v>0</v>
      </c>
    </row>
    <row r="80" spans="1:6">
      <c r="A80" s="14" t="s">
        <v>59</v>
      </c>
      <c r="B80" s="11">
        <v>9420</v>
      </c>
      <c r="C80" s="11">
        <v>66105</v>
      </c>
      <c r="D80" s="11">
        <v>300805</v>
      </c>
      <c r="E80" s="11">
        <v>1148306</v>
      </c>
      <c r="F80" s="11">
        <v>1326050</v>
      </c>
    </row>
    <row r="81" spans="1:6">
      <c r="A81" s="14" t="s">
        <v>60</v>
      </c>
      <c r="B81" s="11">
        <v>-6025</v>
      </c>
      <c r="C81" s="11">
        <v>-37514</v>
      </c>
      <c r="D81" s="11">
        <v>-162060</v>
      </c>
      <c r="E81" s="11">
        <v>-882028</v>
      </c>
      <c r="F81" s="11">
        <v>-2293301</v>
      </c>
    </row>
    <row r="82" spans="1:6">
      <c r="A82" s="237" t="s">
        <v>83</v>
      </c>
      <c r="B82" s="11"/>
      <c r="C82" s="11">
        <v>0</v>
      </c>
      <c r="D82" s="11">
        <v>0</v>
      </c>
      <c r="E82" s="11">
        <v>0</v>
      </c>
      <c r="F82" s="11">
        <v>0</v>
      </c>
    </row>
    <row r="86" spans="1:7">
      <c r="A86" s="10" t="s">
        <v>10</v>
      </c>
      <c r="B86" s="11" t="s">
        <v>428</v>
      </c>
      <c r="C86" s="11"/>
      <c r="D86" s="11" t="s">
        <v>452</v>
      </c>
      <c r="E86" s="15"/>
      <c r="F86" s="15">
        <v>2320</v>
      </c>
      <c r="G86" s="9" t="s">
        <v>451</v>
      </c>
    </row>
    <row r="87" spans="1:6">
      <c r="A87" s="10" t="s">
        <v>448</v>
      </c>
      <c r="B87" s="11">
        <v>1000</v>
      </c>
      <c r="C87" s="11"/>
      <c r="D87" s="11"/>
      <c r="E87" s="11"/>
      <c r="F87" s="11"/>
    </row>
    <row r="88" spans="1:6">
      <c r="A88" s="12" t="s">
        <v>16</v>
      </c>
      <c r="B88" s="13">
        <v>33968</v>
      </c>
      <c r="C88" s="13">
        <v>34333</v>
      </c>
      <c r="D88" s="13">
        <v>34698</v>
      </c>
      <c r="E88" s="13">
        <v>35063</v>
      </c>
      <c r="F88" s="13">
        <v>35429</v>
      </c>
    </row>
    <row r="89" spans="1:6">
      <c r="A89" s="14" t="s">
        <v>18</v>
      </c>
      <c r="B89" s="11">
        <v>20000</v>
      </c>
      <c r="C89" s="11">
        <v>20000</v>
      </c>
      <c r="D89" s="11">
        <v>20000</v>
      </c>
      <c r="E89" s="11">
        <v>20000</v>
      </c>
      <c r="F89" s="11">
        <v>20000</v>
      </c>
    </row>
    <row r="90" spans="1:6">
      <c r="A90" s="14" t="s">
        <v>19</v>
      </c>
      <c r="B90" s="11">
        <v>-12000</v>
      </c>
      <c r="C90" s="11">
        <v>-12000</v>
      </c>
      <c r="D90" s="11">
        <v>-12000</v>
      </c>
      <c r="E90" s="11">
        <v>-12000</v>
      </c>
      <c r="F90" s="11">
        <v>-12000</v>
      </c>
    </row>
    <row r="91" spans="1:6">
      <c r="A91" s="14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</row>
    <row r="92" spans="1:6">
      <c r="A92" s="14" t="s">
        <v>22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</row>
    <row r="93" spans="1:6">
      <c r="A93" s="14" t="s">
        <v>24</v>
      </c>
      <c r="B93" s="11">
        <v>-2000</v>
      </c>
      <c r="C93" s="11">
        <v>-2000</v>
      </c>
      <c r="D93" s="11">
        <v>-2000</v>
      </c>
      <c r="E93" s="11">
        <v>-2000</v>
      </c>
      <c r="F93" s="11">
        <v>-2000</v>
      </c>
    </row>
    <row r="94" spans="1:6">
      <c r="A94" s="14" t="s">
        <v>82</v>
      </c>
      <c r="B94" s="11">
        <v>-1000</v>
      </c>
      <c r="C94" s="11">
        <v>-1000</v>
      </c>
      <c r="D94" s="11">
        <v>-1000</v>
      </c>
      <c r="E94" s="11">
        <v>-1000</v>
      </c>
      <c r="F94" s="11">
        <v>-1000</v>
      </c>
    </row>
    <row r="95" spans="1:6">
      <c r="A95" s="14" t="s">
        <v>27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</row>
    <row r="96" spans="1:6">
      <c r="A96" s="14" t="s">
        <v>29</v>
      </c>
      <c r="B96" s="11">
        <v>-2000</v>
      </c>
      <c r="C96" s="11">
        <v>-2000</v>
      </c>
      <c r="D96" s="11">
        <v>-2000</v>
      </c>
      <c r="E96" s="11">
        <v>-2000</v>
      </c>
      <c r="F96" s="11">
        <v>-2000</v>
      </c>
    </row>
    <row r="97" spans="1:6">
      <c r="A97" s="14" t="s">
        <v>33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</row>
    <row r="98" spans="1:6">
      <c r="A98" s="14" t="s">
        <v>30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</row>
    <row r="99" spans="1:6">
      <c r="A99" s="14" t="s">
        <v>32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</row>
    <row r="100" spans="1:6">
      <c r="A100" s="14" t="s">
        <v>34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</row>
    <row r="101" spans="1:6">
      <c r="A101" s="14" t="s">
        <v>38</v>
      </c>
      <c r="B101" s="11">
        <v>1000</v>
      </c>
      <c r="C101" s="11">
        <v>1000</v>
      </c>
      <c r="D101" s="11">
        <v>1000</v>
      </c>
      <c r="E101" s="11">
        <v>1000</v>
      </c>
      <c r="F101" s="11">
        <v>1000</v>
      </c>
    </row>
    <row r="102" spans="1:6">
      <c r="A102" s="14" t="s">
        <v>39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</row>
    <row r="103" spans="1:6">
      <c r="A103" s="14" t="s">
        <v>40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</row>
    <row r="104" spans="1:6">
      <c r="A104" s="14" t="s">
        <v>41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</row>
    <row r="105" spans="1:6">
      <c r="A105" s="14" t="s">
        <v>43</v>
      </c>
      <c r="B105" s="11">
        <v>20000</v>
      </c>
      <c r="C105" s="11">
        <v>20000</v>
      </c>
      <c r="D105" s="11">
        <v>20000</v>
      </c>
      <c r="E105" s="11">
        <v>20000</v>
      </c>
      <c r="F105" s="11">
        <v>20000</v>
      </c>
    </row>
    <row r="106" spans="1:6">
      <c r="A106" s="14" t="s">
        <v>44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</row>
    <row r="107" spans="1:6">
      <c r="A107" s="14" t="s">
        <v>45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</row>
    <row r="108" spans="1:6">
      <c r="A108" s="14" t="s">
        <v>46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</row>
    <row r="109" spans="1:6">
      <c r="A109" s="14" t="s">
        <v>48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</row>
    <row r="110" spans="1:6">
      <c r="A110" s="14" t="s">
        <v>49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</row>
    <row r="111" spans="1:6">
      <c r="A111" s="14" t="s">
        <v>50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</row>
    <row r="112" spans="1:6">
      <c r="A112" s="14" t="s">
        <v>51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</row>
    <row r="113" spans="1:6">
      <c r="A113" s="14" t="s">
        <v>53</v>
      </c>
      <c r="B113" s="11">
        <v>10000</v>
      </c>
      <c r="C113" s="11">
        <v>10000</v>
      </c>
      <c r="D113" s="11">
        <v>10000</v>
      </c>
      <c r="E113" s="11">
        <v>10000</v>
      </c>
      <c r="F113" s="11">
        <v>10000</v>
      </c>
    </row>
    <row r="114" spans="1:6">
      <c r="A114" s="14" t="s">
        <v>54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</row>
    <row r="115" spans="1:6">
      <c r="A115" s="14" t="s">
        <v>55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</row>
    <row r="116" spans="1:6">
      <c r="A116" s="14" t="s">
        <v>57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</row>
    <row r="117" spans="1:6">
      <c r="A117" s="14" t="s">
        <v>58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</row>
    <row r="118" spans="1:6">
      <c r="A118" s="14" t="s">
        <v>59</v>
      </c>
      <c r="B118" s="11">
        <v>10000</v>
      </c>
      <c r="C118" s="11">
        <v>10000</v>
      </c>
      <c r="D118" s="11">
        <v>10000</v>
      </c>
      <c r="E118" s="11">
        <v>10000</v>
      </c>
      <c r="F118" s="11">
        <v>10000</v>
      </c>
    </row>
    <row r="119" spans="1:6">
      <c r="A119" s="14" t="s">
        <v>60</v>
      </c>
      <c r="B119" s="11">
        <v>1000</v>
      </c>
      <c r="C119" s="11">
        <v>1000</v>
      </c>
      <c r="D119" s="11">
        <v>1000</v>
      </c>
      <c r="E119" s="11">
        <v>1000</v>
      </c>
      <c r="F119" s="11">
        <v>1000</v>
      </c>
    </row>
    <row r="120" spans="1:6">
      <c r="A120" s="237" t="s">
        <v>83</v>
      </c>
      <c r="B120" s="11"/>
      <c r="C120" s="11">
        <v>0</v>
      </c>
      <c r="D120" s="11">
        <v>0</v>
      </c>
      <c r="E120" s="11">
        <v>0</v>
      </c>
      <c r="F120" s="11">
        <v>0</v>
      </c>
    </row>
    <row r="124" spans="1:7">
      <c r="A124" s="10" t="s">
        <v>10</v>
      </c>
      <c r="B124" s="11" t="s">
        <v>453</v>
      </c>
      <c r="C124" s="11"/>
      <c r="D124" s="11" t="s">
        <v>454</v>
      </c>
      <c r="E124" s="15"/>
      <c r="F124" s="15">
        <v>3674</v>
      </c>
      <c r="G124" s="9" t="s">
        <v>451</v>
      </c>
    </row>
    <row r="125" spans="1:6">
      <c r="A125" s="10" t="s">
        <v>448</v>
      </c>
      <c r="B125" s="11">
        <v>6668000</v>
      </c>
      <c r="C125" s="11"/>
      <c r="D125" s="11"/>
      <c r="E125" s="11"/>
      <c r="F125" s="11"/>
    </row>
    <row r="126" spans="1:6">
      <c r="A126" s="12" t="s">
        <v>16</v>
      </c>
      <c r="B126" s="13">
        <v>33602</v>
      </c>
      <c r="C126" s="13">
        <v>33968</v>
      </c>
      <c r="D126" s="13">
        <v>34333</v>
      </c>
      <c r="E126" s="13">
        <v>34698</v>
      </c>
      <c r="F126" s="13">
        <v>35063</v>
      </c>
    </row>
    <row r="127" spans="1:6">
      <c r="A127" s="14" t="s">
        <v>18</v>
      </c>
      <c r="B127" s="11">
        <v>16202000</v>
      </c>
      <c r="C127" s="11">
        <v>20847000</v>
      </c>
      <c r="D127" s="11">
        <v>25070000</v>
      </c>
      <c r="E127" s="11">
        <v>26273000</v>
      </c>
      <c r="F127" s="11">
        <v>29389000</v>
      </c>
    </row>
    <row r="128" spans="1:6">
      <c r="A128" s="14" t="s">
        <v>19</v>
      </c>
      <c r="B128" s="11">
        <v>-7811000</v>
      </c>
      <c r="C128" s="11">
        <v>-9164000</v>
      </c>
      <c r="D128" s="11">
        <v>-9945000</v>
      </c>
      <c r="E128" s="11">
        <v>-12144000</v>
      </c>
      <c r="F128" s="11">
        <v>-11836000</v>
      </c>
    </row>
    <row r="129" spans="1:6">
      <c r="A129" s="14" t="s">
        <v>21</v>
      </c>
      <c r="B129" s="11">
        <v>-1296000</v>
      </c>
      <c r="C129" s="11">
        <v>-1808000</v>
      </c>
      <c r="D129" s="11">
        <v>-2347000</v>
      </c>
      <c r="E129" s="11">
        <v>-2674000</v>
      </c>
      <c r="F129" s="11">
        <v>-3503000</v>
      </c>
    </row>
    <row r="130" spans="1:6">
      <c r="A130" s="14" t="s">
        <v>22</v>
      </c>
      <c r="B130" s="11">
        <v>-1843000</v>
      </c>
      <c r="C130" s="11">
        <v>-2322000</v>
      </c>
      <c r="D130" s="11">
        <v>-2891000</v>
      </c>
      <c r="E130" s="11">
        <v>-3076000</v>
      </c>
      <c r="F130" s="11">
        <v>-3872000</v>
      </c>
    </row>
    <row r="131" spans="1:6">
      <c r="A131" s="14" t="s">
        <v>24</v>
      </c>
      <c r="B131" s="11">
        <v>0</v>
      </c>
      <c r="C131" s="11">
        <v>0</v>
      </c>
      <c r="D131" s="11">
        <v>0</v>
      </c>
      <c r="E131" s="11">
        <v>0</v>
      </c>
      <c r="F131" s="11">
        <v>-411000</v>
      </c>
    </row>
    <row r="132" spans="1:6">
      <c r="A132" s="14" t="s">
        <v>82</v>
      </c>
      <c r="B132" s="11">
        <v>-29000</v>
      </c>
      <c r="C132" s="11">
        <v>-25000</v>
      </c>
      <c r="D132" s="11">
        <v>-27000</v>
      </c>
      <c r="E132" s="11">
        <v>-34000</v>
      </c>
      <c r="F132" s="11">
        <v>-36000</v>
      </c>
    </row>
    <row r="133" spans="1:6">
      <c r="A133" s="14" t="s">
        <v>27</v>
      </c>
      <c r="B133" s="11">
        <v>415000</v>
      </c>
      <c r="C133" s="11">
        <v>406000</v>
      </c>
      <c r="D133" s="11">
        <v>799000</v>
      </c>
      <c r="E133" s="11">
        <v>792000</v>
      </c>
      <c r="F133" s="11">
        <v>1497000</v>
      </c>
    </row>
    <row r="134" spans="1:6">
      <c r="A134" s="14" t="s">
        <v>29</v>
      </c>
      <c r="B134" s="11">
        <v>-2072000</v>
      </c>
      <c r="C134" s="11">
        <v>-2777000</v>
      </c>
      <c r="D134" s="11">
        <v>-3714000</v>
      </c>
      <c r="E134" s="11">
        <v>-3069000</v>
      </c>
      <c r="F134" s="11">
        <v>-3914000</v>
      </c>
    </row>
    <row r="135" spans="1:6">
      <c r="A135" s="14" t="s">
        <v>33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</row>
    <row r="136" spans="1:6">
      <c r="A136" s="14" t="s">
        <v>30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</row>
    <row r="137" spans="1:6">
      <c r="A137" s="14" t="s">
        <v>32</v>
      </c>
      <c r="B137" s="11">
        <v>0</v>
      </c>
      <c r="C137" s="11">
        <v>0</v>
      </c>
      <c r="D137" s="11">
        <v>0</v>
      </c>
      <c r="E137" s="11">
        <v>0</v>
      </c>
      <c r="F137" s="11">
        <v>0</v>
      </c>
    </row>
    <row r="138" spans="1:6">
      <c r="A138" s="14" t="s">
        <v>34</v>
      </c>
      <c r="B138" s="11">
        <v>0</v>
      </c>
      <c r="C138" s="11">
        <v>0</v>
      </c>
      <c r="D138" s="11">
        <v>0</v>
      </c>
      <c r="E138" s="11">
        <v>0</v>
      </c>
      <c r="F138" s="11">
        <v>0</v>
      </c>
    </row>
    <row r="139" spans="1:6">
      <c r="A139" s="14" t="s">
        <v>38</v>
      </c>
      <c r="B139" s="11">
        <v>2458000</v>
      </c>
      <c r="C139" s="11">
        <v>7907000</v>
      </c>
      <c r="D139" s="11">
        <v>9732000</v>
      </c>
      <c r="E139" s="11">
        <v>7310000</v>
      </c>
      <c r="F139" s="11">
        <v>11400000</v>
      </c>
    </row>
    <row r="140" spans="1:6">
      <c r="A140" s="14" t="s">
        <v>39</v>
      </c>
      <c r="B140" s="11">
        <v>3116000</v>
      </c>
      <c r="C140" s="11">
        <v>3723000</v>
      </c>
      <c r="D140" s="11">
        <v>3438000</v>
      </c>
      <c r="E140" s="11">
        <v>3527000</v>
      </c>
      <c r="F140" s="11">
        <v>3700000</v>
      </c>
    </row>
    <row r="141" spans="1:6">
      <c r="A141" s="14" t="s">
        <v>40</v>
      </c>
      <c r="B141" s="11">
        <v>2004000</v>
      </c>
      <c r="C141" s="11">
        <v>1293000</v>
      </c>
      <c r="D141" s="11">
        <v>1697000</v>
      </c>
      <c r="E141" s="11">
        <v>1582000</v>
      </c>
      <c r="F141" s="11">
        <v>1478000</v>
      </c>
    </row>
    <row r="142" spans="1:6">
      <c r="A142" s="14" t="s">
        <v>41</v>
      </c>
      <c r="B142" s="11">
        <v>519000</v>
      </c>
      <c r="C142" s="11">
        <v>761000</v>
      </c>
      <c r="D142" s="11">
        <v>1000000</v>
      </c>
      <c r="E142" s="11">
        <v>1056000</v>
      </c>
      <c r="F142" s="11">
        <v>1241000</v>
      </c>
    </row>
    <row r="143" spans="1:6">
      <c r="A143" s="14" t="s">
        <v>43</v>
      </c>
      <c r="B143" s="11">
        <v>7471000</v>
      </c>
      <c r="C143" s="11">
        <v>8487000</v>
      </c>
      <c r="D143" s="11">
        <v>10666000</v>
      </c>
      <c r="E143" s="11">
        <v>11609000</v>
      </c>
      <c r="F143" s="11">
        <v>11715000</v>
      </c>
    </row>
    <row r="144" spans="1:6">
      <c r="A144" s="14" t="s">
        <v>44</v>
      </c>
      <c r="B144" s="11">
        <v>1653000</v>
      </c>
      <c r="C144" s="11">
        <v>1353000</v>
      </c>
      <c r="D144" s="11">
        <v>1839000</v>
      </c>
      <c r="E144" s="11">
        <v>5365000</v>
      </c>
      <c r="F144" s="11">
        <v>7911000</v>
      </c>
    </row>
    <row r="145" spans="1:6">
      <c r="A145" s="14" t="s">
        <v>45</v>
      </c>
      <c r="B145" s="11">
        <v>0</v>
      </c>
      <c r="C145" s="11">
        <v>0</v>
      </c>
      <c r="D145" s="11">
        <v>0</v>
      </c>
      <c r="E145" s="11">
        <v>111000</v>
      </c>
      <c r="F145" s="11">
        <v>4934000</v>
      </c>
    </row>
    <row r="146" spans="1:6">
      <c r="A146" s="14" t="s">
        <v>46</v>
      </c>
      <c r="B146" s="11">
        <v>283000</v>
      </c>
      <c r="C146" s="11">
        <v>211000</v>
      </c>
      <c r="D146" s="11">
        <v>508000</v>
      </c>
      <c r="E146" s="11">
        <v>911000</v>
      </c>
      <c r="F146" s="11">
        <v>1470000</v>
      </c>
    </row>
    <row r="147" spans="1:6">
      <c r="A147" s="14" t="s">
        <v>48</v>
      </c>
      <c r="B147" s="11">
        <v>346000</v>
      </c>
      <c r="C147" s="11">
        <v>389000</v>
      </c>
      <c r="D147" s="11">
        <v>322000</v>
      </c>
      <c r="E147" s="11">
        <v>159000</v>
      </c>
      <c r="F147" s="11">
        <v>230000</v>
      </c>
    </row>
    <row r="148" spans="1:6">
      <c r="A148" s="14" t="s">
        <v>49</v>
      </c>
      <c r="B148" s="11">
        <v>864000</v>
      </c>
      <c r="C148" s="11">
        <v>969000</v>
      </c>
      <c r="D148" s="11">
        <v>1407000</v>
      </c>
      <c r="E148" s="11">
        <v>1244000</v>
      </c>
      <c r="F148" s="11">
        <v>1370000</v>
      </c>
    </row>
    <row r="149" spans="1:6">
      <c r="A149" s="14" t="s">
        <v>50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</row>
    <row r="150" spans="1:6">
      <c r="A150" s="14" t="s">
        <v>51</v>
      </c>
      <c r="B150" s="11">
        <v>2409000</v>
      </c>
      <c r="C150" s="11">
        <v>3505000</v>
      </c>
      <c r="D150" s="11">
        <v>4291000</v>
      </c>
      <c r="E150" s="11">
        <v>4401000</v>
      </c>
      <c r="F150" s="11">
        <v>5499000</v>
      </c>
    </row>
    <row r="151" spans="1:6">
      <c r="A151" s="14" t="s">
        <v>53</v>
      </c>
      <c r="B151" s="11">
        <v>400000</v>
      </c>
      <c r="C151" s="11">
        <v>728000</v>
      </c>
      <c r="D151" s="11">
        <v>448000</v>
      </c>
      <c r="E151" s="11">
        <v>702000</v>
      </c>
      <c r="F151" s="11">
        <v>955000</v>
      </c>
    </row>
    <row r="152" spans="1:6">
      <c r="A152" s="14" t="s">
        <v>54</v>
      </c>
      <c r="B152" s="11">
        <v>0</v>
      </c>
      <c r="C152" s="11">
        <v>0</v>
      </c>
      <c r="D152" s="11">
        <v>0</v>
      </c>
      <c r="E152" s="11">
        <v>0</v>
      </c>
      <c r="F152" s="11">
        <v>0</v>
      </c>
    </row>
    <row r="153" spans="1:6">
      <c r="A153" s="14" t="s">
        <v>55</v>
      </c>
      <c r="B153" s="11">
        <v>620000</v>
      </c>
      <c r="C153" s="11">
        <v>997000</v>
      </c>
      <c r="D153" s="11">
        <v>1076000</v>
      </c>
      <c r="E153" s="11">
        <v>1387000</v>
      </c>
      <c r="F153" s="11">
        <v>3130000</v>
      </c>
    </row>
    <row r="154" spans="1:6">
      <c r="A154" s="14" t="s">
        <v>57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</row>
    <row r="155" spans="1:6">
      <c r="A155" s="14" t="s">
        <v>58</v>
      </c>
      <c r="B155" s="11">
        <v>0</v>
      </c>
      <c r="C155" s="11">
        <v>0</v>
      </c>
      <c r="D155" s="11">
        <v>0</v>
      </c>
      <c r="E155" s="11">
        <v>0</v>
      </c>
      <c r="F155" s="11">
        <v>0</v>
      </c>
    </row>
    <row r="156" spans="1:6">
      <c r="A156" s="14" t="s">
        <v>59</v>
      </c>
      <c r="B156" s="11">
        <v>3308000</v>
      </c>
      <c r="C156" s="11">
        <v>3172000</v>
      </c>
      <c r="D156" s="11">
        <v>5352000</v>
      </c>
      <c r="E156" s="11">
        <v>5626000</v>
      </c>
      <c r="F156" s="11">
        <v>11237000</v>
      </c>
    </row>
    <row r="157" spans="1:6">
      <c r="A157" s="14" t="s">
        <v>60</v>
      </c>
      <c r="B157" s="11">
        <v>9557000</v>
      </c>
      <c r="C157" s="11">
        <v>13975000</v>
      </c>
      <c r="D157" s="11">
        <v>15984000</v>
      </c>
      <c r="E157" s="11">
        <v>17952000</v>
      </c>
      <c r="F157" s="11">
        <v>21428000</v>
      </c>
    </row>
    <row r="158" spans="1:6">
      <c r="A158" s="237" t="s">
        <v>83</v>
      </c>
      <c r="B158" s="11"/>
      <c r="C158" s="11">
        <v>147780</v>
      </c>
      <c r="D158" s="11">
        <v>188848</v>
      </c>
      <c r="E158" s="11">
        <v>165750</v>
      </c>
      <c r="F158" s="11">
        <v>366740</v>
      </c>
    </row>
    <row r="162" spans="1:7">
      <c r="A162" s="10" t="s">
        <v>10</v>
      </c>
      <c r="B162" s="11" t="s">
        <v>455</v>
      </c>
      <c r="C162" s="11"/>
      <c r="D162" s="11" t="s">
        <v>456</v>
      </c>
      <c r="E162" s="15"/>
      <c r="F162" s="15">
        <v>7841</v>
      </c>
      <c r="G162" s="9" t="s">
        <v>451</v>
      </c>
    </row>
    <row r="163" spans="1:6">
      <c r="A163" s="10" t="s">
        <v>11</v>
      </c>
      <c r="B163" s="11">
        <v>52732.025</v>
      </c>
      <c r="C163" s="11"/>
      <c r="D163" s="11"/>
      <c r="E163" s="11"/>
      <c r="F163" s="11"/>
    </row>
    <row r="164" spans="1:6">
      <c r="A164" s="12" t="s">
        <v>16</v>
      </c>
      <c r="B164" s="13">
        <v>35429</v>
      </c>
      <c r="C164" s="13">
        <v>35794</v>
      </c>
      <c r="D164" s="13">
        <v>36159</v>
      </c>
      <c r="E164" s="13">
        <v>36524</v>
      </c>
      <c r="F164" s="13">
        <v>36890</v>
      </c>
    </row>
    <row r="165" spans="1:6">
      <c r="A165" s="14" t="s">
        <v>18</v>
      </c>
      <c r="B165" s="11">
        <v>0</v>
      </c>
      <c r="C165" s="11">
        <v>75912</v>
      </c>
      <c r="D165" s="11">
        <v>152806</v>
      </c>
      <c r="E165" s="11">
        <v>272243</v>
      </c>
      <c r="F165" s="11">
        <v>506228</v>
      </c>
    </row>
    <row r="166" spans="1:6">
      <c r="A166" s="14" t="s">
        <v>19</v>
      </c>
      <c r="B166" s="11">
        <v>0</v>
      </c>
      <c r="C166" s="11">
        <v>-20110</v>
      </c>
      <c r="D166" s="11">
        <v>-51659</v>
      </c>
      <c r="E166" s="11">
        <v>-97369</v>
      </c>
      <c r="F166" s="11">
        <v>-188254</v>
      </c>
    </row>
    <row r="167" spans="1:6">
      <c r="A167" s="14" t="s">
        <v>21</v>
      </c>
      <c r="B167" s="11">
        <v>0</v>
      </c>
      <c r="C167" s="11">
        <v>-17734</v>
      </c>
      <c r="D167" s="11">
        <v>-14625</v>
      </c>
      <c r="E167" s="11">
        <v>-17884</v>
      </c>
      <c r="F167" s="11">
        <v>-22906</v>
      </c>
    </row>
    <row r="168" spans="1:6">
      <c r="A168" s="14" t="s">
        <v>22</v>
      </c>
      <c r="B168" s="11">
        <v>0</v>
      </c>
      <c r="C168" s="11">
        <v>-44827</v>
      </c>
      <c r="D168" s="11">
        <v>-71717</v>
      </c>
      <c r="E168" s="11">
        <v>-101527</v>
      </c>
      <c r="F168" s="11">
        <v>-187510</v>
      </c>
    </row>
    <row r="169" spans="1:6">
      <c r="A169" s="14" t="s">
        <v>24</v>
      </c>
      <c r="B169" s="11">
        <v>0</v>
      </c>
      <c r="C169" s="11">
        <v>-29797</v>
      </c>
      <c r="D169" s="11">
        <v>-26477</v>
      </c>
      <c r="E169" s="11">
        <v>-50991</v>
      </c>
      <c r="F169" s="11">
        <v>-88204</v>
      </c>
    </row>
    <row r="170" spans="1:6">
      <c r="A170" s="14" t="s">
        <v>82</v>
      </c>
      <c r="B170" s="11">
        <v>0</v>
      </c>
      <c r="C170" s="11">
        <v>-1852</v>
      </c>
      <c r="D170" s="11">
        <v>-11972</v>
      </c>
      <c r="E170" s="11">
        <v>-417</v>
      </c>
      <c r="F170" s="11">
        <v>-170</v>
      </c>
    </row>
    <row r="171" spans="1:6">
      <c r="A171" s="14" t="s">
        <v>27</v>
      </c>
      <c r="B171" s="11">
        <v>0</v>
      </c>
      <c r="C171" s="11">
        <v>-210</v>
      </c>
      <c r="D171" s="11">
        <v>1697</v>
      </c>
      <c r="E171" s="11">
        <v>2457</v>
      </c>
      <c r="F171" s="11">
        <v>2592</v>
      </c>
    </row>
    <row r="172" spans="1:6">
      <c r="A172" s="14" t="s">
        <v>29</v>
      </c>
      <c r="B172" s="11">
        <v>0</v>
      </c>
      <c r="C172" s="11">
        <v>0</v>
      </c>
      <c r="D172" s="11">
        <v>0</v>
      </c>
      <c r="E172" s="11">
        <v>0</v>
      </c>
      <c r="F172" s="11">
        <v>-181</v>
      </c>
    </row>
    <row r="173" spans="1:6">
      <c r="A173" s="14" t="s">
        <v>33</v>
      </c>
      <c r="B173" s="11">
        <v>0</v>
      </c>
      <c r="C173" s="11">
        <v>0</v>
      </c>
      <c r="D173" s="11">
        <v>0</v>
      </c>
      <c r="E173" s="11">
        <v>0</v>
      </c>
      <c r="F173" s="11">
        <v>0</v>
      </c>
    </row>
    <row r="174" spans="1:6">
      <c r="A174" s="14" t="s">
        <v>30</v>
      </c>
      <c r="B174" s="11">
        <v>0</v>
      </c>
      <c r="C174" s="11">
        <v>0</v>
      </c>
      <c r="D174" s="11">
        <v>0</v>
      </c>
      <c r="E174" s="11">
        <v>0</v>
      </c>
      <c r="F174" s="11">
        <v>0</v>
      </c>
    </row>
    <row r="175" spans="1:6">
      <c r="A175" s="14" t="s">
        <v>32</v>
      </c>
      <c r="B175" s="11">
        <v>0</v>
      </c>
      <c r="C175" s="11">
        <v>0</v>
      </c>
      <c r="D175" s="11">
        <v>0</v>
      </c>
      <c r="E175" s="11">
        <v>0</v>
      </c>
      <c r="F175" s="11">
        <v>0</v>
      </c>
    </row>
    <row r="176" spans="1:6">
      <c r="A176" s="14" t="s">
        <v>34</v>
      </c>
      <c r="B176" s="11">
        <v>0</v>
      </c>
      <c r="C176" s="11">
        <v>0</v>
      </c>
      <c r="D176" s="11">
        <v>0</v>
      </c>
      <c r="E176" s="11">
        <v>0</v>
      </c>
      <c r="F176" s="11">
        <v>0</v>
      </c>
    </row>
    <row r="177" spans="1:6">
      <c r="A177" s="14" t="s">
        <v>38</v>
      </c>
      <c r="B177" s="11">
        <v>0</v>
      </c>
      <c r="C177" s="11">
        <v>16131</v>
      </c>
      <c r="D177" s="11">
        <v>103610</v>
      </c>
      <c r="E177" s="11">
        <v>135191</v>
      </c>
      <c r="F177" s="11">
        <v>174461</v>
      </c>
    </row>
    <row r="178" spans="1:6">
      <c r="A178" s="14" t="s">
        <v>39</v>
      </c>
      <c r="B178" s="11">
        <v>0</v>
      </c>
      <c r="C178" s="11">
        <v>0</v>
      </c>
      <c r="D178" s="11">
        <v>0</v>
      </c>
      <c r="E178" s="11">
        <v>0</v>
      </c>
      <c r="F178" s="11">
        <v>0</v>
      </c>
    </row>
    <row r="179" spans="1:6">
      <c r="A179" s="14" t="s">
        <v>40</v>
      </c>
      <c r="B179" s="11">
        <v>0</v>
      </c>
      <c r="C179" s="11">
        <v>0</v>
      </c>
      <c r="D179" s="11">
        <v>0</v>
      </c>
      <c r="E179" s="11">
        <v>0</v>
      </c>
      <c r="F179" s="11">
        <v>0</v>
      </c>
    </row>
    <row r="180" spans="1:6">
      <c r="A180" s="14" t="s">
        <v>41</v>
      </c>
      <c r="B180" s="11">
        <v>0</v>
      </c>
      <c r="C180" s="11">
        <v>3421</v>
      </c>
      <c r="D180" s="11">
        <v>3465</v>
      </c>
      <c r="E180" s="11">
        <v>3755</v>
      </c>
      <c r="F180" s="11">
        <v>12885</v>
      </c>
    </row>
    <row r="181" spans="1:6">
      <c r="A181" s="14" t="s">
        <v>43</v>
      </c>
      <c r="B181" s="11">
        <v>0</v>
      </c>
      <c r="C181" s="11">
        <v>11838</v>
      </c>
      <c r="D181" s="11">
        <v>15592</v>
      </c>
      <c r="E181" s="11">
        <v>9772</v>
      </c>
      <c r="F181" s="11">
        <v>18728</v>
      </c>
    </row>
    <row r="182" spans="1:6">
      <c r="A182" s="14" t="s">
        <v>44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</row>
    <row r="183" spans="1:6">
      <c r="A183" s="14" t="s">
        <v>45</v>
      </c>
      <c r="B183" s="11">
        <v>0</v>
      </c>
      <c r="C183" s="11">
        <v>7917</v>
      </c>
      <c r="D183" s="11">
        <v>6094</v>
      </c>
      <c r="E183" s="11">
        <v>2948</v>
      </c>
      <c r="F183" s="11">
        <v>961</v>
      </c>
    </row>
    <row r="184" spans="1:6">
      <c r="A184" s="14" t="s">
        <v>46</v>
      </c>
      <c r="B184" s="11">
        <v>0</v>
      </c>
      <c r="C184" s="11">
        <v>2323</v>
      </c>
      <c r="D184" s="11">
        <v>1769</v>
      </c>
      <c r="E184" s="11">
        <v>24346</v>
      </c>
      <c r="F184" s="11">
        <v>44758</v>
      </c>
    </row>
    <row r="185" spans="1:6">
      <c r="A185" s="14" t="s">
        <v>48</v>
      </c>
      <c r="B185" s="11">
        <v>0</v>
      </c>
      <c r="C185" s="11">
        <v>3012</v>
      </c>
      <c r="D185" s="11">
        <v>1231</v>
      </c>
      <c r="E185" s="11">
        <v>416</v>
      </c>
      <c r="F185" s="11">
        <v>68</v>
      </c>
    </row>
    <row r="186" spans="1:6">
      <c r="A186" s="14" t="s">
        <v>49</v>
      </c>
      <c r="B186" s="11">
        <v>0</v>
      </c>
      <c r="C186" s="11">
        <v>13715</v>
      </c>
      <c r="D186" s="11">
        <v>20350</v>
      </c>
      <c r="E186" s="11">
        <v>32654</v>
      </c>
      <c r="F186" s="11">
        <v>49775</v>
      </c>
    </row>
    <row r="187" spans="1:6">
      <c r="A187" s="14" t="s">
        <v>50</v>
      </c>
      <c r="B187" s="11">
        <v>0</v>
      </c>
      <c r="C187" s="11">
        <v>0</v>
      </c>
      <c r="D187" s="11">
        <v>0</v>
      </c>
      <c r="E187" s="11">
        <v>0</v>
      </c>
      <c r="F187" s="11">
        <v>0</v>
      </c>
    </row>
    <row r="188" spans="1:6">
      <c r="A188" s="14" t="s">
        <v>51</v>
      </c>
      <c r="B188" s="11">
        <v>0</v>
      </c>
      <c r="C188" s="11">
        <v>9481</v>
      </c>
      <c r="D188" s="11">
        <v>18845</v>
      </c>
      <c r="E188" s="11">
        <v>29949</v>
      </c>
      <c r="F188" s="11">
        <v>45067</v>
      </c>
    </row>
    <row r="189" spans="1:6">
      <c r="A189" s="14" t="s">
        <v>53</v>
      </c>
      <c r="B189" s="11">
        <v>0</v>
      </c>
      <c r="C189" s="11">
        <v>3856</v>
      </c>
      <c r="D189" s="11">
        <v>460</v>
      </c>
      <c r="E189" s="11">
        <v>44</v>
      </c>
      <c r="F189" s="11">
        <v>0</v>
      </c>
    </row>
    <row r="190" spans="1:6">
      <c r="A190" s="14" t="s">
        <v>54</v>
      </c>
      <c r="B190" s="11">
        <v>0</v>
      </c>
      <c r="C190" s="11">
        <v>240</v>
      </c>
      <c r="D190" s="11">
        <v>288</v>
      </c>
      <c r="E190" s="11">
        <v>241</v>
      </c>
      <c r="F190" s="11">
        <v>600</v>
      </c>
    </row>
    <row r="191" spans="1:6">
      <c r="A191" s="14" t="s">
        <v>55</v>
      </c>
      <c r="B191" s="11">
        <v>0</v>
      </c>
      <c r="C191" s="11">
        <v>0</v>
      </c>
      <c r="D191" s="11">
        <v>0</v>
      </c>
      <c r="E191" s="11">
        <v>0</v>
      </c>
      <c r="F191" s="11">
        <v>0</v>
      </c>
    </row>
    <row r="192" spans="1:6">
      <c r="A192" s="14" t="s">
        <v>57</v>
      </c>
      <c r="B192" s="11">
        <v>0</v>
      </c>
      <c r="C192" s="11">
        <v>101830</v>
      </c>
      <c r="D192" s="11">
        <v>0</v>
      </c>
      <c r="E192" s="11">
        <v>0</v>
      </c>
      <c r="F192" s="11">
        <v>0</v>
      </c>
    </row>
    <row r="193" spans="1:6">
      <c r="A193" s="14" t="s">
        <v>58</v>
      </c>
      <c r="B193" s="11">
        <v>0</v>
      </c>
      <c r="C193" s="11">
        <v>6</v>
      </c>
      <c r="D193" s="11">
        <v>0</v>
      </c>
      <c r="E193" s="11">
        <v>0</v>
      </c>
      <c r="F193" s="11">
        <v>0</v>
      </c>
    </row>
    <row r="194" spans="1:6">
      <c r="A194" s="14" t="s">
        <v>59</v>
      </c>
      <c r="B194" s="11">
        <v>0</v>
      </c>
      <c r="C194" s="11">
        <v>46756</v>
      </c>
      <c r="D194" s="11">
        <v>248569</v>
      </c>
      <c r="E194" s="11">
        <v>266001</v>
      </c>
      <c r="F194" s="11">
        <v>287981</v>
      </c>
    </row>
    <row r="195" spans="1:6">
      <c r="A195" s="14" t="s">
        <v>60</v>
      </c>
      <c r="B195" s="11">
        <v>0</v>
      </c>
      <c r="C195" s="11">
        <v>-137266</v>
      </c>
      <c r="D195" s="11">
        <v>-159213</v>
      </c>
      <c r="E195" s="11">
        <v>-153293</v>
      </c>
      <c r="F195" s="11">
        <v>-131698</v>
      </c>
    </row>
    <row r="196" spans="1:6">
      <c r="A196" s="237" t="s">
        <v>83</v>
      </c>
      <c r="B196" s="11"/>
      <c r="C196" s="11">
        <v>0</v>
      </c>
      <c r="D196" s="11">
        <v>0</v>
      </c>
      <c r="E196" s="11">
        <v>0</v>
      </c>
      <c r="F196" s="11">
        <v>0</v>
      </c>
    </row>
    <row r="200" spans="1:7">
      <c r="A200" s="10" t="s">
        <v>10</v>
      </c>
      <c r="B200" s="11" t="s">
        <v>457</v>
      </c>
      <c r="C200" s="11"/>
      <c r="D200" s="11" t="s">
        <v>458</v>
      </c>
      <c r="E200" s="15"/>
      <c r="F200" s="15">
        <v>5961</v>
      </c>
      <c r="G200" s="9" t="s">
        <v>451</v>
      </c>
    </row>
    <row r="201" spans="1:6">
      <c r="A201" s="10" t="s">
        <v>448</v>
      </c>
      <c r="B201" s="11">
        <v>16025</v>
      </c>
      <c r="C201" s="11"/>
      <c r="D201" s="11"/>
      <c r="E201" s="11"/>
      <c r="F201" s="11"/>
    </row>
    <row r="202" spans="1:6">
      <c r="A202" s="12" t="s">
        <v>16</v>
      </c>
      <c r="B202" s="13"/>
      <c r="C202" s="13"/>
      <c r="D202" s="13">
        <v>35794</v>
      </c>
      <c r="E202" s="13">
        <v>36159</v>
      </c>
      <c r="F202" s="13">
        <v>36524</v>
      </c>
    </row>
    <row r="203" spans="1:6">
      <c r="A203" s="14" t="s">
        <v>18</v>
      </c>
      <c r="B203" s="11"/>
      <c r="C203" s="11"/>
      <c r="D203" s="11">
        <v>40003</v>
      </c>
      <c r="E203" s="11">
        <v>91784</v>
      </c>
      <c r="F203" s="11">
        <v>238945</v>
      </c>
    </row>
    <row r="204" spans="1:6">
      <c r="A204" s="14" t="s">
        <v>19</v>
      </c>
      <c r="B204" s="11"/>
      <c r="C204" s="11"/>
      <c r="D204" s="11">
        <v>-32536</v>
      </c>
      <c r="E204" s="11">
        <v>-70953</v>
      </c>
      <c r="F204" s="11">
        <v>-211077</v>
      </c>
    </row>
    <row r="205" spans="1:6">
      <c r="A205" s="14" t="s">
        <v>21</v>
      </c>
      <c r="B205" s="11"/>
      <c r="C205" s="11"/>
      <c r="D205" s="11">
        <v>0</v>
      </c>
      <c r="E205" s="11">
        <v>0</v>
      </c>
      <c r="F205" s="11">
        <v>0</v>
      </c>
    </row>
    <row r="206" spans="1:6">
      <c r="A206" s="14" t="s">
        <v>22</v>
      </c>
      <c r="B206" s="11"/>
      <c r="C206" s="11"/>
      <c r="D206" s="11">
        <v>-15225</v>
      </c>
      <c r="E206" s="11">
        <v>-19494</v>
      </c>
      <c r="F206" s="11">
        <v>-37084</v>
      </c>
    </row>
    <row r="207" spans="1:6">
      <c r="A207" s="14" t="s">
        <v>24</v>
      </c>
      <c r="B207" s="11"/>
      <c r="C207" s="11"/>
      <c r="D207" s="11">
        <v>-5809</v>
      </c>
      <c r="E207" s="11">
        <v>-5391</v>
      </c>
      <c r="F207" s="11">
        <v>-3171</v>
      </c>
    </row>
    <row r="208" spans="1:6">
      <c r="A208" s="14" t="s">
        <v>82</v>
      </c>
      <c r="B208" s="11"/>
      <c r="C208" s="11"/>
      <c r="D208" s="11">
        <v>-729</v>
      </c>
      <c r="E208" s="11">
        <v>-465</v>
      </c>
      <c r="F208" s="11">
        <v>-76</v>
      </c>
    </row>
    <row r="209" spans="1:6">
      <c r="A209" s="14" t="s">
        <v>27</v>
      </c>
      <c r="B209" s="11"/>
      <c r="C209" s="11"/>
      <c r="D209" s="11">
        <v>490</v>
      </c>
      <c r="E209" s="11">
        <v>-41</v>
      </c>
      <c r="F209" s="11">
        <v>576</v>
      </c>
    </row>
    <row r="210" spans="1:6">
      <c r="A210" s="14" t="s">
        <v>29</v>
      </c>
      <c r="B210" s="11"/>
      <c r="C210" s="11"/>
      <c r="D210" s="11">
        <v>0</v>
      </c>
      <c r="E210" s="11">
        <v>0</v>
      </c>
      <c r="F210" s="11">
        <v>0</v>
      </c>
    </row>
    <row r="211" spans="1:6">
      <c r="A211" s="14" t="s">
        <v>33</v>
      </c>
      <c r="B211" s="11"/>
      <c r="C211" s="11"/>
      <c r="D211" s="11">
        <v>0</v>
      </c>
      <c r="E211" s="11">
        <v>0</v>
      </c>
      <c r="F211" s="11">
        <v>0</v>
      </c>
    </row>
    <row r="212" spans="1:6">
      <c r="A212" s="14" t="s">
        <v>30</v>
      </c>
      <c r="B212" s="11"/>
      <c r="C212" s="11"/>
      <c r="D212" s="11">
        <v>0</v>
      </c>
      <c r="E212" s="11">
        <v>0</v>
      </c>
      <c r="F212" s="11">
        <v>0</v>
      </c>
    </row>
    <row r="213" spans="1:6">
      <c r="A213" s="14" t="s">
        <v>32</v>
      </c>
      <c r="B213" s="11"/>
      <c r="C213" s="11"/>
      <c r="D213" s="11">
        <v>0</v>
      </c>
      <c r="E213" s="11">
        <v>0</v>
      </c>
      <c r="F213" s="11">
        <v>0</v>
      </c>
    </row>
    <row r="214" spans="1:6">
      <c r="A214" s="14" t="s">
        <v>34</v>
      </c>
      <c r="B214" s="11"/>
      <c r="C214" s="11"/>
      <c r="D214" s="11">
        <v>0</v>
      </c>
      <c r="E214" s="11">
        <v>-7013</v>
      </c>
      <c r="F214" s="11">
        <v>-262</v>
      </c>
    </row>
    <row r="215" spans="1:6">
      <c r="A215" s="14" t="s">
        <v>38</v>
      </c>
      <c r="B215" s="11"/>
      <c r="C215" s="11"/>
      <c r="D215" s="11">
        <v>3729</v>
      </c>
      <c r="E215" s="11">
        <v>32662</v>
      </c>
      <c r="F215" s="11">
        <v>40346</v>
      </c>
    </row>
    <row r="216" spans="1:6">
      <c r="A216" s="14" t="s">
        <v>39</v>
      </c>
      <c r="B216" s="11"/>
      <c r="C216" s="11"/>
      <c r="D216" s="11">
        <v>1565</v>
      </c>
      <c r="E216" s="11">
        <v>6994</v>
      </c>
      <c r="F216" s="11">
        <v>10183</v>
      </c>
    </row>
    <row r="217" spans="1:6">
      <c r="A217" s="14" t="s">
        <v>40</v>
      </c>
      <c r="B217" s="11"/>
      <c r="C217" s="11"/>
      <c r="D217" s="11">
        <v>7586</v>
      </c>
      <c r="E217" s="11">
        <v>13954</v>
      </c>
      <c r="F217" s="11">
        <v>29926</v>
      </c>
    </row>
    <row r="218" spans="1:6">
      <c r="A218" s="14" t="s">
        <v>41</v>
      </c>
      <c r="B218" s="11"/>
      <c r="C218" s="11"/>
      <c r="D218" s="11">
        <v>476</v>
      </c>
      <c r="E218" s="11">
        <v>2333</v>
      </c>
      <c r="F218" s="11">
        <v>4583</v>
      </c>
    </row>
    <row r="219" spans="1:6">
      <c r="A219" s="14" t="s">
        <v>43</v>
      </c>
      <c r="B219" s="11"/>
      <c r="C219" s="11"/>
      <c r="D219" s="11">
        <v>5018</v>
      </c>
      <c r="E219" s="11">
        <v>4945</v>
      </c>
      <c r="F219" s="11">
        <v>9483</v>
      </c>
    </row>
    <row r="220" spans="1:6">
      <c r="A220" s="14" t="s">
        <v>44</v>
      </c>
      <c r="B220" s="11"/>
      <c r="C220" s="11"/>
      <c r="D220" s="11">
        <v>0</v>
      </c>
      <c r="E220" s="11">
        <v>0</v>
      </c>
      <c r="F220" s="11">
        <v>0</v>
      </c>
    </row>
    <row r="221" spans="1:6">
      <c r="A221" s="14" t="s">
        <v>45</v>
      </c>
      <c r="B221" s="11"/>
      <c r="C221" s="11"/>
      <c r="D221" s="11">
        <v>0</v>
      </c>
      <c r="E221" s="11">
        <v>2784</v>
      </c>
      <c r="F221" s="11">
        <v>2784</v>
      </c>
    </row>
    <row r="222" spans="1:6">
      <c r="A222" s="14" t="s">
        <v>46</v>
      </c>
      <c r="B222" s="11"/>
      <c r="C222" s="11"/>
      <c r="D222" s="11">
        <v>3340</v>
      </c>
      <c r="E222" s="11">
        <v>284</v>
      </c>
      <c r="F222" s="11">
        <v>427</v>
      </c>
    </row>
    <row r="223" spans="1:6">
      <c r="A223" s="14" t="s">
        <v>48</v>
      </c>
      <c r="B223" s="11"/>
      <c r="C223" s="11"/>
      <c r="D223" s="11">
        <v>4512</v>
      </c>
      <c r="E223" s="11">
        <v>124</v>
      </c>
      <c r="F223" s="11">
        <v>75</v>
      </c>
    </row>
    <row r="224" spans="1:6">
      <c r="A224" s="14" t="s">
        <v>49</v>
      </c>
      <c r="B224" s="11"/>
      <c r="C224" s="11"/>
      <c r="D224" s="11">
        <v>3680</v>
      </c>
      <c r="E224" s="11">
        <v>13731</v>
      </c>
      <c r="F224" s="11">
        <v>30363</v>
      </c>
    </row>
    <row r="225" spans="1:6">
      <c r="A225" s="14" t="s">
        <v>50</v>
      </c>
      <c r="B225" s="11"/>
      <c r="C225" s="11"/>
      <c r="D225" s="11">
        <v>0</v>
      </c>
      <c r="E225" s="11">
        <v>0</v>
      </c>
      <c r="F225" s="11">
        <v>0</v>
      </c>
    </row>
    <row r="226" spans="1:6">
      <c r="A226" s="14" t="s">
        <v>51</v>
      </c>
      <c r="B226" s="11"/>
      <c r="C226" s="11"/>
      <c r="D226" s="11">
        <v>2093</v>
      </c>
      <c r="E226" s="11">
        <v>6409</v>
      </c>
      <c r="F226" s="11">
        <v>9316</v>
      </c>
    </row>
    <row r="227" spans="1:6">
      <c r="A227" s="14" t="s">
        <v>53</v>
      </c>
      <c r="B227" s="11"/>
      <c r="C227" s="11"/>
      <c r="D227" s="11">
        <v>165</v>
      </c>
      <c r="E227" s="11">
        <v>58</v>
      </c>
      <c r="F227" s="11">
        <v>86</v>
      </c>
    </row>
    <row r="228" spans="1:6">
      <c r="A228" s="14" t="s">
        <v>54</v>
      </c>
      <c r="B228" s="11"/>
      <c r="C228" s="11"/>
      <c r="D228" s="11">
        <v>0</v>
      </c>
      <c r="E228" s="11">
        <v>0</v>
      </c>
      <c r="F228" s="11">
        <v>0</v>
      </c>
    </row>
    <row r="229" spans="1:6">
      <c r="A229" s="14" t="s">
        <v>55</v>
      </c>
      <c r="B229" s="11"/>
      <c r="C229" s="11"/>
      <c r="D229" s="11">
        <v>0</v>
      </c>
      <c r="E229" s="11">
        <v>0</v>
      </c>
      <c r="F229" s="11">
        <v>0</v>
      </c>
    </row>
    <row r="230" spans="1:6">
      <c r="A230" s="14" t="s">
        <v>57</v>
      </c>
      <c r="B230" s="11"/>
      <c r="C230" s="11"/>
      <c r="D230" s="11">
        <v>5284</v>
      </c>
      <c r="E230" s="11">
        <v>0</v>
      </c>
      <c r="F230" s="11">
        <v>0</v>
      </c>
    </row>
    <row r="231" spans="1:6">
      <c r="A231" s="14" t="s">
        <v>58</v>
      </c>
      <c r="B231" s="11"/>
      <c r="C231" s="11"/>
      <c r="D231" s="11">
        <v>0</v>
      </c>
      <c r="E231" s="11">
        <v>4363</v>
      </c>
      <c r="F231" s="11">
        <v>2978</v>
      </c>
    </row>
    <row r="232" spans="1:6">
      <c r="A232" s="14" t="s">
        <v>59</v>
      </c>
      <c r="B232" s="11"/>
      <c r="C232" s="11"/>
      <c r="D232" s="11">
        <v>50073</v>
      </c>
      <c r="E232" s="11">
        <v>94937</v>
      </c>
      <c r="F232" s="11">
        <v>122729</v>
      </c>
    </row>
    <row r="233" spans="1:6">
      <c r="A233" s="14" t="s">
        <v>60</v>
      </c>
      <c r="B233" s="11"/>
      <c r="C233" s="11"/>
      <c r="D233" s="11">
        <v>-44093</v>
      </c>
      <c r="E233" s="11">
        <v>-55666</v>
      </c>
      <c r="F233" s="11">
        <v>-67815</v>
      </c>
    </row>
    <row r="234" spans="1:6">
      <c r="A234" s="16" t="s">
        <v>83</v>
      </c>
      <c r="B234" s="11"/>
      <c r="C234" s="11"/>
      <c r="D234" s="11">
        <v>0</v>
      </c>
      <c r="E234" s="11">
        <v>7013</v>
      </c>
      <c r="F234" s="11">
        <v>262</v>
      </c>
    </row>
    <row r="238" spans="1:7">
      <c r="A238" s="17" t="s">
        <v>10</v>
      </c>
      <c r="B238" s="11" t="s">
        <v>459</v>
      </c>
      <c r="C238" s="11"/>
      <c r="D238" s="11" t="s">
        <v>460</v>
      </c>
      <c r="E238" s="15"/>
      <c r="F238" s="15">
        <v>4400</v>
      </c>
      <c r="G238" s="9" t="s">
        <v>451</v>
      </c>
    </row>
    <row r="239" spans="1:6">
      <c r="A239" s="10" t="s">
        <v>11</v>
      </c>
      <c r="B239" s="11">
        <v>168591</v>
      </c>
      <c r="C239" s="11"/>
      <c r="D239" s="11"/>
      <c r="E239" s="11"/>
      <c r="F239" s="11"/>
    </row>
    <row r="240" spans="1:6">
      <c r="A240" s="12" t="s">
        <v>16</v>
      </c>
      <c r="B240" s="13">
        <v>33237</v>
      </c>
      <c r="C240" s="13">
        <v>33602</v>
      </c>
      <c r="D240" s="13">
        <v>33968</v>
      </c>
      <c r="E240" s="13">
        <v>34333</v>
      </c>
      <c r="F240" s="13">
        <v>34698</v>
      </c>
    </row>
    <row r="241" spans="1:6">
      <c r="A241" s="14" t="s">
        <v>18</v>
      </c>
      <c r="B241" s="11">
        <v>1171423</v>
      </c>
      <c r="C241" s="11">
        <v>1183952</v>
      </c>
      <c r="D241" s="11">
        <v>1357325</v>
      </c>
      <c r="E241" s="11">
        <v>1939007</v>
      </c>
      <c r="F241" s="11">
        <v>2636291</v>
      </c>
    </row>
    <row r="242" spans="1:6">
      <c r="A242" s="14" t="s">
        <v>19</v>
      </c>
      <c r="B242" s="11">
        <v>-728760</v>
      </c>
      <c r="C242" s="11">
        <v>-742467</v>
      </c>
      <c r="D242" s="11">
        <v>-854478</v>
      </c>
      <c r="E242" s="11">
        <v>-1219268</v>
      </c>
      <c r="F242" s="11">
        <v>-1593728</v>
      </c>
    </row>
    <row r="243" spans="1:6">
      <c r="A243" s="14" t="s">
        <v>21</v>
      </c>
      <c r="B243" s="11">
        <v>0</v>
      </c>
      <c r="C243" s="11">
        <v>0</v>
      </c>
      <c r="D243" s="11">
        <v>0</v>
      </c>
      <c r="E243" s="11">
        <v>0</v>
      </c>
      <c r="F243" s="11">
        <v>0</v>
      </c>
    </row>
    <row r="244" spans="1:6">
      <c r="A244" s="14" t="s">
        <v>22</v>
      </c>
      <c r="B244" s="11">
        <v>-179051</v>
      </c>
      <c r="C244" s="11">
        <v>-177481</v>
      </c>
      <c r="D244" s="11">
        <v>-194629</v>
      </c>
      <c r="E244" s="11">
        <v>-272368</v>
      </c>
      <c r="F244" s="11">
        <v>-359214</v>
      </c>
    </row>
    <row r="245" spans="1:6">
      <c r="A245" s="14" t="s">
        <v>24</v>
      </c>
      <c r="B245" s="11">
        <v>-77892</v>
      </c>
      <c r="C245" s="11">
        <v>-80071</v>
      </c>
      <c r="D245" s="11">
        <v>-91185</v>
      </c>
      <c r="E245" s="11">
        <v>-143816</v>
      </c>
      <c r="F245" s="11">
        <v>-194614</v>
      </c>
    </row>
    <row r="246" spans="1:6">
      <c r="A246" s="14" t="s">
        <v>82</v>
      </c>
      <c r="B246" s="11">
        <v>-43349</v>
      </c>
      <c r="C246" s="11">
        <v>-54844</v>
      </c>
      <c r="D246" s="11">
        <v>-76540</v>
      </c>
      <c r="E246" s="11">
        <v>-128531</v>
      </c>
      <c r="F246" s="11">
        <v>-167869</v>
      </c>
    </row>
    <row r="247" spans="1:6">
      <c r="A247" s="14" t="s">
        <v>27</v>
      </c>
      <c r="B247" s="11">
        <v>-46</v>
      </c>
      <c r="C247" s="11">
        <v>19869</v>
      </c>
      <c r="D247" s="11">
        <v>10373</v>
      </c>
      <c r="E247" s="11">
        <v>7661</v>
      </c>
      <c r="F247" s="11">
        <v>9904</v>
      </c>
    </row>
    <row r="248" spans="1:6">
      <c r="A248" s="14" t="s">
        <v>29</v>
      </c>
      <c r="B248" s="11">
        <v>0</v>
      </c>
      <c r="C248" s="11">
        <v>0</v>
      </c>
      <c r="D248" s="11">
        <v>0</v>
      </c>
      <c r="E248" s="11">
        <v>0</v>
      </c>
      <c r="F248" s="11">
        <v>0</v>
      </c>
    </row>
    <row r="249" spans="1:6">
      <c r="A249" s="14" t="s">
        <v>33</v>
      </c>
      <c r="B249" s="11">
        <v>0</v>
      </c>
      <c r="C249" s="11">
        <v>0</v>
      </c>
      <c r="D249" s="11">
        <v>0</v>
      </c>
      <c r="E249" s="11">
        <v>0</v>
      </c>
      <c r="F249" s="11">
        <v>0</v>
      </c>
    </row>
    <row r="250" spans="1:6">
      <c r="A250" s="14" t="s">
        <v>30</v>
      </c>
      <c r="B250" s="11">
        <v>0</v>
      </c>
      <c r="C250" s="11">
        <v>0</v>
      </c>
      <c r="D250" s="11">
        <v>0</v>
      </c>
      <c r="E250" s="11">
        <v>0</v>
      </c>
      <c r="F250" s="11">
        <v>0</v>
      </c>
    </row>
    <row r="251" spans="1:6">
      <c r="A251" s="14" t="s">
        <v>32</v>
      </c>
      <c r="B251" s="11">
        <v>-5.7</v>
      </c>
      <c r="C251" s="11">
        <v>0</v>
      </c>
      <c r="D251" s="11">
        <v>0</v>
      </c>
      <c r="E251" s="11">
        <v>-7558</v>
      </c>
      <c r="F251" s="11">
        <v>0</v>
      </c>
    </row>
    <row r="252" spans="1:6">
      <c r="A252" s="14" t="s">
        <v>34</v>
      </c>
      <c r="B252" s="11">
        <v>0</v>
      </c>
      <c r="C252" s="11">
        <v>0</v>
      </c>
      <c r="D252" s="11">
        <v>0</v>
      </c>
      <c r="E252" s="11">
        <v>0</v>
      </c>
      <c r="F252" s="11">
        <v>0</v>
      </c>
    </row>
    <row r="253" spans="1:6">
      <c r="A253" s="14" t="s">
        <v>38</v>
      </c>
      <c r="B253" s="11">
        <v>23920</v>
      </c>
      <c r="C253" s="11">
        <v>31256</v>
      </c>
      <c r="D253" s="11">
        <v>40419</v>
      </c>
      <c r="E253" s="11">
        <v>110793</v>
      </c>
      <c r="F253" s="11">
        <v>172921</v>
      </c>
    </row>
    <row r="254" spans="1:6">
      <c r="A254" s="14" t="s">
        <v>39</v>
      </c>
      <c r="B254" s="11">
        <v>9424</v>
      </c>
      <c r="C254" s="11">
        <v>12171</v>
      </c>
      <c r="D254" s="11">
        <v>15535</v>
      </c>
      <c r="E254" s="11">
        <v>22628</v>
      </c>
      <c r="F254" s="11">
        <v>36532</v>
      </c>
    </row>
    <row r="255" spans="1:6">
      <c r="A255" s="14" t="s">
        <v>40</v>
      </c>
      <c r="B255" s="11">
        <v>13555</v>
      </c>
      <c r="C255" s="11">
        <v>16830</v>
      </c>
      <c r="D255" s="11">
        <v>22665</v>
      </c>
      <c r="E255" s="11">
        <v>37274</v>
      </c>
      <c r="F255" s="11">
        <v>31834</v>
      </c>
    </row>
    <row r="256" spans="1:6">
      <c r="A256" s="14" t="s">
        <v>41</v>
      </c>
      <c r="B256" s="11">
        <v>71233</v>
      </c>
      <c r="C256" s="11">
        <v>27563</v>
      </c>
      <c r="D256" s="11">
        <v>33745</v>
      </c>
      <c r="E256" s="11">
        <v>40450</v>
      </c>
      <c r="F256" s="11">
        <v>45044</v>
      </c>
    </row>
    <row r="257" spans="1:6">
      <c r="A257" s="14" t="s">
        <v>43</v>
      </c>
      <c r="B257" s="11">
        <v>1384814</v>
      </c>
      <c r="C257" s="11">
        <v>1758446</v>
      </c>
      <c r="D257" s="11">
        <v>2378934</v>
      </c>
      <c r="E257" s="11">
        <v>4785291</v>
      </c>
      <c r="F257" s="11">
        <v>5073008</v>
      </c>
    </row>
    <row r="258" spans="1:6">
      <c r="A258" s="14" t="s">
        <v>44</v>
      </c>
      <c r="B258" s="11">
        <v>0</v>
      </c>
      <c r="C258" s="11">
        <v>0</v>
      </c>
      <c r="D258" s="11">
        <v>0</v>
      </c>
      <c r="E258" s="11">
        <v>0</v>
      </c>
      <c r="F258" s="11">
        <v>0</v>
      </c>
    </row>
    <row r="259" spans="1:6">
      <c r="A259" s="14" t="s">
        <v>45</v>
      </c>
      <c r="B259" s="11">
        <v>351456</v>
      </c>
      <c r="C259" s="11">
        <v>341041</v>
      </c>
      <c r="D259" s="11">
        <v>330628</v>
      </c>
      <c r="E259" s="11">
        <v>320214</v>
      </c>
      <c r="F259" s="11">
        <v>309801</v>
      </c>
    </row>
    <row r="260" spans="1:6">
      <c r="A260" s="14" t="s">
        <v>46</v>
      </c>
      <c r="B260" s="11">
        <v>10602</v>
      </c>
      <c r="C260" s="11">
        <v>15936</v>
      </c>
      <c r="D260" s="11">
        <v>20373</v>
      </c>
      <c r="E260" s="11">
        <v>23098</v>
      </c>
      <c r="F260" s="11">
        <v>16936</v>
      </c>
    </row>
    <row r="261" spans="1:6">
      <c r="A261" s="14" t="s">
        <v>48</v>
      </c>
      <c r="B261" s="11">
        <v>0</v>
      </c>
      <c r="C261" s="11">
        <v>6234</v>
      </c>
      <c r="D261" s="11">
        <v>13061</v>
      </c>
      <c r="E261" s="11">
        <v>141013</v>
      </c>
      <c r="F261" s="11">
        <v>127919</v>
      </c>
    </row>
    <row r="262" spans="1:6">
      <c r="A262" s="14" t="s">
        <v>49</v>
      </c>
      <c r="B262" s="11">
        <v>63181</v>
      </c>
      <c r="C262" s="11">
        <v>71528</v>
      </c>
      <c r="D262" s="11">
        <v>69091</v>
      </c>
      <c r="E262" s="11">
        <v>108474</v>
      </c>
      <c r="F262" s="11">
        <v>115833</v>
      </c>
    </row>
    <row r="263" spans="1:6">
      <c r="A263" s="14" t="s">
        <v>50</v>
      </c>
      <c r="B263" s="11">
        <v>0</v>
      </c>
      <c r="C263" s="11">
        <v>0</v>
      </c>
      <c r="D263" s="11">
        <v>0</v>
      </c>
      <c r="E263" s="11">
        <v>0</v>
      </c>
      <c r="F263" s="11">
        <v>0</v>
      </c>
    </row>
    <row r="264" spans="1:6">
      <c r="A264" s="14" t="s">
        <v>51</v>
      </c>
      <c r="B264" s="11">
        <v>209094</v>
      </c>
      <c r="C264" s="11">
        <v>230935</v>
      </c>
      <c r="D264" s="11">
        <v>321307</v>
      </c>
      <c r="E264" s="11">
        <v>639857</v>
      </c>
      <c r="F264" s="11">
        <v>646403</v>
      </c>
    </row>
    <row r="265" spans="1:6">
      <c r="A265" s="14" t="s">
        <v>53</v>
      </c>
      <c r="B265" s="11">
        <v>747107</v>
      </c>
      <c r="C265" s="11">
        <v>929458</v>
      </c>
      <c r="D265" s="11">
        <v>1353906</v>
      </c>
      <c r="E265" s="11">
        <v>2431683</v>
      </c>
      <c r="F265" s="11">
        <v>2341163</v>
      </c>
    </row>
    <row r="266" spans="1:6">
      <c r="A266" s="14" t="s">
        <v>54</v>
      </c>
      <c r="B266" s="11">
        <v>0</v>
      </c>
      <c r="C266" s="11">
        <v>0</v>
      </c>
      <c r="D266" s="11">
        <v>0</v>
      </c>
      <c r="E266" s="11">
        <v>0</v>
      </c>
      <c r="F266" s="11">
        <v>0</v>
      </c>
    </row>
    <row r="267" spans="1:6">
      <c r="A267" s="14" t="s">
        <v>55</v>
      </c>
      <c r="B267" s="11">
        <v>0</v>
      </c>
      <c r="C267" s="11">
        <v>0</v>
      </c>
      <c r="D267" s="11">
        <v>0</v>
      </c>
      <c r="E267" s="11">
        <v>0</v>
      </c>
      <c r="F267" s="11">
        <v>0</v>
      </c>
    </row>
    <row r="268" spans="1:6">
      <c r="A268" s="14" t="s">
        <v>57</v>
      </c>
      <c r="B268" s="11">
        <v>0</v>
      </c>
      <c r="C268" s="11">
        <v>0</v>
      </c>
      <c r="D268" s="11">
        <v>0</v>
      </c>
      <c r="E268" s="11">
        <v>0</v>
      </c>
      <c r="F268" s="11">
        <v>0</v>
      </c>
    </row>
    <row r="269" spans="1:6">
      <c r="A269" s="14" t="s">
        <v>58</v>
      </c>
      <c r="B269" s="11">
        <v>0</v>
      </c>
      <c r="C269" s="11">
        <v>0</v>
      </c>
      <c r="D269" s="11">
        <v>0</v>
      </c>
      <c r="E269" s="11">
        <v>172500</v>
      </c>
      <c r="F269" s="11">
        <v>172500</v>
      </c>
    </row>
    <row r="270" spans="1:6">
      <c r="A270" s="14" t="s">
        <v>59</v>
      </c>
      <c r="B270" s="11">
        <v>545061</v>
      </c>
      <c r="C270" s="11">
        <v>546058</v>
      </c>
      <c r="D270" s="11">
        <v>549422</v>
      </c>
      <c r="E270" s="11">
        <v>1185566</v>
      </c>
      <c r="F270" s="11">
        <v>1358567</v>
      </c>
    </row>
    <row r="271" spans="1:6">
      <c r="A271" s="14" t="s">
        <v>60</v>
      </c>
      <c r="B271" s="11">
        <v>300561</v>
      </c>
      <c r="C271" s="11">
        <v>419030</v>
      </c>
      <c r="D271" s="11">
        <v>535512</v>
      </c>
      <c r="E271" s="11">
        <v>660655</v>
      </c>
      <c r="F271" s="11">
        <v>923691</v>
      </c>
    </row>
    <row r="272" spans="1:6">
      <c r="A272" s="237" t="s">
        <v>83</v>
      </c>
      <c r="B272" s="11"/>
      <c r="C272" s="11">
        <v>30489</v>
      </c>
      <c r="D272" s="11">
        <v>34384</v>
      </c>
      <c r="E272" s="11">
        <v>49984</v>
      </c>
      <c r="F272" s="11">
        <v>67734</v>
      </c>
    </row>
    <row r="276" spans="1:7">
      <c r="A276" s="17" t="s">
        <v>10</v>
      </c>
      <c r="B276" s="11" t="s">
        <v>461</v>
      </c>
      <c r="C276" s="11"/>
      <c r="D276" s="11" t="s">
        <v>462</v>
      </c>
      <c r="E276" s="15"/>
      <c r="F276" s="15">
        <v>4400</v>
      </c>
      <c r="G276" s="9" t="s">
        <v>451</v>
      </c>
    </row>
    <row r="277" spans="1:6">
      <c r="A277" s="10" t="s">
        <v>448</v>
      </c>
      <c r="B277" s="11">
        <v>595448</v>
      </c>
      <c r="C277" s="11"/>
      <c r="D277" s="11"/>
      <c r="E277" s="11"/>
      <c r="F277" s="11"/>
    </row>
    <row r="278" spans="1:6">
      <c r="A278" s="12" t="s">
        <v>16</v>
      </c>
      <c r="B278" s="13">
        <v>33206</v>
      </c>
      <c r="C278" s="13">
        <v>33571</v>
      </c>
      <c r="D278" s="13">
        <v>33937</v>
      </c>
      <c r="E278" s="13">
        <v>34302</v>
      </c>
      <c r="F278" s="13">
        <v>34667</v>
      </c>
    </row>
    <row r="279" spans="1:6">
      <c r="A279" s="14" t="s">
        <v>18</v>
      </c>
      <c r="B279" s="11">
        <v>1806016</v>
      </c>
      <c r="C279" s="11">
        <v>1998150</v>
      </c>
      <c r="D279" s="11">
        <v>2212572</v>
      </c>
      <c r="E279" s="11">
        <v>2447468</v>
      </c>
      <c r="F279" s="11">
        <v>3009306</v>
      </c>
    </row>
    <row r="280" spans="1:6">
      <c r="A280" s="14" t="s">
        <v>19</v>
      </c>
      <c r="B280" s="11">
        <v>-1028475</v>
      </c>
      <c r="C280" s="11">
        <v>-1131113</v>
      </c>
      <c r="D280" s="11">
        <v>-1241269</v>
      </c>
      <c r="E280" s="11">
        <v>-1322669</v>
      </c>
      <c r="F280" s="11">
        <v>-1619377</v>
      </c>
    </row>
    <row r="281" spans="1:6">
      <c r="A281" s="14" t="s">
        <v>21</v>
      </c>
      <c r="B281" s="11">
        <v>0</v>
      </c>
      <c r="C281" s="11">
        <v>0</v>
      </c>
      <c r="D281" s="11">
        <v>0</v>
      </c>
      <c r="E281" s="11">
        <v>0</v>
      </c>
      <c r="F281" s="11">
        <v>0</v>
      </c>
    </row>
    <row r="282" spans="1:6">
      <c r="A282" s="14" t="s">
        <v>22</v>
      </c>
      <c r="B282" s="11">
        <v>-223272</v>
      </c>
      <c r="C282" s="11">
        <v>-248566</v>
      </c>
      <c r="D282" s="11">
        <v>-274855</v>
      </c>
      <c r="E282" s="11">
        <v>-296533</v>
      </c>
      <c r="F282" s="11">
        <v>-369469</v>
      </c>
    </row>
    <row r="283" spans="1:6">
      <c r="A283" s="14" t="s">
        <v>24</v>
      </c>
      <c r="B283" s="11">
        <v>-110595</v>
      </c>
      <c r="C283" s="11">
        <v>-128433</v>
      </c>
      <c r="D283" s="11">
        <v>-144987</v>
      </c>
      <c r="E283" s="11">
        <v>-167287</v>
      </c>
      <c r="F283" s="11">
        <v>-200668</v>
      </c>
    </row>
    <row r="284" spans="1:6">
      <c r="A284" s="14" t="s">
        <v>82</v>
      </c>
      <c r="B284" s="11">
        <v>-51378</v>
      </c>
      <c r="C284" s="11">
        <v>-63080</v>
      </c>
      <c r="D284" s="11">
        <v>-64092</v>
      </c>
      <c r="E284" s="11">
        <v>-55898</v>
      </c>
      <c r="F284" s="11">
        <v>-57772</v>
      </c>
    </row>
    <row r="285" spans="1:6">
      <c r="A285" s="14" t="s">
        <v>27</v>
      </c>
      <c r="B285" s="11">
        <v>-478</v>
      </c>
      <c r="C285" s="11">
        <v>33507</v>
      </c>
      <c r="D285" s="11">
        <v>87978</v>
      </c>
      <c r="E285" s="11">
        <v>67202</v>
      </c>
      <c r="F285" s="11">
        <v>88782</v>
      </c>
    </row>
    <row r="286" spans="1:6">
      <c r="A286" s="14" t="s">
        <v>29</v>
      </c>
      <c r="B286" s="11">
        <v>10053</v>
      </c>
      <c r="C286" s="11">
        <v>-9374</v>
      </c>
      <c r="D286" s="11">
        <v>-9045</v>
      </c>
      <c r="E286" s="11">
        <v>-6233</v>
      </c>
      <c r="F286" s="11">
        <v>-3815</v>
      </c>
    </row>
    <row r="287" spans="1:6">
      <c r="A287" s="14" t="s">
        <v>33</v>
      </c>
      <c r="B287" s="11">
        <v>0</v>
      </c>
      <c r="C287" s="11">
        <v>0</v>
      </c>
      <c r="D287" s="11">
        <v>0</v>
      </c>
      <c r="E287" s="11">
        <v>0</v>
      </c>
      <c r="F287" s="11">
        <v>-11102</v>
      </c>
    </row>
    <row r="288" spans="1:6">
      <c r="A288" s="14" t="s">
        <v>30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</row>
    <row r="289" spans="1:6">
      <c r="A289" s="14" t="s">
        <v>32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</row>
    <row r="290" spans="1:6">
      <c r="A290" s="14" t="s">
        <v>34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</row>
    <row r="291" spans="1:6">
      <c r="A291" s="14" t="s">
        <v>38</v>
      </c>
      <c r="B291" s="11">
        <v>124220</v>
      </c>
      <c r="C291" s="11">
        <v>103760</v>
      </c>
      <c r="D291" s="11">
        <v>124115</v>
      </c>
      <c r="E291" s="11">
        <v>149727</v>
      </c>
      <c r="F291" s="11">
        <v>143229</v>
      </c>
    </row>
    <row r="292" spans="1:6">
      <c r="A292" s="14" t="s">
        <v>39</v>
      </c>
      <c r="B292" s="11">
        <v>20789</v>
      </c>
      <c r="C292" s="11">
        <v>33080</v>
      </c>
      <c r="D292" s="11">
        <v>38109</v>
      </c>
      <c r="E292" s="11">
        <v>57090</v>
      </c>
      <c r="F292" s="11">
        <v>60837</v>
      </c>
    </row>
    <row r="293" spans="1:6">
      <c r="A293" s="14" t="s">
        <v>40</v>
      </c>
      <c r="B293" s="11">
        <v>45122</v>
      </c>
      <c r="C293" s="11">
        <v>48820</v>
      </c>
      <c r="D293" s="11">
        <v>53281</v>
      </c>
      <c r="E293" s="11">
        <v>54970</v>
      </c>
      <c r="F293" s="11">
        <v>75449</v>
      </c>
    </row>
    <row r="294" spans="1:6">
      <c r="A294" s="14" t="s">
        <v>41</v>
      </c>
      <c r="B294" s="11">
        <v>50318</v>
      </c>
      <c r="C294" s="11">
        <v>70718</v>
      </c>
      <c r="D294" s="11">
        <v>75428</v>
      </c>
      <c r="E294" s="11">
        <v>74238</v>
      </c>
      <c r="F294" s="11">
        <v>90764</v>
      </c>
    </row>
    <row r="295" spans="1:6">
      <c r="A295" s="14" t="s">
        <v>43</v>
      </c>
      <c r="B295" s="11">
        <v>3071431</v>
      </c>
      <c r="C295" s="11">
        <v>3414823</v>
      </c>
      <c r="D295" s="11">
        <v>4099038</v>
      </c>
      <c r="E295" s="11">
        <v>4327413</v>
      </c>
      <c r="F295" s="11">
        <v>5768114</v>
      </c>
    </row>
    <row r="296" spans="1:6">
      <c r="A296" s="14" t="s">
        <v>44</v>
      </c>
      <c r="B296" s="11">
        <v>47514</v>
      </c>
      <c r="C296" s="11">
        <v>51794</v>
      </c>
      <c r="D296" s="11">
        <v>430330</v>
      </c>
      <c r="E296" s="11">
        <v>479329</v>
      </c>
      <c r="F296" s="11">
        <v>546693</v>
      </c>
    </row>
    <row r="297" spans="1:6">
      <c r="A297" s="14" t="s">
        <v>45</v>
      </c>
      <c r="B297" s="11">
        <v>233553</v>
      </c>
      <c r="C297" s="11">
        <v>226571</v>
      </c>
      <c r="D297" s="11">
        <v>219589</v>
      </c>
      <c r="E297" s="11">
        <v>212607</v>
      </c>
      <c r="F297" s="11">
        <v>437464</v>
      </c>
    </row>
    <row r="298" spans="1:6">
      <c r="A298" s="14" t="s">
        <v>46</v>
      </c>
      <c r="B298" s="11">
        <v>76876</v>
      </c>
      <c r="C298" s="11">
        <v>155921</v>
      </c>
      <c r="D298" s="11">
        <v>61998</v>
      </c>
      <c r="E298" s="11">
        <v>71401</v>
      </c>
      <c r="F298" s="11">
        <v>56773</v>
      </c>
    </row>
    <row r="299" spans="1:6">
      <c r="A299" s="14" t="s">
        <v>48</v>
      </c>
      <c r="B299" s="11">
        <v>84644</v>
      </c>
      <c r="C299" s="11">
        <v>72752</v>
      </c>
      <c r="D299" s="11">
        <v>66369</v>
      </c>
      <c r="E299" s="11">
        <v>59620</v>
      </c>
      <c r="F299" s="11">
        <v>67626</v>
      </c>
    </row>
    <row r="300" spans="1:6">
      <c r="A300" s="14" t="s">
        <v>49</v>
      </c>
      <c r="B300" s="11">
        <v>86750</v>
      </c>
      <c r="C300" s="11">
        <v>90237</v>
      </c>
      <c r="D300" s="11">
        <v>84748</v>
      </c>
      <c r="E300" s="11">
        <v>106783</v>
      </c>
      <c r="F300" s="11">
        <v>168546</v>
      </c>
    </row>
    <row r="301" spans="1:6">
      <c r="A301" s="14" t="s">
        <v>50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</row>
    <row r="302" spans="1:6">
      <c r="A302" s="14" t="s">
        <v>51</v>
      </c>
      <c r="B302" s="11">
        <v>393563</v>
      </c>
      <c r="C302" s="11">
        <v>431721</v>
      </c>
      <c r="D302" s="11">
        <v>511625</v>
      </c>
      <c r="E302" s="11">
        <v>619739</v>
      </c>
      <c r="F302" s="11">
        <v>898941</v>
      </c>
    </row>
    <row r="303" spans="1:6">
      <c r="A303" s="14" t="s">
        <v>53</v>
      </c>
      <c r="B303" s="11">
        <v>1046904</v>
      </c>
      <c r="C303" s="11">
        <v>1035031</v>
      </c>
      <c r="D303" s="11">
        <v>1277529</v>
      </c>
      <c r="E303" s="11">
        <v>1015294</v>
      </c>
      <c r="F303" s="11">
        <v>1563014</v>
      </c>
    </row>
    <row r="304" spans="1:6">
      <c r="A304" s="14" t="s">
        <v>54</v>
      </c>
      <c r="B304" s="11">
        <v>129028</v>
      </c>
      <c r="C304" s="11">
        <v>130873</v>
      </c>
      <c r="D304" s="11">
        <v>39103</v>
      </c>
      <c r="E304" s="11">
        <v>0</v>
      </c>
      <c r="F304" s="11">
        <v>0</v>
      </c>
    </row>
    <row r="305" spans="1:6">
      <c r="A305" s="14" t="s">
        <v>55</v>
      </c>
      <c r="B305" s="11">
        <v>0</v>
      </c>
      <c r="C305" s="11">
        <v>0</v>
      </c>
      <c r="D305" s="11">
        <v>91630</v>
      </c>
      <c r="E305" s="11">
        <v>20241</v>
      </c>
      <c r="F305" s="11">
        <v>63036</v>
      </c>
    </row>
    <row r="306" spans="1:6">
      <c r="A306" s="14" t="s">
        <v>57</v>
      </c>
      <c r="B306" s="11">
        <v>0</v>
      </c>
      <c r="C306" s="11">
        <v>0</v>
      </c>
      <c r="D306" s="11">
        <v>0</v>
      </c>
      <c r="E306" s="11">
        <v>0</v>
      </c>
      <c r="F306" s="11">
        <v>132684</v>
      </c>
    </row>
    <row r="307" spans="1:6">
      <c r="A307" s="14" t="s">
        <v>58</v>
      </c>
      <c r="B307" s="11">
        <v>0</v>
      </c>
      <c r="C307" s="11">
        <v>0</v>
      </c>
      <c r="D307" s="11">
        <v>0</v>
      </c>
      <c r="E307" s="11">
        <v>0</v>
      </c>
      <c r="F307" s="11">
        <v>0</v>
      </c>
    </row>
    <row r="308" spans="1:6">
      <c r="A308" s="14" t="s">
        <v>59</v>
      </c>
      <c r="B308" s="11">
        <v>538345</v>
      </c>
      <c r="C308" s="11">
        <v>592733</v>
      </c>
      <c r="D308" s="11">
        <v>823103</v>
      </c>
      <c r="E308" s="11">
        <v>873885</v>
      </c>
      <c r="F308" s="11">
        <v>905848</v>
      </c>
    </row>
    <row r="309" spans="1:6">
      <c r="A309" s="14" t="s">
        <v>60</v>
      </c>
      <c r="B309" s="11">
        <v>1390589</v>
      </c>
      <c r="C309" s="11">
        <v>1752140</v>
      </c>
      <c r="D309" s="11">
        <v>2207781</v>
      </c>
      <c r="E309" s="11">
        <v>2731213</v>
      </c>
      <c r="F309" s="11">
        <v>3379628</v>
      </c>
    </row>
    <row r="310" spans="1:6">
      <c r="A310" s="16" t="s">
        <v>83</v>
      </c>
      <c r="B310" s="11"/>
      <c r="C310" s="11">
        <v>85098</v>
      </c>
      <c r="D310" s="11">
        <v>103877</v>
      </c>
      <c r="E310" s="11">
        <v>130456</v>
      </c>
      <c r="F310" s="11">
        <v>178458</v>
      </c>
    </row>
    <row r="314" spans="1:7">
      <c r="A314" s="17" t="s">
        <v>10</v>
      </c>
      <c r="B314" s="11" t="s">
        <v>463</v>
      </c>
      <c r="C314" s="11"/>
      <c r="D314" s="11" t="s">
        <v>464</v>
      </c>
      <c r="E314" s="15"/>
      <c r="F314" s="15">
        <v>3634</v>
      </c>
      <c r="G314" s="9" t="s">
        <v>451</v>
      </c>
    </row>
    <row r="315" spans="1:6">
      <c r="A315" s="10" t="s">
        <v>448</v>
      </c>
      <c r="B315" s="11">
        <v>11352</v>
      </c>
      <c r="C315" s="11"/>
      <c r="D315" s="11"/>
      <c r="E315" s="11"/>
      <c r="F315" s="11"/>
    </row>
    <row r="316" spans="1:6">
      <c r="A316" s="12" t="s">
        <v>16</v>
      </c>
      <c r="B316" s="13">
        <v>33783</v>
      </c>
      <c r="C316" s="13">
        <v>34148</v>
      </c>
      <c r="D316" s="13">
        <v>34512</v>
      </c>
      <c r="E316" s="13">
        <v>34875</v>
      </c>
      <c r="F316" s="13">
        <v>35246</v>
      </c>
    </row>
    <row r="317" spans="1:6">
      <c r="A317" s="14" t="s">
        <v>18</v>
      </c>
      <c r="B317" s="11">
        <v>99202</v>
      </c>
      <c r="C317" s="11">
        <v>182806</v>
      </c>
      <c r="D317" s="11">
        <v>305599</v>
      </c>
      <c r="E317" s="11">
        <v>506116</v>
      </c>
      <c r="F317" s="11">
        <v>837302</v>
      </c>
    </row>
    <row r="318" spans="1:6">
      <c r="A318" s="14" t="s">
        <v>19</v>
      </c>
      <c r="B318" s="11">
        <v>-72780</v>
      </c>
      <c r="C318" s="11">
        <v>-129399</v>
      </c>
      <c r="D318" s="11">
        <v>-191703</v>
      </c>
      <c r="E318" s="11">
        <v>-307147</v>
      </c>
      <c r="F318" s="11">
        <v>-504889</v>
      </c>
    </row>
    <row r="319" spans="1:6">
      <c r="A319" s="14" t="s">
        <v>21</v>
      </c>
      <c r="B319" s="11">
        <v>0</v>
      </c>
      <c r="C319" s="11">
        <v>0</v>
      </c>
      <c r="D319" s="11">
        <v>0</v>
      </c>
      <c r="E319" s="11">
        <v>0</v>
      </c>
      <c r="F319" s="11">
        <v>0</v>
      </c>
    </row>
    <row r="320" spans="1:6">
      <c r="A320" s="14" t="s">
        <v>22</v>
      </c>
      <c r="B320" s="11">
        <v>-21343</v>
      </c>
      <c r="C320" s="11">
        <v>-42944</v>
      </c>
      <c r="D320" s="11">
        <v>-84216</v>
      </c>
      <c r="E320" s="11">
        <v>-129588</v>
      </c>
      <c r="F320" s="11">
        <v>-156749</v>
      </c>
    </row>
    <row r="321" spans="1:6">
      <c r="A321" s="14" t="s">
        <v>24</v>
      </c>
      <c r="B321" s="11">
        <v>0</v>
      </c>
      <c r="C321" s="11">
        <v>0</v>
      </c>
      <c r="D321" s="11">
        <v>0</v>
      </c>
      <c r="E321" s="11">
        <v>0</v>
      </c>
      <c r="F321" s="11">
        <v>0</v>
      </c>
    </row>
    <row r="322" spans="1:6">
      <c r="A322" s="14" t="s">
        <v>82</v>
      </c>
      <c r="B322" s="11">
        <v>-3934</v>
      </c>
      <c r="C322" s="11">
        <v>-4063</v>
      </c>
      <c r="D322" s="11">
        <v>-5333</v>
      </c>
      <c r="E322" s="11">
        <v>-15518</v>
      </c>
      <c r="F322" s="11">
        <v>-28761</v>
      </c>
    </row>
    <row r="323" spans="1:6">
      <c r="A323" s="14" t="s">
        <v>27</v>
      </c>
      <c r="B323" s="11">
        <v>0</v>
      </c>
      <c r="C323" s="11">
        <v>0</v>
      </c>
      <c r="D323" s="11">
        <v>7839</v>
      </c>
      <c r="E323" s="11">
        <v>0</v>
      </c>
      <c r="F323" s="11">
        <v>0</v>
      </c>
    </row>
    <row r="324" spans="1:6">
      <c r="A324" s="14" t="s">
        <v>29</v>
      </c>
      <c r="B324" s="11">
        <v>3450</v>
      </c>
      <c r="C324" s="11">
        <v>-2001</v>
      </c>
      <c r="D324" s="11">
        <v>-12205</v>
      </c>
      <c r="E324" s="11">
        <v>-19320</v>
      </c>
      <c r="F324" s="11">
        <v>-55087</v>
      </c>
    </row>
    <row r="325" spans="1:6">
      <c r="A325" s="14" t="s">
        <v>33</v>
      </c>
      <c r="B325" s="11">
        <v>0</v>
      </c>
      <c r="C325" s="11">
        <v>0</v>
      </c>
      <c r="D325" s="11">
        <v>0</v>
      </c>
      <c r="E325" s="11">
        <v>0</v>
      </c>
      <c r="F325" s="11">
        <v>0</v>
      </c>
    </row>
    <row r="326" spans="1:6">
      <c r="A326" s="14" t="s">
        <v>30</v>
      </c>
      <c r="B326" s="11">
        <v>0</v>
      </c>
      <c r="C326" s="11">
        <v>0</v>
      </c>
      <c r="D326" s="11">
        <v>0</v>
      </c>
      <c r="E326" s="11">
        <v>0</v>
      </c>
      <c r="F326" s="11">
        <v>0</v>
      </c>
    </row>
    <row r="327" spans="1:6">
      <c r="A327" s="14" t="s">
        <v>32</v>
      </c>
      <c r="B327" s="11">
        <v>0</v>
      </c>
      <c r="C327" s="11">
        <v>0</v>
      </c>
      <c r="D327" s="11">
        <v>0</v>
      </c>
      <c r="E327" s="11">
        <v>0</v>
      </c>
      <c r="F327" s="11">
        <v>0</v>
      </c>
    </row>
    <row r="328" spans="1:6">
      <c r="A328" s="14" t="s">
        <v>34</v>
      </c>
      <c r="B328" s="11">
        <v>0</v>
      </c>
      <c r="C328" s="11">
        <v>0</v>
      </c>
      <c r="D328" s="11">
        <v>0</v>
      </c>
      <c r="E328" s="11">
        <v>0</v>
      </c>
      <c r="F328" s="11">
        <v>0</v>
      </c>
    </row>
    <row r="329" spans="1:6">
      <c r="A329" s="14" t="s">
        <v>38</v>
      </c>
      <c r="B329" s="11">
        <v>4</v>
      </c>
      <c r="C329" s="11">
        <v>2613</v>
      </c>
      <c r="D329" s="11">
        <v>661</v>
      </c>
      <c r="E329" s="11">
        <v>11240</v>
      </c>
      <c r="F329" s="11">
        <v>7606</v>
      </c>
    </row>
    <row r="330" spans="1:6">
      <c r="A330" s="14" t="s">
        <v>39</v>
      </c>
      <c r="B330" s="11">
        <v>15871</v>
      </c>
      <c r="C330" s="11">
        <v>25647</v>
      </c>
      <c r="D330" s="11">
        <v>43225</v>
      </c>
      <c r="E330" s="11">
        <v>96179</v>
      </c>
      <c r="F330" s="11">
        <v>129850</v>
      </c>
    </row>
    <row r="331" spans="1:6">
      <c r="A331" s="14" t="s">
        <v>40</v>
      </c>
      <c r="B331" s="11">
        <v>28288</v>
      </c>
      <c r="C331" s="11">
        <v>41968</v>
      </c>
      <c r="D331" s="11">
        <v>76506</v>
      </c>
      <c r="E331" s="11">
        <v>144124</v>
      </c>
      <c r="F331" s="11">
        <v>219230</v>
      </c>
    </row>
    <row r="332" spans="1:6">
      <c r="A332" s="14" t="s">
        <v>41</v>
      </c>
      <c r="B332" s="11">
        <v>3883</v>
      </c>
      <c r="C332" s="11">
        <v>6556</v>
      </c>
      <c r="D332" s="11">
        <v>7545</v>
      </c>
      <c r="E332" s="11">
        <v>9484</v>
      </c>
      <c r="F332" s="11">
        <v>13859</v>
      </c>
    </row>
    <row r="333" spans="1:6">
      <c r="A333" s="14" t="s">
        <v>43</v>
      </c>
      <c r="B333" s="11">
        <v>6232</v>
      </c>
      <c r="C333" s="11">
        <v>8316</v>
      </c>
      <c r="D333" s="11">
        <v>8315</v>
      </c>
      <c r="E333" s="11">
        <v>24651</v>
      </c>
      <c r="F333" s="11">
        <v>34643</v>
      </c>
    </row>
    <row r="334" spans="1:6">
      <c r="A334" s="14" t="s">
        <v>44</v>
      </c>
      <c r="B334" s="11">
        <v>0</v>
      </c>
      <c r="C334" s="11">
        <v>12157</v>
      </c>
      <c r="D334" s="11">
        <v>0</v>
      </c>
      <c r="E334" s="11">
        <v>0</v>
      </c>
      <c r="F334" s="11">
        <v>0</v>
      </c>
    </row>
    <row r="335" spans="1:6">
      <c r="A335" s="14" t="s">
        <v>45</v>
      </c>
      <c r="B335" s="11">
        <v>3671</v>
      </c>
      <c r="C335" s="11">
        <v>4880</v>
      </c>
      <c r="D335" s="11">
        <v>5145</v>
      </c>
      <c r="E335" s="11">
        <v>42638</v>
      </c>
      <c r="F335" s="11">
        <v>159088</v>
      </c>
    </row>
    <row r="336" spans="1:6">
      <c r="A336" s="14" t="s">
        <v>46</v>
      </c>
      <c r="B336" s="11">
        <v>1532</v>
      </c>
      <c r="C336" s="11">
        <v>206</v>
      </c>
      <c r="D336" s="11">
        <v>0</v>
      </c>
      <c r="E336" s="11">
        <v>0</v>
      </c>
      <c r="F336" s="11">
        <v>0</v>
      </c>
    </row>
    <row r="337" spans="1:6">
      <c r="A337" s="14" t="s">
        <v>48</v>
      </c>
      <c r="B337" s="11">
        <v>24512</v>
      </c>
      <c r="C337" s="11">
        <v>38477</v>
      </c>
      <c r="D337" s="11">
        <v>50475</v>
      </c>
      <c r="E337" s="11">
        <v>32229</v>
      </c>
      <c r="F337" s="11">
        <v>112155</v>
      </c>
    </row>
    <row r="338" spans="1:6">
      <c r="A338" s="14" t="s">
        <v>49</v>
      </c>
      <c r="B338" s="11">
        <v>10057</v>
      </c>
      <c r="C338" s="11">
        <v>17361</v>
      </c>
      <c r="D338" s="11">
        <v>18960</v>
      </c>
      <c r="E338" s="11">
        <v>40997</v>
      </c>
      <c r="F338" s="11">
        <v>35113</v>
      </c>
    </row>
    <row r="339" spans="1:6">
      <c r="A339" s="14" t="s">
        <v>50</v>
      </c>
      <c r="B339" s="11">
        <v>0</v>
      </c>
      <c r="C339" s="11">
        <v>0</v>
      </c>
      <c r="D339" s="11">
        <v>6499</v>
      </c>
      <c r="E339" s="11">
        <v>0</v>
      </c>
      <c r="F339" s="11">
        <v>4578</v>
      </c>
    </row>
    <row r="340" spans="1:6">
      <c r="A340" s="14" t="s">
        <v>51</v>
      </c>
      <c r="B340" s="11">
        <v>1233</v>
      </c>
      <c r="C340" s="11">
        <v>2950</v>
      </c>
      <c r="D340" s="11">
        <v>7235</v>
      </c>
      <c r="E340" s="11">
        <v>21865</v>
      </c>
      <c r="F340" s="11">
        <v>21028</v>
      </c>
    </row>
    <row r="341" spans="1:6">
      <c r="A341" s="14" t="s">
        <v>53</v>
      </c>
      <c r="B341" s="11">
        <v>3754</v>
      </c>
      <c r="C341" s="11">
        <v>4933</v>
      </c>
      <c r="D341" s="11">
        <v>0</v>
      </c>
      <c r="E341" s="11">
        <v>182329</v>
      </c>
      <c r="F341" s="11">
        <v>215065</v>
      </c>
    </row>
    <row r="342" spans="1:6">
      <c r="A342" s="14" t="s">
        <v>54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</row>
    <row r="343" spans="1:6">
      <c r="A343" s="14" t="s">
        <v>55</v>
      </c>
      <c r="B343" s="11">
        <v>0</v>
      </c>
      <c r="C343" s="11">
        <v>0</v>
      </c>
      <c r="D343" s="11">
        <v>517</v>
      </c>
      <c r="E343" s="11">
        <v>157</v>
      </c>
      <c r="F343" s="11">
        <v>2529</v>
      </c>
    </row>
    <row r="344" spans="1:6">
      <c r="A344" s="14" t="s">
        <v>57</v>
      </c>
      <c r="B344" s="11">
        <v>0</v>
      </c>
      <c r="C344" s="11">
        <v>0</v>
      </c>
      <c r="D344" s="11">
        <v>0</v>
      </c>
      <c r="E344" s="11">
        <v>0</v>
      </c>
      <c r="F344" s="11">
        <v>0</v>
      </c>
    </row>
    <row r="345" spans="1:6">
      <c r="A345" s="14" t="s">
        <v>58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</row>
    <row r="346" spans="1:6">
      <c r="A346" s="14" t="s">
        <v>59</v>
      </c>
      <c r="B346" s="11">
        <v>29358</v>
      </c>
      <c r="C346" s="11">
        <v>43656</v>
      </c>
      <c r="D346" s="11">
        <v>42764</v>
      </c>
      <c r="E346" s="11">
        <v>1249</v>
      </c>
      <c r="F346" s="11">
        <v>32502</v>
      </c>
    </row>
    <row r="347" spans="1:6">
      <c r="A347" s="14" t="s">
        <v>60</v>
      </c>
      <c r="B347" s="11">
        <v>-9433</v>
      </c>
      <c r="C347" s="11">
        <v>-5034</v>
      </c>
      <c r="D347" s="11">
        <v>14947</v>
      </c>
      <c r="E347" s="11">
        <v>49490</v>
      </c>
      <c r="F347" s="11">
        <v>141306</v>
      </c>
    </row>
    <row r="348" spans="1:6">
      <c r="A348" s="16" t="s">
        <v>83</v>
      </c>
      <c r="B348" s="11"/>
      <c r="C348" s="11">
        <v>0</v>
      </c>
      <c r="D348" s="11">
        <v>0</v>
      </c>
      <c r="E348" s="11">
        <v>0</v>
      </c>
      <c r="F348" s="11">
        <v>0</v>
      </c>
    </row>
    <row r="352" spans="1:7">
      <c r="A352" s="17" t="s">
        <v>10</v>
      </c>
      <c r="B352" s="11" t="s">
        <v>465</v>
      </c>
      <c r="C352" s="11"/>
      <c r="D352" s="11" t="s">
        <v>466</v>
      </c>
      <c r="E352" s="15"/>
      <c r="F352" s="15">
        <v>7830</v>
      </c>
      <c r="G352" s="9" t="s">
        <v>451</v>
      </c>
    </row>
    <row r="353" spans="1:6">
      <c r="A353" s="10" t="s">
        <v>448</v>
      </c>
      <c r="B353" s="11">
        <v>23469</v>
      </c>
      <c r="C353" s="11"/>
      <c r="D353" s="11"/>
      <c r="E353" s="11"/>
      <c r="F353" s="11"/>
    </row>
    <row r="354" spans="1:6">
      <c r="A354" s="12" t="s">
        <v>16</v>
      </c>
      <c r="B354" s="13">
        <v>33327</v>
      </c>
      <c r="C354" s="13">
        <v>33690</v>
      </c>
      <c r="D354" s="13">
        <v>34061</v>
      </c>
      <c r="E354" s="13">
        <v>34425</v>
      </c>
      <c r="F354" s="13">
        <v>34789</v>
      </c>
    </row>
    <row r="355" spans="1:6">
      <c r="A355" s="14" t="s">
        <v>18</v>
      </c>
      <c r="B355" s="11">
        <v>564664</v>
      </c>
      <c r="C355" s="11">
        <v>657872</v>
      </c>
      <c r="D355" s="11">
        <v>752904</v>
      </c>
      <c r="E355" s="11">
        <v>852755</v>
      </c>
      <c r="F355" s="11">
        <v>1026721</v>
      </c>
    </row>
    <row r="356" spans="1:6">
      <c r="A356" s="14" t="s">
        <v>19</v>
      </c>
      <c r="B356" s="11">
        <v>-209122</v>
      </c>
      <c r="C356" s="11">
        <v>-247740</v>
      </c>
      <c r="D356" s="11">
        <v>-295557</v>
      </c>
      <c r="E356" s="11">
        <v>-341988</v>
      </c>
      <c r="F356" s="11">
        <v>-407124</v>
      </c>
    </row>
    <row r="357" spans="1:6">
      <c r="A357" s="14" t="s">
        <v>21</v>
      </c>
      <c r="B357" s="11">
        <v>0</v>
      </c>
      <c r="C357" s="11">
        <v>0</v>
      </c>
      <c r="D357" s="11">
        <v>0</v>
      </c>
      <c r="E357" s="11">
        <v>0</v>
      </c>
      <c r="F357" s="11">
        <v>0</v>
      </c>
    </row>
    <row r="358" spans="1:6">
      <c r="A358" s="14" t="s">
        <v>22</v>
      </c>
      <c r="B358" s="11">
        <v>-266600</v>
      </c>
      <c r="C358" s="11">
        <v>-297577</v>
      </c>
      <c r="D358" s="11">
        <v>-344399</v>
      </c>
      <c r="E358" s="11">
        <v>-403866</v>
      </c>
      <c r="F358" s="11">
        <v>-517066</v>
      </c>
    </row>
    <row r="359" spans="1:6">
      <c r="A359" s="14" t="s">
        <v>24</v>
      </c>
      <c r="B359" s="11">
        <v>-37913</v>
      </c>
      <c r="C359" s="11">
        <v>-43886</v>
      </c>
      <c r="D359" s="11">
        <v>-52572</v>
      </c>
      <c r="E359" s="11">
        <v>-70117</v>
      </c>
      <c r="F359" s="11">
        <v>-89221</v>
      </c>
    </row>
    <row r="360" spans="1:6">
      <c r="A360" s="14" t="s">
        <v>82</v>
      </c>
      <c r="B360" s="11">
        <v>-35908</v>
      </c>
      <c r="C360" s="11">
        <v>-28828</v>
      </c>
      <c r="D360" s="11">
        <v>-22022</v>
      </c>
      <c r="E360" s="11">
        <v>-35679</v>
      </c>
      <c r="F360" s="11">
        <v>-38628</v>
      </c>
    </row>
    <row r="361" spans="1:6">
      <c r="A361" s="14" t="s">
        <v>27</v>
      </c>
      <c r="B361" s="11">
        <v>9857</v>
      </c>
      <c r="C361" s="11">
        <v>6830</v>
      </c>
      <c r="D361" s="11">
        <v>-6459</v>
      </c>
      <c r="E361" s="11">
        <v>-42204</v>
      </c>
      <c r="F361" s="11">
        <v>-1198</v>
      </c>
    </row>
    <row r="362" spans="1:6">
      <c r="A362" s="14" t="s">
        <v>29</v>
      </c>
      <c r="B362" s="11">
        <v>9000</v>
      </c>
      <c r="C362" s="11">
        <v>-19300</v>
      </c>
      <c r="D362" s="11">
        <v>-12900</v>
      </c>
      <c r="E362" s="11">
        <v>16600</v>
      </c>
      <c r="F362" s="11">
        <v>10500</v>
      </c>
    </row>
    <row r="363" spans="1:6">
      <c r="A363" s="14" t="s">
        <v>33</v>
      </c>
      <c r="B363" s="11">
        <v>0</v>
      </c>
      <c r="C363" s="11">
        <v>0</v>
      </c>
      <c r="D363" s="11">
        <v>0</v>
      </c>
      <c r="E363" s="11">
        <v>0</v>
      </c>
      <c r="F363" s="11">
        <v>0</v>
      </c>
    </row>
    <row r="364" spans="1:6">
      <c r="A364" s="14" t="s">
        <v>30</v>
      </c>
      <c r="B364" s="11">
        <v>0</v>
      </c>
      <c r="C364" s="11">
        <v>0</v>
      </c>
      <c r="D364" s="11">
        <v>0</v>
      </c>
      <c r="E364" s="11">
        <v>0</v>
      </c>
      <c r="F364" s="11">
        <v>0</v>
      </c>
    </row>
    <row r="365" spans="1:6">
      <c r="A365" s="14" t="s">
        <v>32</v>
      </c>
      <c r="B365" s="11">
        <v>0</v>
      </c>
      <c r="C365" s="11">
        <v>-19350</v>
      </c>
      <c r="D365" s="11">
        <v>0</v>
      </c>
      <c r="E365" s="11">
        <v>0</v>
      </c>
      <c r="F365" s="11">
        <v>0</v>
      </c>
    </row>
    <row r="366" spans="1:6">
      <c r="A366" s="14" t="s">
        <v>34</v>
      </c>
      <c r="B366" s="11">
        <v>0</v>
      </c>
      <c r="C366" s="11">
        <v>0</v>
      </c>
      <c r="D366" s="11">
        <v>0</v>
      </c>
      <c r="E366" s="11">
        <v>0</v>
      </c>
      <c r="F366" s="11">
        <v>0</v>
      </c>
    </row>
    <row r="367" spans="1:6">
      <c r="A367" s="14" t="s">
        <v>38</v>
      </c>
      <c r="B367" s="11">
        <v>140377</v>
      </c>
      <c r="C367" s="11">
        <v>10795</v>
      </c>
      <c r="D367" s="11">
        <v>24715</v>
      </c>
      <c r="E367" s="11">
        <v>9881</v>
      </c>
      <c r="F367" s="11">
        <v>13239</v>
      </c>
    </row>
    <row r="368" spans="1:6">
      <c r="A368" s="14" t="s">
        <v>39</v>
      </c>
      <c r="B368" s="11">
        <v>8572</v>
      </c>
      <c r="C368" s="11">
        <v>20503</v>
      </c>
      <c r="D368" s="11">
        <v>9837</v>
      </c>
      <c r="E368" s="11">
        <v>13018</v>
      </c>
      <c r="F368" s="11">
        <v>18325</v>
      </c>
    </row>
    <row r="369" spans="1:6">
      <c r="A369" s="14" t="s">
        <v>40</v>
      </c>
      <c r="B369" s="11">
        <v>0</v>
      </c>
      <c r="C369" s="11">
        <v>0</v>
      </c>
      <c r="D369" s="11">
        <v>0</v>
      </c>
      <c r="E369" s="11">
        <v>0</v>
      </c>
      <c r="F369" s="11">
        <v>0</v>
      </c>
    </row>
    <row r="370" spans="1:6">
      <c r="A370" s="14" t="s">
        <v>41</v>
      </c>
      <c r="B370" s="11">
        <v>12069</v>
      </c>
      <c r="C370" s="11">
        <v>15179</v>
      </c>
      <c r="D370" s="11">
        <v>49962</v>
      </c>
      <c r="E370" s="11">
        <v>84224</v>
      </c>
      <c r="F370" s="11">
        <v>71024</v>
      </c>
    </row>
    <row r="371" spans="1:6">
      <c r="A371" s="14" t="s">
        <v>43</v>
      </c>
      <c r="B371" s="11">
        <v>279904</v>
      </c>
      <c r="C371" s="11">
        <v>355485</v>
      </c>
      <c r="D371" s="11">
        <v>543058</v>
      </c>
      <c r="E371" s="11">
        <v>562158</v>
      </c>
      <c r="F371" s="11">
        <v>726025</v>
      </c>
    </row>
    <row r="372" spans="1:6">
      <c r="A372" s="14" t="s">
        <v>44</v>
      </c>
      <c r="B372" s="11">
        <v>0</v>
      </c>
      <c r="C372" s="11">
        <v>0</v>
      </c>
      <c r="D372" s="11">
        <v>0</v>
      </c>
      <c r="E372" s="11">
        <v>0</v>
      </c>
      <c r="F372" s="11">
        <v>0</v>
      </c>
    </row>
    <row r="373" spans="1:6">
      <c r="A373" s="14" t="s">
        <v>45</v>
      </c>
      <c r="B373" s="11">
        <v>42926</v>
      </c>
      <c r="C373" s="11">
        <v>36483</v>
      </c>
      <c r="D373" s="11">
        <v>28679</v>
      </c>
      <c r="E373" s="11">
        <v>22066</v>
      </c>
      <c r="F373" s="11">
        <v>18723</v>
      </c>
    </row>
    <row r="374" spans="1:6">
      <c r="A374" s="14" t="s">
        <v>46</v>
      </c>
      <c r="B374" s="11">
        <v>38306</v>
      </c>
      <c r="C374" s="11">
        <v>45013</v>
      </c>
      <c r="D374" s="11">
        <v>62804</v>
      </c>
      <c r="E374" s="11">
        <v>104433</v>
      </c>
      <c r="F374" s="11">
        <v>128394</v>
      </c>
    </row>
    <row r="375" spans="1:6">
      <c r="A375" s="14" t="s">
        <v>48</v>
      </c>
      <c r="B375" s="11">
        <v>2516</v>
      </c>
      <c r="C375" s="11">
        <v>2904</v>
      </c>
      <c r="D375" s="11">
        <v>3441</v>
      </c>
      <c r="E375" s="11">
        <v>4017</v>
      </c>
      <c r="F375" s="11">
        <v>18017</v>
      </c>
    </row>
    <row r="376" spans="1:6">
      <c r="A376" s="14" t="s">
        <v>49</v>
      </c>
      <c r="B376" s="11">
        <v>29047</v>
      </c>
      <c r="C376" s="11">
        <v>64353</v>
      </c>
      <c r="D376" s="11">
        <v>61876</v>
      </c>
      <c r="E376" s="11">
        <v>72633</v>
      </c>
      <c r="F376" s="11">
        <v>69381</v>
      </c>
    </row>
    <row r="377" spans="1:6">
      <c r="A377" s="14" t="s">
        <v>50</v>
      </c>
      <c r="B377" s="11">
        <v>0</v>
      </c>
      <c r="C377" s="11">
        <v>0</v>
      </c>
      <c r="D377" s="11">
        <v>0</v>
      </c>
      <c r="E377" s="11">
        <v>0</v>
      </c>
      <c r="F377" s="11">
        <v>0</v>
      </c>
    </row>
    <row r="378" spans="1:6">
      <c r="A378" s="14" t="s">
        <v>51</v>
      </c>
      <c r="B378" s="11">
        <v>33794</v>
      </c>
      <c r="C378" s="11">
        <v>38319</v>
      </c>
      <c r="D378" s="11">
        <v>69792</v>
      </c>
      <c r="E378" s="11">
        <v>97186</v>
      </c>
      <c r="F378" s="11">
        <v>101658</v>
      </c>
    </row>
    <row r="379" spans="1:6">
      <c r="A379" s="14" t="s">
        <v>53</v>
      </c>
      <c r="B379" s="11">
        <v>264988</v>
      </c>
      <c r="C379" s="11">
        <v>185268</v>
      </c>
      <c r="D379" s="11">
        <v>370283</v>
      </c>
      <c r="E379" s="11">
        <v>399595</v>
      </c>
      <c r="F379" s="11">
        <v>591603</v>
      </c>
    </row>
    <row r="380" spans="1:6">
      <c r="A380" s="14" t="s">
        <v>54</v>
      </c>
      <c r="B380" s="11">
        <v>34421</v>
      </c>
      <c r="C380" s="11">
        <v>33696</v>
      </c>
      <c r="D380" s="11">
        <v>43651</v>
      </c>
      <c r="E380" s="11">
        <v>82894</v>
      </c>
      <c r="F380" s="11">
        <v>79606</v>
      </c>
    </row>
    <row r="381" spans="1:6">
      <c r="A381" s="14" t="s">
        <v>55</v>
      </c>
      <c r="B381" s="11">
        <v>0</v>
      </c>
      <c r="C381" s="11">
        <v>0</v>
      </c>
      <c r="D381" s="11">
        <v>0</v>
      </c>
      <c r="E381" s="11">
        <v>0</v>
      </c>
      <c r="F381" s="11">
        <v>0</v>
      </c>
    </row>
    <row r="382" spans="1:6">
      <c r="A382" s="14" t="s">
        <v>57</v>
      </c>
      <c r="B382" s="11">
        <v>0</v>
      </c>
      <c r="C382" s="11">
        <v>0</v>
      </c>
      <c r="D382" s="11">
        <v>0</v>
      </c>
      <c r="E382" s="11">
        <v>0</v>
      </c>
      <c r="F382" s="11">
        <v>0</v>
      </c>
    </row>
    <row r="383" spans="1:6">
      <c r="A383" s="14" t="s">
        <v>58</v>
      </c>
      <c r="B383" s="11">
        <v>2667</v>
      </c>
      <c r="C383" s="11">
        <v>2667</v>
      </c>
      <c r="D383" s="11">
        <v>2202</v>
      </c>
      <c r="E383" s="11">
        <v>1200</v>
      </c>
      <c r="F383" s="11">
        <v>0</v>
      </c>
    </row>
    <row r="384" spans="1:6">
      <c r="A384" s="14" t="s">
        <v>59</v>
      </c>
      <c r="B384" s="11">
        <v>118139</v>
      </c>
      <c r="C384" s="11">
        <v>118648</v>
      </c>
      <c r="D384" s="11">
        <v>117205</v>
      </c>
      <c r="E384" s="11">
        <v>117213</v>
      </c>
      <c r="F384" s="11">
        <v>110439</v>
      </c>
    </row>
    <row r="385" spans="1:6">
      <c r="A385" s="14" t="s">
        <v>60</v>
      </c>
      <c r="B385" s="11">
        <v>36582</v>
      </c>
      <c r="C385" s="11">
        <v>37603</v>
      </c>
      <c r="D385" s="11">
        <v>50605</v>
      </c>
      <c r="E385" s="11">
        <v>21042</v>
      </c>
      <c r="F385" s="11">
        <v>5026</v>
      </c>
    </row>
    <row r="386" spans="1:6">
      <c r="A386" s="16" t="s">
        <v>83</v>
      </c>
      <c r="B386" s="11"/>
      <c r="C386" s="11">
        <v>7000</v>
      </c>
      <c r="D386" s="11">
        <v>5993</v>
      </c>
      <c r="E386" s="11">
        <v>5064</v>
      </c>
      <c r="F386" s="11">
        <v>0</v>
      </c>
    </row>
    <row r="390" spans="1:7">
      <c r="A390" s="17" t="s">
        <v>10</v>
      </c>
      <c r="B390" s="11" t="s">
        <v>467</v>
      </c>
      <c r="C390" s="11"/>
      <c r="D390" s="11" t="s">
        <v>468</v>
      </c>
      <c r="E390" s="15"/>
      <c r="F390" s="15">
        <v>7830</v>
      </c>
      <c r="G390" s="9" t="s">
        <v>451</v>
      </c>
    </row>
    <row r="391" spans="1:6">
      <c r="A391" s="10" t="s">
        <v>448</v>
      </c>
      <c r="B391" s="11">
        <v>11363</v>
      </c>
      <c r="C391" s="11"/>
      <c r="D391" s="11"/>
      <c r="E391" s="11"/>
      <c r="F391" s="11"/>
    </row>
    <row r="392" spans="1:6">
      <c r="A392" s="12" t="s">
        <v>16</v>
      </c>
      <c r="B392" s="13">
        <v>33237</v>
      </c>
      <c r="C392" s="13">
        <v>33602</v>
      </c>
      <c r="D392" s="13">
        <v>33968</v>
      </c>
      <c r="E392" s="13">
        <v>34333</v>
      </c>
      <c r="F392" s="13">
        <v>34698</v>
      </c>
    </row>
    <row r="393" spans="1:6">
      <c r="A393" s="14" t="s">
        <v>18</v>
      </c>
      <c r="B393" s="11">
        <v>327619</v>
      </c>
      <c r="C393" s="11">
        <v>364749</v>
      </c>
      <c r="D393" s="11">
        <v>426726</v>
      </c>
      <c r="E393" s="11">
        <v>458598</v>
      </c>
      <c r="F393" s="11">
        <v>481568</v>
      </c>
    </row>
    <row r="394" spans="1:6">
      <c r="A394" s="14" t="s">
        <v>19</v>
      </c>
      <c r="B394" s="11">
        <v>-126930</v>
      </c>
      <c r="C394" s="11">
        <v>-150613</v>
      </c>
      <c r="D394" s="11">
        <v>-174220</v>
      </c>
      <c r="E394" s="11">
        <v>-188006</v>
      </c>
      <c r="F394" s="11">
        <v>-197665</v>
      </c>
    </row>
    <row r="395" spans="1:6">
      <c r="A395" s="14" t="s">
        <v>21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</row>
    <row r="396" spans="1:6">
      <c r="A396" s="14" t="s">
        <v>22</v>
      </c>
      <c r="B396" s="11">
        <v>-132918</v>
      </c>
      <c r="C396" s="11">
        <v>-149164</v>
      </c>
      <c r="D396" s="11">
        <v>-170108</v>
      </c>
      <c r="E396" s="11">
        <v>-181455</v>
      </c>
      <c r="F396" s="11">
        <v>-194985</v>
      </c>
    </row>
    <row r="397" spans="1:6">
      <c r="A397" s="14" t="s">
        <v>24</v>
      </c>
      <c r="B397" s="11">
        <v>-22544</v>
      </c>
      <c r="C397" s="11">
        <v>-27216</v>
      </c>
      <c r="D397" s="11">
        <v>-28408</v>
      </c>
      <c r="E397" s="11">
        <v>-33443</v>
      </c>
      <c r="F397" s="11">
        <v>-37502</v>
      </c>
    </row>
    <row r="398" spans="1:6">
      <c r="A398" s="14" t="s">
        <v>82</v>
      </c>
      <c r="B398" s="11">
        <v>-17028</v>
      </c>
      <c r="C398" s="11">
        <v>-16031</v>
      </c>
      <c r="D398" s="11">
        <v>-20289</v>
      </c>
      <c r="E398" s="11">
        <v>-23142</v>
      </c>
      <c r="F398" s="11">
        <v>-27230</v>
      </c>
    </row>
    <row r="399" spans="1:6">
      <c r="A399" s="14" t="s">
        <v>27</v>
      </c>
      <c r="B399" s="11">
        <v>0</v>
      </c>
      <c r="C399" s="11">
        <v>0</v>
      </c>
      <c r="D399" s="11">
        <v>-45447</v>
      </c>
      <c r="E399" s="11">
        <v>0</v>
      </c>
      <c r="F399" s="11">
        <v>-72999</v>
      </c>
    </row>
    <row r="400" spans="1:6">
      <c r="A400" s="14" t="s">
        <v>29</v>
      </c>
      <c r="B400" s="11">
        <v>-11246</v>
      </c>
      <c r="C400" s="11">
        <v>-8638</v>
      </c>
      <c r="D400" s="11">
        <v>4469</v>
      </c>
      <c r="E400" s="11">
        <v>-12366</v>
      </c>
      <c r="F400" s="11">
        <v>18166</v>
      </c>
    </row>
    <row r="401" spans="1:6">
      <c r="A401" s="14" t="s">
        <v>33</v>
      </c>
      <c r="B401" s="11">
        <v>0</v>
      </c>
      <c r="C401" s="11">
        <v>0</v>
      </c>
      <c r="D401" s="11">
        <v>0</v>
      </c>
      <c r="E401" s="11">
        <v>0</v>
      </c>
      <c r="F401" s="11">
        <v>0</v>
      </c>
    </row>
    <row r="402" spans="1:6">
      <c r="A402" s="14" t="s">
        <v>30</v>
      </c>
      <c r="B402" s="11">
        <v>0</v>
      </c>
      <c r="C402" s="11">
        <v>0</v>
      </c>
      <c r="D402" s="11">
        <v>0</v>
      </c>
      <c r="E402" s="11">
        <v>0</v>
      </c>
      <c r="F402" s="11">
        <v>0</v>
      </c>
    </row>
    <row r="403" spans="1:6">
      <c r="A403" s="14" t="s">
        <v>32</v>
      </c>
      <c r="B403" s="11">
        <v>0</v>
      </c>
      <c r="C403" s="11">
        <v>0</v>
      </c>
      <c r="D403" s="11">
        <v>0</v>
      </c>
      <c r="E403" s="11">
        <v>0</v>
      </c>
      <c r="F403" s="11">
        <v>0</v>
      </c>
    </row>
    <row r="404" spans="1:6">
      <c r="A404" s="14" t="s">
        <v>34</v>
      </c>
      <c r="B404" s="11">
        <v>0</v>
      </c>
      <c r="C404" s="11">
        <v>0</v>
      </c>
      <c r="D404" s="11">
        <v>0</v>
      </c>
      <c r="E404" s="11">
        <v>0</v>
      </c>
      <c r="F404" s="11">
        <v>0</v>
      </c>
    </row>
    <row r="405" spans="1:6">
      <c r="A405" s="14" t="s">
        <v>38</v>
      </c>
      <c r="B405" s="11">
        <v>22687</v>
      </c>
      <c r="C405" s="11">
        <v>18847</v>
      </c>
      <c r="D405" s="11">
        <v>13295</v>
      </c>
      <c r="E405" s="11">
        <v>19587</v>
      </c>
      <c r="F405" s="11">
        <v>18572</v>
      </c>
    </row>
    <row r="406" spans="1:6">
      <c r="A406" s="14" t="s">
        <v>39</v>
      </c>
      <c r="B406" s="11">
        <v>3814</v>
      </c>
      <c r="C406" s="11">
        <v>12211</v>
      </c>
      <c r="D406" s="11">
        <v>4822</v>
      </c>
      <c r="E406" s="11">
        <v>758</v>
      </c>
      <c r="F406" s="11">
        <v>522</v>
      </c>
    </row>
    <row r="407" spans="1:6">
      <c r="A407" s="14" t="s">
        <v>40</v>
      </c>
      <c r="B407" s="11">
        <v>1939</v>
      </c>
      <c r="C407" s="11">
        <v>2936</v>
      </c>
      <c r="D407" s="11">
        <v>2631</v>
      </c>
      <c r="E407" s="11">
        <v>3082</v>
      </c>
      <c r="F407" s="11">
        <v>3851</v>
      </c>
    </row>
    <row r="408" spans="1:6">
      <c r="A408" s="14" t="s">
        <v>41</v>
      </c>
      <c r="B408" s="11">
        <v>5025</v>
      </c>
      <c r="C408" s="11">
        <v>5632</v>
      </c>
      <c r="D408" s="11">
        <v>5363</v>
      </c>
      <c r="E408" s="11">
        <v>7548</v>
      </c>
      <c r="F408" s="11">
        <v>5886</v>
      </c>
    </row>
    <row r="409" spans="1:6">
      <c r="A409" s="14" t="s">
        <v>43</v>
      </c>
      <c r="B409" s="11">
        <v>293971</v>
      </c>
      <c r="C409" s="11">
        <v>371851</v>
      </c>
      <c r="D409" s="11">
        <v>387915</v>
      </c>
      <c r="E409" s="11">
        <v>497056</v>
      </c>
      <c r="F409" s="11">
        <v>573612</v>
      </c>
    </row>
    <row r="410" spans="1:6">
      <c r="A410" s="14" t="s">
        <v>44</v>
      </c>
      <c r="B410" s="11">
        <v>4631</v>
      </c>
      <c r="C410" s="11">
        <v>4973</v>
      </c>
      <c r="D410" s="11">
        <v>10324</v>
      </c>
      <c r="E410" s="11">
        <v>14148</v>
      </c>
      <c r="F410" s="11">
        <v>20334</v>
      </c>
    </row>
    <row r="411" spans="1:6">
      <c r="A411" s="14" t="s">
        <v>45</v>
      </c>
      <c r="B411" s="11">
        <v>43156</v>
      </c>
      <c r="C411" s="11">
        <v>59231</v>
      </c>
      <c r="D411" s="11">
        <v>62608</v>
      </c>
      <c r="E411" s="11">
        <v>68149</v>
      </c>
      <c r="F411" s="11">
        <v>56954</v>
      </c>
    </row>
    <row r="412" spans="1:6">
      <c r="A412" s="14" t="s">
        <v>46</v>
      </c>
      <c r="B412" s="11">
        <v>2375</v>
      </c>
      <c r="C412" s="11">
        <v>2331</v>
      </c>
      <c r="D412" s="11">
        <v>2425</v>
      </c>
      <c r="E412" s="11">
        <v>9669</v>
      </c>
      <c r="F412" s="11">
        <v>17812</v>
      </c>
    </row>
    <row r="413" spans="1:6">
      <c r="A413" s="14" t="s">
        <v>48</v>
      </c>
      <c r="B413" s="11">
        <v>9352</v>
      </c>
      <c r="C413" s="11">
        <v>12205</v>
      </c>
      <c r="D413" s="11">
        <v>15026</v>
      </c>
      <c r="E413" s="11">
        <v>19077</v>
      </c>
      <c r="F413" s="11">
        <v>1290</v>
      </c>
    </row>
    <row r="414" spans="1:6">
      <c r="A414" s="14" t="s">
        <v>49</v>
      </c>
      <c r="B414" s="11">
        <v>23478</v>
      </c>
      <c r="C414" s="11">
        <v>24873</v>
      </c>
      <c r="D414" s="11">
        <v>21432</v>
      </c>
      <c r="E414" s="11">
        <v>26122</v>
      </c>
      <c r="F414" s="11">
        <v>45533</v>
      </c>
    </row>
    <row r="415" spans="1:6">
      <c r="A415" s="14" t="s">
        <v>50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</row>
    <row r="416" spans="1:6">
      <c r="A416" s="14" t="s">
        <v>51</v>
      </c>
      <c r="B416" s="11">
        <v>11327</v>
      </c>
      <c r="C416" s="11">
        <v>19102</v>
      </c>
      <c r="D416" s="11">
        <v>17240</v>
      </c>
      <c r="E416" s="11">
        <v>17833</v>
      </c>
      <c r="F416" s="11">
        <v>37842</v>
      </c>
    </row>
    <row r="417" spans="1:6">
      <c r="A417" s="14" t="s">
        <v>53</v>
      </c>
      <c r="B417" s="11">
        <v>143973</v>
      </c>
      <c r="C417" s="11">
        <v>218305</v>
      </c>
      <c r="D417" s="11">
        <v>253233</v>
      </c>
      <c r="E417" s="11">
        <v>341662</v>
      </c>
      <c r="F417" s="11">
        <v>350470</v>
      </c>
    </row>
    <row r="418" spans="1:6">
      <c r="A418" s="14" t="s">
        <v>54</v>
      </c>
      <c r="B418" s="11">
        <v>0</v>
      </c>
      <c r="C418" s="11">
        <v>0</v>
      </c>
      <c r="D418" s="11">
        <v>0</v>
      </c>
      <c r="E418" s="11">
        <v>0</v>
      </c>
      <c r="F418" s="11">
        <v>36099</v>
      </c>
    </row>
    <row r="419" spans="1:6">
      <c r="A419" s="14" t="s">
        <v>55</v>
      </c>
      <c r="B419" s="11">
        <v>17512</v>
      </c>
      <c r="C419" s="11">
        <v>18433</v>
      </c>
      <c r="D419" s="11">
        <v>4522</v>
      </c>
      <c r="E419" s="11">
        <v>12431</v>
      </c>
      <c r="F419" s="11">
        <v>0</v>
      </c>
    </row>
    <row r="420" spans="1:6">
      <c r="A420" s="14" t="s">
        <v>57</v>
      </c>
      <c r="B420" s="11">
        <v>0</v>
      </c>
      <c r="C420" s="11">
        <v>0</v>
      </c>
      <c r="D420" s="11">
        <v>0</v>
      </c>
      <c r="E420" s="11">
        <v>0</v>
      </c>
      <c r="F420" s="11">
        <v>0</v>
      </c>
    </row>
    <row r="421" spans="1:6">
      <c r="A421" s="14" t="s">
        <v>58</v>
      </c>
      <c r="B421" s="11">
        <v>0</v>
      </c>
      <c r="C421" s="11">
        <v>0</v>
      </c>
      <c r="D421" s="11">
        <v>0</v>
      </c>
      <c r="E421" s="11">
        <v>0</v>
      </c>
      <c r="F421" s="11">
        <v>550</v>
      </c>
    </row>
    <row r="422" spans="1:6">
      <c r="A422" s="14" t="s">
        <v>59</v>
      </c>
      <c r="B422" s="11">
        <v>100098</v>
      </c>
      <c r="C422" s="11">
        <v>100149</v>
      </c>
      <c r="D422" s="11">
        <v>100262</v>
      </c>
      <c r="E422" s="11">
        <v>105018</v>
      </c>
      <c r="F422" s="11">
        <v>158884</v>
      </c>
    </row>
    <row r="423" spans="1:6">
      <c r="A423" s="14" t="s">
        <v>60</v>
      </c>
      <c r="B423" s="11">
        <v>71858</v>
      </c>
      <c r="C423" s="11">
        <v>84945</v>
      </c>
      <c r="D423" s="11">
        <v>77668</v>
      </c>
      <c r="E423" s="11">
        <v>97854</v>
      </c>
      <c r="F423" s="11">
        <v>66875</v>
      </c>
    </row>
    <row r="424" spans="1:6">
      <c r="A424" s="16" t="s">
        <v>83</v>
      </c>
      <c r="B424" s="11"/>
      <c r="C424" s="11">
        <v>0</v>
      </c>
      <c r="D424" s="11">
        <v>0</v>
      </c>
      <c r="E424" s="11">
        <v>0</v>
      </c>
      <c r="F424" s="11">
        <v>0</v>
      </c>
    </row>
    <row r="428" spans="1:7">
      <c r="A428" s="17" t="s">
        <v>10</v>
      </c>
      <c r="B428" s="11" t="s">
        <v>469</v>
      </c>
      <c r="C428" s="11"/>
      <c r="D428" s="11" t="s">
        <v>470</v>
      </c>
      <c r="E428" s="15"/>
      <c r="F428" s="15">
        <v>5311</v>
      </c>
      <c r="G428" s="9" t="s">
        <v>451</v>
      </c>
    </row>
    <row r="429" spans="1:6">
      <c r="A429" s="10" t="s">
        <v>448</v>
      </c>
      <c r="B429" s="11">
        <v>307000</v>
      </c>
      <c r="C429" s="11"/>
      <c r="D429" s="11"/>
      <c r="E429" s="11"/>
      <c r="F429" s="11"/>
    </row>
    <row r="430" spans="1:6">
      <c r="A430" s="12" t="s">
        <v>16</v>
      </c>
      <c r="B430" s="13">
        <v>37286</v>
      </c>
      <c r="C430" s="13">
        <v>37651</v>
      </c>
      <c r="D430" s="13">
        <v>38016</v>
      </c>
      <c r="E430" s="13">
        <v>38382</v>
      </c>
      <c r="F430" s="13">
        <v>38747</v>
      </c>
    </row>
    <row r="431" spans="1:6">
      <c r="A431" s="14" t="s">
        <v>18</v>
      </c>
      <c r="B431" s="11">
        <v>13402217</v>
      </c>
      <c r="C431" s="11">
        <v>15544184</v>
      </c>
      <c r="D431" s="11">
        <v>16473734</v>
      </c>
      <c r="E431" s="11">
        <v>16389000</v>
      </c>
      <c r="F431" s="11">
        <v>17178000</v>
      </c>
    </row>
    <row r="432" spans="1:6">
      <c r="A432" s="14" t="s">
        <v>19</v>
      </c>
      <c r="B432" s="11">
        <v>-8670484</v>
      </c>
      <c r="C432" s="11">
        <v>-9890513</v>
      </c>
      <c r="D432" s="11">
        <v>-10459549</v>
      </c>
      <c r="E432" s="11">
        <v>-10334000</v>
      </c>
      <c r="F432" s="11">
        <v>-10680000</v>
      </c>
    </row>
    <row r="433" spans="1:6">
      <c r="A433" s="14" t="s">
        <v>21</v>
      </c>
      <c r="B433" s="11">
        <v>0</v>
      </c>
      <c r="C433" s="11">
        <v>0</v>
      </c>
      <c r="D433" s="11">
        <v>0</v>
      </c>
      <c r="E433" s="11">
        <v>0</v>
      </c>
      <c r="F433" s="11">
        <v>0</v>
      </c>
    </row>
    <row r="434" spans="1:6">
      <c r="A434" s="14" t="s">
        <v>22</v>
      </c>
      <c r="B434" s="11">
        <v>-3007842</v>
      </c>
      <c r="C434" s="11">
        <v>-3451196</v>
      </c>
      <c r="D434" s="11">
        <v>-3757563</v>
      </c>
      <c r="E434" s="11">
        <v>-3978000</v>
      </c>
      <c r="F434" s="11">
        <v>-4196000</v>
      </c>
    </row>
    <row r="435" spans="1:6">
      <c r="A435" s="14" t="s">
        <v>24</v>
      </c>
      <c r="B435" s="11">
        <v>-307710</v>
      </c>
      <c r="C435" s="11">
        <v>-387674</v>
      </c>
      <c r="D435" s="11">
        <v>-452145</v>
      </c>
      <c r="E435" s="11">
        <v>-541000</v>
      </c>
      <c r="F435" s="11">
        <v>-590000</v>
      </c>
    </row>
    <row r="436" spans="1:6">
      <c r="A436" s="14" t="s">
        <v>82</v>
      </c>
      <c r="B436" s="11">
        <v>-79383</v>
      </c>
      <c r="C436" s="11">
        <v>-74427</v>
      </c>
      <c r="D436" s="11">
        <v>-98712</v>
      </c>
      <c r="E436" s="11">
        <v>-140000</v>
      </c>
      <c r="F436" s="11">
        <v>-134000</v>
      </c>
    </row>
    <row r="437" spans="1:6">
      <c r="A437" s="14" t="s">
        <v>27</v>
      </c>
      <c r="B437" s="11">
        <v>8992</v>
      </c>
      <c r="C437" s="11">
        <v>34071</v>
      </c>
      <c r="D437" s="11">
        <v>36296</v>
      </c>
      <c r="E437" s="11">
        <v>29000</v>
      </c>
      <c r="F437" s="11">
        <v>10000</v>
      </c>
    </row>
    <row r="438" spans="1:6">
      <c r="A438" s="14" t="s">
        <v>29</v>
      </c>
      <c r="B438" s="11">
        <v>-503830</v>
      </c>
      <c r="C438" s="11">
        <v>-665764</v>
      </c>
      <c r="D438" s="11">
        <v>-658210</v>
      </c>
      <c r="E438" s="11">
        <v>-540000</v>
      </c>
      <c r="F438" s="11">
        <v>-597000</v>
      </c>
    </row>
    <row r="439" spans="1:6">
      <c r="A439" s="14" t="s">
        <v>33</v>
      </c>
      <c r="B439" s="11">
        <v>0</v>
      </c>
      <c r="C439" s="11">
        <v>0</v>
      </c>
      <c r="D439" s="11">
        <v>0</v>
      </c>
      <c r="E439" s="11">
        <v>0</v>
      </c>
      <c r="F439" s="11">
        <v>0</v>
      </c>
    </row>
    <row r="440" spans="1:6">
      <c r="A440" s="14" t="s">
        <v>30</v>
      </c>
      <c r="B440" s="11">
        <v>0</v>
      </c>
      <c r="C440" s="11">
        <v>0</v>
      </c>
      <c r="D440" s="11">
        <v>0</v>
      </c>
      <c r="E440" s="11">
        <v>0</v>
      </c>
      <c r="F440" s="11">
        <v>0</v>
      </c>
    </row>
    <row r="441" spans="1:6">
      <c r="A441" s="14" t="s">
        <v>32</v>
      </c>
      <c r="B441" s="11">
        <v>0</v>
      </c>
      <c r="C441" s="11">
        <v>0</v>
      </c>
      <c r="D441" s="11">
        <v>0</v>
      </c>
      <c r="E441" s="11">
        <v>0</v>
      </c>
      <c r="F441" s="11">
        <v>0</v>
      </c>
    </row>
    <row r="442" spans="1:6">
      <c r="A442" s="14" t="s">
        <v>34</v>
      </c>
      <c r="B442" s="11">
        <v>0</v>
      </c>
      <c r="C442" s="11">
        <v>0</v>
      </c>
      <c r="D442" s="11">
        <v>0</v>
      </c>
      <c r="E442" s="11">
        <v>0</v>
      </c>
      <c r="F442" s="11">
        <v>0</v>
      </c>
    </row>
    <row r="443" spans="1:6">
      <c r="A443" s="14" t="s">
        <v>38</v>
      </c>
      <c r="B443" s="11">
        <v>286916</v>
      </c>
      <c r="C443" s="11">
        <v>620400</v>
      </c>
      <c r="D443" s="11">
        <v>663671</v>
      </c>
      <c r="E443" s="11">
        <v>676000</v>
      </c>
      <c r="F443" s="11">
        <v>2267000</v>
      </c>
    </row>
    <row r="444" spans="1:6">
      <c r="A444" s="14" t="s">
        <v>39</v>
      </c>
      <c r="B444" s="11">
        <v>1652065</v>
      </c>
      <c r="C444" s="11">
        <v>0</v>
      </c>
      <c r="D444" s="11">
        <v>0</v>
      </c>
      <c r="E444" s="11">
        <v>0</v>
      </c>
      <c r="F444" s="11">
        <v>0</v>
      </c>
    </row>
    <row r="445" spans="1:6">
      <c r="A445" s="14" t="s">
        <v>40</v>
      </c>
      <c r="B445" s="11">
        <v>2237568</v>
      </c>
      <c r="C445" s="11">
        <v>2588099</v>
      </c>
      <c r="D445" s="11">
        <v>2855733</v>
      </c>
      <c r="E445" s="11">
        <v>2799000</v>
      </c>
      <c r="F445" s="11">
        <v>2923000</v>
      </c>
    </row>
    <row r="446" spans="1:6">
      <c r="A446" s="14" t="s">
        <v>41</v>
      </c>
      <c r="B446" s="11">
        <v>89502.9999999994</v>
      </c>
      <c r="C446" s="11">
        <v>192541</v>
      </c>
      <c r="D446" s="11">
        <v>204485</v>
      </c>
      <c r="E446" s="11">
        <v>225000</v>
      </c>
      <c r="F446" s="11">
        <v>295000</v>
      </c>
    </row>
    <row r="447" spans="1:6">
      <c r="A447" s="14" t="s">
        <v>43</v>
      </c>
      <c r="B447" s="11">
        <v>4543832</v>
      </c>
      <c r="C447" s="11">
        <v>5352974</v>
      </c>
      <c r="D447" s="11">
        <v>6509819</v>
      </c>
      <c r="E447" s="11">
        <v>6984000</v>
      </c>
      <c r="F447" s="11">
        <v>7018000</v>
      </c>
    </row>
    <row r="448" spans="1:6">
      <c r="A448" s="14" t="s">
        <v>44</v>
      </c>
      <c r="B448" s="11">
        <v>0</v>
      </c>
      <c r="C448" s="11">
        <v>0</v>
      </c>
      <c r="D448" s="11">
        <v>0</v>
      </c>
      <c r="E448" s="11">
        <v>332000</v>
      </c>
      <c r="F448" s="11">
        <v>321000</v>
      </c>
    </row>
    <row r="449" spans="1:6">
      <c r="A449" s="14" t="s">
        <v>45</v>
      </c>
      <c r="B449" s="11">
        <v>221718</v>
      </c>
      <c r="C449" s="11">
        <v>228624</v>
      </c>
      <c r="D449" s="11">
        <v>219296</v>
      </c>
      <c r="E449" s="11">
        <v>210000</v>
      </c>
      <c r="F449" s="11">
        <v>204000</v>
      </c>
    </row>
    <row r="450" spans="1:6">
      <c r="A450" s="14" t="s">
        <v>46</v>
      </c>
      <c r="B450" s="11">
        <v>121436</v>
      </c>
      <c r="C450" s="11">
        <v>58538.9999999998</v>
      </c>
      <c r="D450" s="11">
        <v>107078</v>
      </c>
      <c r="E450" s="11">
        <v>108000</v>
      </c>
      <c r="F450" s="11">
        <v>132000</v>
      </c>
    </row>
    <row r="451" spans="1:6">
      <c r="A451" s="14" t="s">
        <v>48</v>
      </c>
      <c r="B451" s="11">
        <v>107941</v>
      </c>
      <c r="C451" s="11">
        <v>18841</v>
      </c>
      <c r="D451" s="11">
        <v>12701</v>
      </c>
      <c r="E451" s="11">
        <v>17000</v>
      </c>
      <c r="F451" s="11">
        <v>16000</v>
      </c>
    </row>
    <row r="452" spans="1:6">
      <c r="A452" s="14" t="s">
        <v>49</v>
      </c>
      <c r="B452" s="11">
        <v>829971</v>
      </c>
      <c r="C452" s="11">
        <v>934376</v>
      </c>
      <c r="D452" s="11">
        <v>835985</v>
      </c>
      <c r="E452" s="11">
        <v>881000</v>
      </c>
      <c r="F452" s="11">
        <v>1188000</v>
      </c>
    </row>
    <row r="453" spans="1:6">
      <c r="A453" s="14" t="s">
        <v>50</v>
      </c>
      <c r="B453" s="11">
        <v>166908</v>
      </c>
      <c r="C453" s="11">
        <v>233263</v>
      </c>
      <c r="D453" s="11">
        <v>124254</v>
      </c>
      <c r="E453" s="11">
        <v>105000</v>
      </c>
      <c r="F453" s="11">
        <v>184000</v>
      </c>
    </row>
    <row r="454" spans="1:6">
      <c r="A454" s="14" t="s">
        <v>51</v>
      </c>
      <c r="B454" s="11">
        <v>641635</v>
      </c>
      <c r="C454" s="11">
        <v>732178</v>
      </c>
      <c r="D454" s="11">
        <v>798508</v>
      </c>
      <c r="E454" s="11">
        <v>812000</v>
      </c>
      <c r="F454" s="11">
        <v>1002000</v>
      </c>
    </row>
    <row r="455" spans="1:6">
      <c r="A455" s="14" t="s">
        <v>53</v>
      </c>
      <c r="B455" s="11">
        <v>1046104</v>
      </c>
      <c r="C455" s="11">
        <v>1040057</v>
      </c>
      <c r="D455" s="11">
        <v>2051875</v>
      </c>
      <c r="E455" s="11">
        <v>2053000</v>
      </c>
      <c r="F455" s="11">
        <v>2052000</v>
      </c>
    </row>
    <row r="456" spans="1:6">
      <c r="A456" s="14" t="s">
        <v>54</v>
      </c>
      <c r="B456" s="11">
        <v>185340</v>
      </c>
      <c r="C456" s="11">
        <v>235537</v>
      </c>
      <c r="D456" s="11">
        <v>372705</v>
      </c>
      <c r="E456" s="11">
        <v>407000</v>
      </c>
      <c r="F456" s="11">
        <v>488000</v>
      </c>
    </row>
    <row r="457" spans="1:6">
      <c r="A457" s="14" t="s">
        <v>55</v>
      </c>
      <c r="B457" s="11">
        <v>217801</v>
      </c>
      <c r="C457" s="11">
        <v>243530</v>
      </c>
      <c r="D457" s="11">
        <v>262451</v>
      </c>
      <c r="E457" s="11">
        <v>320000</v>
      </c>
      <c r="F457" s="11">
        <v>377000</v>
      </c>
    </row>
    <row r="458" spans="1:6">
      <c r="A458" s="14" t="s">
        <v>57</v>
      </c>
      <c r="B458" s="11">
        <v>0</v>
      </c>
      <c r="C458" s="11">
        <v>0</v>
      </c>
      <c r="D458" s="11">
        <v>0</v>
      </c>
      <c r="E458" s="11">
        <v>0</v>
      </c>
      <c r="F458" s="11">
        <v>0</v>
      </c>
    </row>
    <row r="459" spans="1:6">
      <c r="A459" s="14" t="s">
        <v>58</v>
      </c>
      <c r="B459" s="11">
        <v>0</v>
      </c>
      <c r="C459" s="11">
        <v>0</v>
      </c>
      <c r="D459" s="11">
        <v>0</v>
      </c>
      <c r="E459" s="11">
        <v>0</v>
      </c>
      <c r="F459" s="11">
        <v>0</v>
      </c>
    </row>
    <row r="460" spans="1:6">
      <c r="A460" s="14" t="s">
        <v>59</v>
      </c>
      <c r="B460" s="11">
        <v>1586485</v>
      </c>
      <c r="C460" s="11">
        <v>123861.000000001</v>
      </c>
      <c r="D460" s="11">
        <v>-461782</v>
      </c>
      <c r="E460" s="11">
        <v>-663000</v>
      </c>
      <c r="F460" s="11">
        <v>-550000</v>
      </c>
    </row>
    <row r="461" spans="1:6">
      <c r="A461" s="14" t="s">
        <v>60</v>
      </c>
      <c r="B461" s="11">
        <v>4370853</v>
      </c>
      <c r="C461" s="11">
        <v>5479534</v>
      </c>
      <c r="D461" s="11">
        <v>6563385</v>
      </c>
      <c r="E461" s="11">
        <v>7402000</v>
      </c>
      <c r="F461" s="11">
        <v>8403000</v>
      </c>
    </row>
    <row r="462" spans="1:6">
      <c r="A462" s="16" t="s">
        <v>83</v>
      </c>
      <c r="B462" s="11">
        <v>0</v>
      </c>
      <c r="C462" s="11">
        <v>0</v>
      </c>
      <c r="D462" s="11">
        <v>0</v>
      </c>
      <c r="E462" s="11">
        <v>0</v>
      </c>
      <c r="F462" s="11">
        <v>0</v>
      </c>
    </row>
    <row r="466" spans="1:7">
      <c r="A466" s="17" t="s">
        <v>10</v>
      </c>
      <c r="B466" s="11" t="s">
        <v>471</v>
      </c>
      <c r="C466" s="11"/>
      <c r="D466" s="11" t="s">
        <v>472</v>
      </c>
      <c r="E466" s="15"/>
      <c r="F466" s="15">
        <v>5651</v>
      </c>
      <c r="G466" s="9" t="s">
        <v>451</v>
      </c>
    </row>
    <row r="467" spans="1:6">
      <c r="A467" s="10" t="s">
        <v>448</v>
      </c>
      <c r="B467" s="11">
        <v>217700</v>
      </c>
      <c r="C467" s="11"/>
      <c r="D467" s="11"/>
      <c r="E467" s="11"/>
      <c r="F467" s="11"/>
    </row>
    <row r="468" spans="1:6">
      <c r="A468" s="12" t="s">
        <v>16</v>
      </c>
      <c r="B468" s="13">
        <v>37286</v>
      </c>
      <c r="C468" s="13">
        <v>37651</v>
      </c>
      <c r="D468" s="13">
        <v>38016</v>
      </c>
      <c r="E468" s="13">
        <v>38382</v>
      </c>
      <c r="F468" s="13">
        <v>38747</v>
      </c>
    </row>
    <row r="469" spans="1:6">
      <c r="A469" s="14" t="s">
        <v>18</v>
      </c>
      <c r="B469" s="11">
        <v>7919214</v>
      </c>
      <c r="C469" s="11">
        <v>8793637</v>
      </c>
      <c r="D469" s="11">
        <v>9120000</v>
      </c>
      <c r="E469" s="11">
        <v>8573000</v>
      </c>
      <c r="F469" s="11">
        <v>8627000</v>
      </c>
    </row>
    <row r="470" spans="1:6">
      <c r="A470" s="14" t="s">
        <v>19</v>
      </c>
      <c r="B470" s="11">
        <v>-4611695</v>
      </c>
      <c r="C470" s="11">
        <v>-5069429</v>
      </c>
      <c r="D470" s="11">
        <v>-5257000</v>
      </c>
      <c r="E470" s="11">
        <v>-5115000</v>
      </c>
      <c r="F470" s="11">
        <v>-5015000</v>
      </c>
    </row>
    <row r="471" spans="1:6">
      <c r="A471" s="14" t="s">
        <v>21</v>
      </c>
      <c r="B471" s="11">
        <v>0</v>
      </c>
      <c r="C471" s="11">
        <v>0</v>
      </c>
      <c r="D471" s="11">
        <v>0</v>
      </c>
      <c r="E471" s="11">
        <v>0</v>
      </c>
      <c r="F471" s="11">
        <v>0</v>
      </c>
    </row>
    <row r="472" spans="1:6">
      <c r="A472" s="14" t="s">
        <v>22</v>
      </c>
      <c r="B472" s="11">
        <v>-2100666</v>
      </c>
      <c r="C472" s="11">
        <v>-2296863</v>
      </c>
      <c r="D472" s="11">
        <v>-2360000</v>
      </c>
      <c r="E472" s="11">
        <v>-2386000</v>
      </c>
      <c r="F472" s="11">
        <v>-2465000</v>
      </c>
    </row>
    <row r="473" spans="1:6">
      <c r="A473" s="14" t="s">
        <v>24</v>
      </c>
      <c r="B473" s="11">
        <v>-276328</v>
      </c>
      <c r="C473" s="11">
        <v>-284520</v>
      </c>
      <c r="D473" s="11">
        <v>-269000</v>
      </c>
      <c r="E473" s="11">
        <v>-302000</v>
      </c>
      <c r="F473" s="11">
        <v>-313000</v>
      </c>
    </row>
    <row r="474" spans="1:6">
      <c r="A474" s="14" t="s">
        <v>82</v>
      </c>
      <c r="B474" s="11">
        <v>-63378</v>
      </c>
      <c r="C474" s="11">
        <v>-62409</v>
      </c>
      <c r="D474" s="11">
        <v>-102000</v>
      </c>
      <c r="E474" s="11">
        <v>-145000</v>
      </c>
      <c r="F474" s="11">
        <v>-148000</v>
      </c>
    </row>
    <row r="475" spans="1:6">
      <c r="A475" s="14" t="s">
        <v>27</v>
      </c>
      <c r="B475" s="11">
        <v>18078</v>
      </c>
      <c r="C475" s="11">
        <v>19651</v>
      </c>
      <c r="D475" s="11">
        <v>28000</v>
      </c>
      <c r="E475" s="11">
        <v>23000</v>
      </c>
      <c r="F475" s="11">
        <v>10000</v>
      </c>
    </row>
    <row r="476" spans="1:6">
      <c r="A476" s="14" t="s">
        <v>29</v>
      </c>
      <c r="B476" s="11">
        <v>-333886</v>
      </c>
      <c r="C476" s="11">
        <v>-427654</v>
      </c>
      <c r="D476" s="11">
        <v>-458000</v>
      </c>
      <c r="E476" s="11">
        <v>-247000</v>
      </c>
      <c r="F476" s="11">
        <v>-255000</v>
      </c>
    </row>
    <row r="477" spans="1:6">
      <c r="A477" s="14" t="s">
        <v>33</v>
      </c>
      <c r="B477" s="11">
        <v>0</v>
      </c>
      <c r="C477" s="11">
        <v>0</v>
      </c>
      <c r="D477" s="11">
        <v>0</v>
      </c>
      <c r="E477" s="11">
        <v>0</v>
      </c>
      <c r="F477" s="11">
        <v>0</v>
      </c>
    </row>
    <row r="478" spans="1:6">
      <c r="A478" s="14" t="s">
        <v>30</v>
      </c>
      <c r="B478" s="11">
        <v>0</v>
      </c>
      <c r="C478" s="11">
        <v>5586</v>
      </c>
      <c r="D478" s="11">
        <v>13000</v>
      </c>
      <c r="E478" s="11">
        <v>0</v>
      </c>
      <c r="F478" s="11">
        <v>0</v>
      </c>
    </row>
    <row r="479" spans="1:6">
      <c r="A479" s="14" t="s">
        <v>32</v>
      </c>
      <c r="B479" s="11">
        <v>0</v>
      </c>
      <c r="C479" s="11">
        <v>0</v>
      </c>
      <c r="D479" s="11">
        <v>0</v>
      </c>
      <c r="E479" s="11">
        <v>0</v>
      </c>
      <c r="F479" s="11">
        <v>0</v>
      </c>
    </row>
    <row r="480" spans="1:6">
      <c r="A480" s="14" t="s">
        <v>34</v>
      </c>
      <c r="B480" s="11">
        <v>0</v>
      </c>
      <c r="C480" s="11">
        <v>0</v>
      </c>
      <c r="D480" s="11">
        <v>0</v>
      </c>
      <c r="E480" s="11">
        <v>0</v>
      </c>
      <c r="F480" s="11">
        <v>0</v>
      </c>
    </row>
    <row r="481" spans="1:6">
      <c r="A481" s="14" t="s">
        <v>38</v>
      </c>
      <c r="B481" s="11">
        <v>516656</v>
      </c>
      <c r="C481" s="11">
        <v>402559</v>
      </c>
      <c r="D481" s="11">
        <v>358000</v>
      </c>
      <c r="E481" s="11">
        <v>72000</v>
      </c>
      <c r="F481" s="11">
        <v>795000</v>
      </c>
    </row>
    <row r="482" spans="1:6">
      <c r="A482" s="14" t="s">
        <v>39</v>
      </c>
      <c r="B482" s="11">
        <v>1200694</v>
      </c>
      <c r="C482" s="11">
        <v>1112551</v>
      </c>
      <c r="D482" s="11">
        <v>1788000</v>
      </c>
      <c r="E482" s="11">
        <v>1942000</v>
      </c>
      <c r="F482" s="11">
        <v>2035000</v>
      </c>
    </row>
    <row r="483" spans="1:6">
      <c r="A483" s="14" t="s">
        <v>40</v>
      </c>
      <c r="B483" s="11">
        <v>955978</v>
      </c>
      <c r="C483" s="11">
        <v>997289</v>
      </c>
      <c r="D483" s="11">
        <v>956000</v>
      </c>
      <c r="E483" s="11">
        <v>900000</v>
      </c>
      <c r="F483" s="11">
        <v>898000</v>
      </c>
    </row>
    <row r="484" spans="1:6">
      <c r="A484" s="14" t="s">
        <v>41</v>
      </c>
      <c r="B484" s="11">
        <v>200829</v>
      </c>
      <c r="C484" s="11">
        <v>229794</v>
      </c>
      <c r="D484" s="11">
        <v>259000</v>
      </c>
      <c r="E484" s="11">
        <v>303000</v>
      </c>
      <c r="F484" s="11">
        <v>326000</v>
      </c>
    </row>
    <row r="485" spans="1:6">
      <c r="A485" s="14" t="s">
        <v>43</v>
      </c>
      <c r="B485" s="11">
        <v>1773871</v>
      </c>
      <c r="C485" s="11">
        <v>1757215</v>
      </c>
      <c r="D485" s="11">
        <v>1983000</v>
      </c>
      <c r="E485" s="11">
        <v>2221000</v>
      </c>
      <c r="F485" s="11">
        <v>2242000</v>
      </c>
    </row>
    <row r="486" spans="1:6">
      <c r="A486" s="14" t="s">
        <v>44</v>
      </c>
      <c r="B486" s="11">
        <v>0</v>
      </c>
      <c r="C486" s="11">
        <v>0</v>
      </c>
      <c r="D486" s="11">
        <v>0</v>
      </c>
      <c r="E486" s="11">
        <v>0</v>
      </c>
      <c r="F486" s="11">
        <v>0</v>
      </c>
    </row>
    <row r="487" spans="1:6">
      <c r="A487" s="14" t="s">
        <v>45</v>
      </c>
      <c r="B487" s="11">
        <v>140912</v>
      </c>
      <c r="C487" s="11">
        <v>135714</v>
      </c>
      <c r="D487" s="11">
        <v>53000</v>
      </c>
      <c r="E487" s="11">
        <v>53000</v>
      </c>
      <c r="F487" s="11">
        <v>53000</v>
      </c>
    </row>
    <row r="488" spans="1:6">
      <c r="A488" s="14" t="s">
        <v>46</v>
      </c>
      <c r="B488" s="11">
        <v>132409</v>
      </c>
      <c r="C488" s="11">
        <v>186456</v>
      </c>
      <c r="D488" s="11">
        <v>203000</v>
      </c>
      <c r="E488" s="11">
        <v>170000</v>
      </c>
      <c r="F488" s="11">
        <v>230000</v>
      </c>
    </row>
    <row r="489" spans="1:6">
      <c r="A489" s="14" t="s">
        <v>48</v>
      </c>
      <c r="B489" s="11">
        <v>306618</v>
      </c>
      <c r="C489" s="11">
        <v>6800</v>
      </c>
      <c r="D489" s="11">
        <v>261000</v>
      </c>
      <c r="E489" s="11">
        <v>299000</v>
      </c>
      <c r="F489" s="11">
        <v>356000</v>
      </c>
    </row>
    <row r="490" spans="1:6">
      <c r="A490" s="14" t="s">
        <v>49</v>
      </c>
      <c r="B490" s="11">
        <v>540019</v>
      </c>
      <c r="C490" s="11">
        <v>576796</v>
      </c>
      <c r="D490" s="11">
        <v>556000</v>
      </c>
      <c r="E490" s="11">
        <v>563000</v>
      </c>
      <c r="F490" s="11">
        <v>726000</v>
      </c>
    </row>
    <row r="491" spans="1:6">
      <c r="A491" s="14" t="s">
        <v>50</v>
      </c>
      <c r="B491" s="11">
        <v>81617</v>
      </c>
      <c r="C491" s="11">
        <v>76095</v>
      </c>
      <c r="D491" s="11">
        <v>58000</v>
      </c>
      <c r="E491" s="11">
        <v>0</v>
      </c>
      <c r="F491" s="11">
        <v>0</v>
      </c>
    </row>
    <row r="492" spans="1:6">
      <c r="A492" s="14" t="s">
        <v>51</v>
      </c>
      <c r="B492" s="11">
        <v>695058</v>
      </c>
      <c r="C492" s="11">
        <v>773452</v>
      </c>
      <c r="D492" s="11">
        <v>760000</v>
      </c>
      <c r="E492" s="11">
        <v>739000</v>
      </c>
      <c r="F492" s="11">
        <v>932000</v>
      </c>
    </row>
    <row r="493" spans="1:6">
      <c r="A493" s="14" t="s">
        <v>53</v>
      </c>
      <c r="B493" s="11">
        <v>627776</v>
      </c>
      <c r="C493" s="11">
        <v>623652</v>
      </c>
      <c r="D493" s="11">
        <v>2236000</v>
      </c>
      <c r="E493" s="11">
        <v>2214000</v>
      </c>
      <c r="F493" s="11">
        <v>2257000</v>
      </c>
    </row>
    <row r="494" spans="1:6">
      <c r="A494" s="14" t="s">
        <v>54</v>
      </c>
      <c r="B494" s="11">
        <v>577580</v>
      </c>
      <c r="C494" s="11">
        <v>596262</v>
      </c>
      <c r="D494" s="11">
        <v>614000</v>
      </c>
      <c r="E494" s="11">
        <v>636000</v>
      </c>
      <c r="F494" s="11">
        <v>736000</v>
      </c>
    </row>
    <row r="495" spans="1:6">
      <c r="A495" s="14" t="s">
        <v>55</v>
      </c>
      <c r="B495" s="11">
        <v>0</v>
      </c>
      <c r="C495" s="11">
        <v>0</v>
      </c>
      <c r="D495" s="11">
        <v>0</v>
      </c>
      <c r="E495" s="11">
        <v>0</v>
      </c>
      <c r="F495" s="11">
        <v>0</v>
      </c>
    </row>
    <row r="496" spans="1:6">
      <c r="A496" s="14" t="s">
        <v>57</v>
      </c>
      <c r="B496" s="11">
        <v>0</v>
      </c>
      <c r="C496" s="11">
        <v>0</v>
      </c>
      <c r="D496" s="11">
        <v>0</v>
      </c>
      <c r="E496" s="11">
        <v>0</v>
      </c>
      <c r="F496" s="11">
        <v>0</v>
      </c>
    </row>
    <row r="497" spans="1:6">
      <c r="A497" s="14" t="s">
        <v>58</v>
      </c>
      <c r="B497" s="11">
        <v>0</v>
      </c>
      <c r="C497" s="11">
        <v>0</v>
      </c>
      <c r="D497" s="11">
        <v>0</v>
      </c>
      <c r="E497" s="11">
        <v>0</v>
      </c>
      <c r="F497" s="11">
        <v>0</v>
      </c>
    </row>
    <row r="498" spans="1:6">
      <c r="A498" s="14" t="s">
        <v>59</v>
      </c>
      <c r="B498" s="11">
        <v>685607</v>
      </c>
      <c r="C498" s="11">
        <v>826421</v>
      </c>
      <c r="D498" s="11">
        <v>936000</v>
      </c>
      <c r="E498" s="11">
        <v>997000</v>
      </c>
      <c r="F498" s="11">
        <v>1066000</v>
      </c>
    </row>
    <row r="499" spans="1:6">
      <c r="A499" s="14" t="s">
        <v>60</v>
      </c>
      <c r="B499" s="11">
        <v>1407074</v>
      </c>
      <c r="C499" s="11">
        <v>1342100</v>
      </c>
      <c r="D499" s="11">
        <v>179000</v>
      </c>
      <c r="E499" s="11">
        <v>213000</v>
      </c>
      <c r="F499" s="11">
        <v>506000</v>
      </c>
    </row>
    <row r="500" spans="1:6">
      <c r="A500" s="16" t="s">
        <v>83</v>
      </c>
      <c r="B500" s="11">
        <v>134000</v>
      </c>
      <c r="C500" s="11">
        <v>110158</v>
      </c>
      <c r="D500" s="11">
        <v>134000</v>
      </c>
      <c r="E500" s="11">
        <v>138000</v>
      </c>
      <c r="F500" s="11">
        <v>139000</v>
      </c>
    </row>
    <row r="504" spans="1:7">
      <c r="A504" s="17" t="s">
        <v>10</v>
      </c>
      <c r="B504" s="11" t="s">
        <v>473</v>
      </c>
      <c r="C504" s="11"/>
      <c r="D504" s="11" t="s">
        <v>474</v>
      </c>
      <c r="E504" s="15"/>
      <c r="F504" s="15">
        <v>5651</v>
      </c>
      <c r="G504" s="9" t="s">
        <v>451</v>
      </c>
    </row>
    <row r="505" spans="1:6">
      <c r="A505" s="10" t="s">
        <v>448</v>
      </c>
      <c r="B505" s="11">
        <v>122929</v>
      </c>
      <c r="C505" s="11"/>
      <c r="D505" s="11"/>
      <c r="E505" s="11"/>
      <c r="F505" s="11"/>
    </row>
    <row r="506" spans="1:6">
      <c r="A506" s="12" t="s">
        <v>16</v>
      </c>
      <c r="B506" s="13">
        <v>37283</v>
      </c>
      <c r="C506" s="13">
        <v>37654</v>
      </c>
      <c r="D506" s="13">
        <v>38018</v>
      </c>
      <c r="E506" s="13">
        <v>38382</v>
      </c>
      <c r="F506" s="13">
        <v>38746</v>
      </c>
    </row>
    <row r="507" spans="1:6">
      <c r="A507" s="14" t="s">
        <v>18</v>
      </c>
      <c r="B507" s="11">
        <v>4944179</v>
      </c>
      <c r="C507" s="11">
        <v>5570210</v>
      </c>
      <c r="D507" s="11">
        <v>5975212</v>
      </c>
      <c r="E507" s="11">
        <v>6486139</v>
      </c>
      <c r="F507" s="11">
        <v>7184213</v>
      </c>
    </row>
    <row r="508" spans="1:6">
      <c r="A508" s="14" t="s">
        <v>19</v>
      </c>
      <c r="B508" s="11">
        <v>-3832296</v>
      </c>
      <c r="C508" s="11">
        <v>-4317527</v>
      </c>
      <c r="D508" s="11">
        <v>-4618220</v>
      </c>
      <c r="E508" s="11">
        <v>-4956576</v>
      </c>
      <c r="F508" s="11">
        <v>-5327278</v>
      </c>
    </row>
    <row r="509" spans="1:6">
      <c r="A509" s="14" t="s">
        <v>21</v>
      </c>
      <c r="B509" s="11">
        <v>0</v>
      </c>
      <c r="C509" s="11">
        <v>0</v>
      </c>
      <c r="D509" s="11">
        <v>0</v>
      </c>
      <c r="E509" s="11">
        <v>0</v>
      </c>
      <c r="F509" s="11">
        <v>0</v>
      </c>
    </row>
    <row r="510" spans="1:6">
      <c r="A510" s="14" t="s">
        <v>22</v>
      </c>
      <c r="B510" s="11">
        <v>-786439</v>
      </c>
      <c r="C510" s="11">
        <v>-863033</v>
      </c>
      <c r="D510" s="11">
        <v>-935901</v>
      </c>
      <c r="E510" s="11">
        <v>-1034357</v>
      </c>
      <c r="F510" s="11">
        <v>-1130813</v>
      </c>
    </row>
    <row r="511" spans="1:6">
      <c r="A511" s="14" t="s">
        <v>24</v>
      </c>
      <c r="B511" s="11">
        <v>0</v>
      </c>
      <c r="C511" s="11">
        <v>0</v>
      </c>
      <c r="D511" s="11">
        <v>0</v>
      </c>
      <c r="E511" s="11">
        <v>0</v>
      </c>
      <c r="F511" s="11">
        <v>0</v>
      </c>
    </row>
    <row r="512" spans="1:6">
      <c r="A512" s="14" t="s">
        <v>82</v>
      </c>
      <c r="B512" s="11">
        <v>-4102</v>
      </c>
      <c r="C512" s="11">
        <v>-2873</v>
      </c>
      <c r="D512" s="11">
        <v>-9771</v>
      </c>
      <c r="E512" s="11">
        <v>-8343</v>
      </c>
      <c r="F512" s="11">
        <v>-9393</v>
      </c>
    </row>
    <row r="513" spans="1:6">
      <c r="A513" s="14" t="s">
        <v>27</v>
      </c>
      <c r="B513" s="11">
        <v>7000</v>
      </c>
      <c r="C513" s="11">
        <v>11500</v>
      </c>
      <c r="D513" s="11">
        <v>13800</v>
      </c>
      <c r="E513" s="11">
        <v>8500</v>
      </c>
      <c r="F513" s="11">
        <v>1800</v>
      </c>
    </row>
    <row r="514" spans="1:6">
      <c r="A514" s="14" t="s">
        <v>29</v>
      </c>
      <c r="B514" s="11">
        <v>-128710</v>
      </c>
      <c r="C514" s="11">
        <v>-156643</v>
      </c>
      <c r="D514" s="11">
        <v>-164069</v>
      </c>
      <c r="E514" s="11">
        <v>-189922</v>
      </c>
      <c r="F514" s="11">
        <v>-275772</v>
      </c>
    </row>
    <row r="515" spans="1:6">
      <c r="A515" s="14" t="s">
        <v>33</v>
      </c>
      <c r="B515" s="11">
        <v>0</v>
      </c>
      <c r="C515" s="11">
        <v>0</v>
      </c>
      <c r="D515" s="11">
        <v>0</v>
      </c>
      <c r="E515" s="11">
        <v>0</v>
      </c>
      <c r="F515" s="11">
        <v>0</v>
      </c>
    </row>
    <row r="516" spans="1:6">
      <c r="A516" s="14" t="s">
        <v>30</v>
      </c>
      <c r="B516" s="11">
        <v>0</v>
      </c>
      <c r="C516" s="11">
        <v>0</v>
      </c>
      <c r="D516" s="11">
        <v>0</v>
      </c>
      <c r="E516" s="11">
        <v>0</v>
      </c>
      <c r="F516" s="11">
        <v>0</v>
      </c>
    </row>
    <row r="517" spans="1:6">
      <c r="A517" s="14" t="s">
        <v>32</v>
      </c>
      <c r="B517" s="11">
        <v>0</v>
      </c>
      <c r="C517" s="11">
        <v>0</v>
      </c>
      <c r="D517" s="11">
        <v>0</v>
      </c>
      <c r="E517" s="11">
        <v>0</v>
      </c>
      <c r="F517" s="11">
        <v>0</v>
      </c>
    </row>
    <row r="518" spans="1:6">
      <c r="A518" s="14" t="s">
        <v>34</v>
      </c>
      <c r="B518" s="11">
        <v>0</v>
      </c>
      <c r="C518" s="11">
        <v>0</v>
      </c>
      <c r="D518" s="11">
        <v>0</v>
      </c>
      <c r="E518" s="11">
        <v>0</v>
      </c>
      <c r="F518" s="11">
        <v>0</v>
      </c>
    </row>
    <row r="519" spans="1:6">
      <c r="A519" s="14" t="s">
        <v>38</v>
      </c>
      <c r="B519" s="11">
        <v>204530</v>
      </c>
      <c r="C519" s="11">
        <v>372635</v>
      </c>
      <c r="D519" s="11">
        <v>263678</v>
      </c>
      <c r="E519" s="11">
        <v>322153</v>
      </c>
      <c r="F519" s="11">
        <v>770097</v>
      </c>
    </row>
    <row r="520" spans="1:6">
      <c r="A520" s="14" t="s">
        <v>39</v>
      </c>
      <c r="B520" s="11">
        <v>29122</v>
      </c>
      <c r="C520" s="11">
        <v>30105</v>
      </c>
      <c r="D520" s="11">
        <v>37468</v>
      </c>
      <c r="E520" s="11">
        <v>96411</v>
      </c>
      <c r="F520" s="11">
        <v>102852</v>
      </c>
    </row>
    <row r="521" spans="1:6">
      <c r="A521" s="14" t="s">
        <v>40</v>
      </c>
      <c r="B521" s="11">
        <v>938091</v>
      </c>
      <c r="C521" s="11">
        <v>1051729</v>
      </c>
      <c r="D521" s="11">
        <v>1025295</v>
      </c>
      <c r="E521" s="11">
        <v>881058</v>
      </c>
      <c r="F521" s="11">
        <v>872498</v>
      </c>
    </row>
    <row r="522" spans="1:6">
      <c r="A522" s="14" t="s">
        <v>41</v>
      </c>
      <c r="B522" s="11">
        <v>57104</v>
      </c>
      <c r="C522" s="11">
        <v>60487</v>
      </c>
      <c r="D522" s="11">
        <v>71560</v>
      </c>
      <c r="E522" s="11">
        <v>14093</v>
      </c>
      <c r="F522" s="11">
        <v>0</v>
      </c>
    </row>
    <row r="523" spans="1:6">
      <c r="A523" s="14" t="s">
        <v>43</v>
      </c>
      <c r="B523" s="11">
        <v>639852</v>
      </c>
      <c r="C523" s="11">
        <v>748233</v>
      </c>
      <c r="D523" s="11">
        <v>868315</v>
      </c>
      <c r="E523" s="11">
        <v>951656</v>
      </c>
      <c r="F523" s="11">
        <v>942999</v>
      </c>
    </row>
    <row r="524" spans="1:6">
      <c r="A524" s="14" t="s">
        <v>44</v>
      </c>
      <c r="B524" s="11">
        <v>11202</v>
      </c>
      <c r="C524" s="11">
        <v>31136</v>
      </c>
      <c r="D524" s="11">
        <v>40766</v>
      </c>
      <c r="E524" s="11">
        <v>38014</v>
      </c>
      <c r="F524" s="11">
        <v>16848</v>
      </c>
    </row>
    <row r="525" spans="1:6">
      <c r="A525" s="14" t="s">
        <v>45</v>
      </c>
      <c r="B525" s="11">
        <v>12086</v>
      </c>
      <c r="C525" s="11">
        <v>13916</v>
      </c>
      <c r="D525" s="11">
        <v>12796</v>
      </c>
      <c r="E525" s="11">
        <v>10971</v>
      </c>
      <c r="F525" s="11">
        <v>2889</v>
      </c>
    </row>
    <row r="526" spans="1:6">
      <c r="A526" s="14" t="s">
        <v>46</v>
      </c>
      <c r="B526" s="11">
        <v>46751</v>
      </c>
      <c r="C526" s="11">
        <v>50350</v>
      </c>
      <c r="D526" s="11">
        <v>51444</v>
      </c>
      <c r="E526" s="11">
        <v>41155</v>
      </c>
      <c r="F526" s="11">
        <v>60450</v>
      </c>
    </row>
    <row r="527" spans="1:6">
      <c r="A527" s="14" t="s">
        <v>48</v>
      </c>
      <c r="B527" s="11">
        <v>50000</v>
      </c>
      <c r="C527" s="11">
        <v>0</v>
      </c>
      <c r="D527" s="11">
        <v>0</v>
      </c>
      <c r="E527" s="11">
        <v>0</v>
      </c>
      <c r="F527" s="11">
        <v>0</v>
      </c>
    </row>
    <row r="528" spans="1:6">
      <c r="A528" s="14" t="s">
        <v>49</v>
      </c>
      <c r="B528" s="11">
        <v>474614</v>
      </c>
      <c r="C528" s="11">
        <v>698063</v>
      </c>
      <c r="D528" s="11">
        <v>637158</v>
      </c>
      <c r="E528" s="11">
        <v>536745</v>
      </c>
      <c r="F528" s="11">
        <v>658299</v>
      </c>
    </row>
    <row r="529" spans="1:6">
      <c r="A529" s="14" t="s">
        <v>50</v>
      </c>
      <c r="B529" s="11">
        <v>25586</v>
      </c>
      <c r="C529" s="11">
        <v>33577</v>
      </c>
      <c r="D529" s="11">
        <v>21818</v>
      </c>
      <c r="E529" s="11">
        <v>9120</v>
      </c>
      <c r="F529" s="11">
        <v>54399</v>
      </c>
    </row>
    <row r="530" spans="1:6">
      <c r="A530" s="14" t="s">
        <v>51</v>
      </c>
      <c r="B530" s="11">
        <v>328783</v>
      </c>
      <c r="C530" s="11">
        <v>351617</v>
      </c>
      <c r="D530" s="11">
        <v>351629</v>
      </c>
      <c r="E530" s="11">
        <v>409394</v>
      </c>
      <c r="F530" s="11">
        <v>477816</v>
      </c>
    </row>
    <row r="531" spans="1:6">
      <c r="A531" s="14" t="s">
        <v>53</v>
      </c>
      <c r="B531" s="11">
        <v>0</v>
      </c>
      <c r="C531" s="11">
        <v>150000</v>
      </c>
      <c r="D531" s="11">
        <v>150000</v>
      </c>
      <c r="E531" s="11">
        <v>150000</v>
      </c>
      <c r="F531" s="11">
        <v>150000</v>
      </c>
    </row>
    <row r="532" spans="1:6">
      <c r="A532" s="14" t="s">
        <v>54</v>
      </c>
      <c r="B532" s="11">
        <v>122926</v>
      </c>
      <c r="C532" s="11">
        <v>32510</v>
      </c>
      <c r="D532" s="11">
        <v>57340</v>
      </c>
      <c r="E532" s="11">
        <v>61994</v>
      </c>
      <c r="F532" s="11">
        <v>64883</v>
      </c>
    </row>
    <row r="533" spans="1:6">
      <c r="A533" s="14" t="s">
        <v>55</v>
      </c>
      <c r="B533" s="11">
        <v>100657</v>
      </c>
      <c r="C533" s="11">
        <v>182994</v>
      </c>
      <c r="D533" s="11">
        <v>182728</v>
      </c>
      <c r="E533" s="11">
        <v>191889</v>
      </c>
      <c r="F533" s="11">
        <v>205943</v>
      </c>
    </row>
    <row r="534" spans="1:6">
      <c r="A534" s="14" t="s">
        <v>57</v>
      </c>
      <c r="B534" s="11">
        <v>0</v>
      </c>
      <c r="C534" s="11">
        <v>0</v>
      </c>
      <c r="D534" s="11">
        <v>0</v>
      </c>
      <c r="E534" s="11">
        <v>0</v>
      </c>
      <c r="F534" s="11">
        <v>0</v>
      </c>
    </row>
    <row r="535" spans="1:6">
      <c r="A535" s="14" t="s">
        <v>58</v>
      </c>
      <c r="B535" s="11">
        <v>0</v>
      </c>
      <c r="C535" s="11">
        <v>0</v>
      </c>
      <c r="D535" s="11">
        <v>0</v>
      </c>
      <c r="E535" s="11">
        <v>0</v>
      </c>
      <c r="F535" s="11">
        <v>0</v>
      </c>
    </row>
    <row r="536" spans="1:6">
      <c r="A536" s="14" t="s">
        <v>59</v>
      </c>
      <c r="B536" s="11">
        <v>476415</v>
      </c>
      <c r="C536" s="11">
        <v>524910</v>
      </c>
      <c r="D536" s="11">
        <v>554558</v>
      </c>
      <c r="E536" s="11">
        <v>595397</v>
      </c>
      <c r="F536" s="11">
        <v>646443</v>
      </c>
    </row>
    <row r="537" spans="1:6">
      <c r="A537" s="14" t="s">
        <v>60</v>
      </c>
      <c r="B537" s="11">
        <v>359757</v>
      </c>
      <c r="C537" s="11">
        <v>384920</v>
      </c>
      <c r="D537" s="11">
        <v>416091</v>
      </c>
      <c r="E537" s="11">
        <v>400972</v>
      </c>
      <c r="F537" s="11">
        <v>510850</v>
      </c>
    </row>
    <row r="538" spans="1:6">
      <c r="A538" s="16" t="s">
        <v>83</v>
      </c>
      <c r="B538" s="11">
        <v>0</v>
      </c>
      <c r="C538" s="11">
        <v>33634</v>
      </c>
      <c r="D538" s="11">
        <v>40638</v>
      </c>
      <c r="E538" s="11">
        <v>49838</v>
      </c>
      <c r="F538" s="11">
        <v>55202</v>
      </c>
    </row>
    <row r="542" spans="1:7">
      <c r="A542" s="17" t="s">
        <v>10</v>
      </c>
      <c r="B542" s="11" t="s">
        <v>475</v>
      </c>
      <c r="C542" s="11"/>
      <c r="D542" s="11" t="s">
        <v>476</v>
      </c>
      <c r="E542" s="15"/>
      <c r="F542" s="15">
        <v>5940</v>
      </c>
      <c r="G542" s="9" t="s">
        <v>451</v>
      </c>
    </row>
    <row r="543" spans="1:6">
      <c r="A543" s="10" t="s">
        <v>448</v>
      </c>
      <c r="B543" s="11">
        <v>66923</v>
      </c>
      <c r="C543" s="11"/>
      <c r="D543" s="11"/>
      <c r="E543" s="11"/>
      <c r="F543" s="11"/>
    </row>
    <row r="544" spans="1:6">
      <c r="A544" s="12" t="s">
        <v>16</v>
      </c>
      <c r="B544" s="13">
        <v>36890</v>
      </c>
      <c r="C544" s="13">
        <v>37255</v>
      </c>
      <c r="D544" s="13">
        <v>37620</v>
      </c>
      <c r="E544" s="13">
        <v>37985</v>
      </c>
      <c r="F544" s="13">
        <v>38351</v>
      </c>
    </row>
    <row r="545" spans="1:6">
      <c r="A545" s="14" t="s">
        <v>18</v>
      </c>
      <c r="B545" s="11">
        <v>1555974</v>
      </c>
      <c r="C545" s="11">
        <v>1799661</v>
      </c>
      <c r="D545" s="11">
        <v>2063524</v>
      </c>
      <c r="E545" s="11">
        <v>2349599</v>
      </c>
      <c r="F545" s="11">
        <v>2552721</v>
      </c>
    </row>
    <row r="546" spans="1:6">
      <c r="A546" s="14" t="s">
        <v>19</v>
      </c>
      <c r="B546" s="11">
        <v>-895822</v>
      </c>
      <c r="C546" s="11">
        <v>-1029410</v>
      </c>
      <c r="D546" s="11">
        <v>-1158840</v>
      </c>
      <c r="E546" s="11">
        <v>-1318523</v>
      </c>
      <c r="F546" s="11">
        <v>-1475541</v>
      </c>
    </row>
    <row r="547" spans="1:6">
      <c r="A547" s="14" t="s">
        <v>21</v>
      </c>
      <c r="B547" s="11">
        <v>0</v>
      </c>
      <c r="C547" s="11">
        <v>0</v>
      </c>
      <c r="D547" s="11">
        <v>0</v>
      </c>
      <c r="E547" s="11">
        <v>0</v>
      </c>
      <c r="F547" s="11">
        <v>0</v>
      </c>
    </row>
    <row r="548" spans="1:6">
      <c r="A548" s="14" t="s">
        <v>22</v>
      </c>
      <c r="B548" s="11">
        <v>-533094</v>
      </c>
      <c r="C548" s="11">
        <v>-620376</v>
      </c>
      <c r="D548" s="11">
        <v>-715380</v>
      </c>
      <c r="E548" s="11">
        <v>-820121</v>
      </c>
      <c r="F548" s="11">
        <v>-871468</v>
      </c>
    </row>
    <row r="549" spans="1:6">
      <c r="A549" s="14" t="s">
        <v>24</v>
      </c>
      <c r="B549" s="11">
        <v>-29843</v>
      </c>
      <c r="C549" s="11">
        <v>-34912</v>
      </c>
      <c r="D549" s="11">
        <v>-45559</v>
      </c>
      <c r="E549" s="11">
        <v>-59863</v>
      </c>
      <c r="F549" s="11">
        <v>-64673</v>
      </c>
    </row>
    <row r="550" spans="1:6">
      <c r="A550" s="14" t="s">
        <v>82</v>
      </c>
      <c r="B550" s="11">
        <v>-8178</v>
      </c>
      <c r="C550" s="11">
        <v>-10928</v>
      </c>
      <c r="D550" s="11">
        <v>-17947</v>
      </c>
      <c r="E550" s="11">
        <v>-20243</v>
      </c>
      <c r="F550" s="11">
        <v>-29708</v>
      </c>
    </row>
    <row r="551" spans="1:6">
      <c r="A551" s="14" t="s">
        <v>27</v>
      </c>
      <c r="B551" s="11">
        <v>11044</v>
      </c>
      <c r="C551" s="11">
        <v>11335</v>
      </c>
      <c r="D551" s="11">
        <v>11458</v>
      </c>
      <c r="E551" s="11">
        <v>8378</v>
      </c>
      <c r="F551" s="11">
        <v>6904</v>
      </c>
    </row>
    <row r="552" spans="1:6">
      <c r="A552" s="14" t="s">
        <v>29</v>
      </c>
      <c r="B552" s="11">
        <v>-35085</v>
      </c>
      <c r="C552" s="11">
        <v>-42801</v>
      </c>
      <c r="D552" s="11">
        <v>-51471</v>
      </c>
      <c r="E552" s="11">
        <v>-51348</v>
      </c>
      <c r="F552" s="11">
        <v>-41831</v>
      </c>
    </row>
    <row r="553" spans="1:6">
      <c r="A553" s="14" t="s">
        <v>33</v>
      </c>
      <c r="B553" s="11">
        <v>0</v>
      </c>
      <c r="C553" s="11">
        <v>0</v>
      </c>
      <c r="D553" s="11">
        <v>0</v>
      </c>
      <c r="E553" s="11">
        <v>0</v>
      </c>
      <c r="F553" s="11">
        <v>0</v>
      </c>
    </row>
    <row r="554" spans="1:6">
      <c r="A554" s="14" t="s">
        <v>30</v>
      </c>
      <c r="B554" s="11">
        <v>0</v>
      </c>
      <c r="C554" s="11">
        <v>0</v>
      </c>
      <c r="D554" s="11">
        <v>0</v>
      </c>
      <c r="E554" s="11">
        <v>0</v>
      </c>
      <c r="F554" s="11">
        <v>0</v>
      </c>
    </row>
    <row r="555" spans="1:6">
      <c r="A555" s="14" t="s">
        <v>32</v>
      </c>
      <c r="B555" s="11">
        <v>0</v>
      </c>
      <c r="C555" s="11">
        <v>0</v>
      </c>
      <c r="D555" s="11">
        <v>0</v>
      </c>
      <c r="E555" s="11">
        <v>0</v>
      </c>
      <c r="F555" s="11">
        <v>0</v>
      </c>
    </row>
    <row r="556" spans="1:6">
      <c r="A556" s="14" t="s">
        <v>34</v>
      </c>
      <c r="B556" s="11">
        <v>0</v>
      </c>
      <c r="C556" s="11">
        <v>0</v>
      </c>
      <c r="D556" s="11">
        <v>0</v>
      </c>
      <c r="E556" s="11">
        <v>0</v>
      </c>
      <c r="F556" s="11">
        <v>0</v>
      </c>
    </row>
    <row r="557" spans="1:6">
      <c r="A557" s="14" t="s">
        <v>38</v>
      </c>
      <c r="B557" s="11">
        <v>248184</v>
      </c>
      <c r="C557" s="11">
        <v>86923</v>
      </c>
      <c r="D557" s="11">
        <v>172903</v>
      </c>
      <c r="E557" s="11">
        <v>131182</v>
      </c>
      <c r="F557" s="11">
        <v>410104</v>
      </c>
    </row>
    <row r="558" spans="1:6">
      <c r="A558" s="14" t="s">
        <v>39</v>
      </c>
      <c r="B558" s="11">
        <v>38733</v>
      </c>
      <c r="C558" s="11">
        <v>125000</v>
      </c>
      <c r="D558" s="11">
        <v>196359</v>
      </c>
      <c r="E558" s="11">
        <v>244270</v>
      </c>
      <c r="F558" s="11">
        <v>213014</v>
      </c>
    </row>
    <row r="559" spans="1:6">
      <c r="A559" s="14" t="s">
        <v>40</v>
      </c>
      <c r="B559" s="11">
        <v>313002</v>
      </c>
      <c r="C559" s="11">
        <v>396635</v>
      </c>
      <c r="D559" s="11">
        <v>484414</v>
      </c>
      <c r="E559" s="11">
        <v>608159</v>
      </c>
      <c r="F559" s="11">
        <v>517657</v>
      </c>
    </row>
    <row r="560" spans="1:6">
      <c r="A560" s="14" t="s">
        <v>41</v>
      </c>
      <c r="B560" s="11">
        <v>128568</v>
      </c>
      <c r="C560" s="11">
        <v>85469</v>
      </c>
      <c r="D560" s="11">
        <v>100545</v>
      </c>
      <c r="E560" s="11">
        <v>110777</v>
      </c>
      <c r="F560" s="11">
        <v>133439</v>
      </c>
    </row>
    <row r="561" spans="1:6">
      <c r="A561" s="14" t="s">
        <v>43</v>
      </c>
      <c r="B561" s="11">
        <v>294141</v>
      </c>
      <c r="C561" s="11">
        <v>459622</v>
      </c>
      <c r="D561" s="11">
        <v>600065</v>
      </c>
      <c r="E561" s="11">
        <v>904052</v>
      </c>
      <c r="F561" s="11">
        <v>920398</v>
      </c>
    </row>
    <row r="562" spans="1:6">
      <c r="A562" s="14" t="s">
        <v>44</v>
      </c>
      <c r="B562" s="11">
        <v>0</v>
      </c>
      <c r="C562" s="11">
        <v>0</v>
      </c>
      <c r="D562" s="11">
        <v>0</v>
      </c>
      <c r="E562" s="11">
        <v>0</v>
      </c>
      <c r="F562" s="11">
        <v>0</v>
      </c>
    </row>
    <row r="563" spans="1:6">
      <c r="A563" s="14" t="s">
        <v>45</v>
      </c>
      <c r="B563" s="11">
        <v>4555</v>
      </c>
      <c r="C563" s="11">
        <v>3617</v>
      </c>
      <c r="D563" s="11">
        <v>0</v>
      </c>
      <c r="E563" s="11">
        <v>8123</v>
      </c>
      <c r="F563" s="11">
        <v>5902</v>
      </c>
    </row>
    <row r="564" spans="1:6">
      <c r="A564" s="14" t="s">
        <v>46</v>
      </c>
      <c r="B564" s="11">
        <v>201048</v>
      </c>
      <c r="C564" s="11">
        <v>209014</v>
      </c>
      <c r="D564" s="11">
        <v>196944</v>
      </c>
      <c r="E564" s="11">
        <v>206267</v>
      </c>
      <c r="F564" s="11">
        <v>195552</v>
      </c>
    </row>
    <row r="565" spans="1:6">
      <c r="A565" s="14" t="s">
        <v>48</v>
      </c>
      <c r="B565" s="11">
        <v>28327</v>
      </c>
      <c r="C565" s="11">
        <v>21652</v>
      </c>
      <c r="D565" s="11">
        <v>33294</v>
      </c>
      <c r="E565" s="11">
        <v>126785</v>
      </c>
      <c r="F565" s="11">
        <v>179512</v>
      </c>
    </row>
    <row r="566" spans="1:6">
      <c r="A566" s="14" t="s">
        <v>49</v>
      </c>
      <c r="B566" s="11">
        <v>100826</v>
      </c>
      <c r="C566" s="11">
        <v>162305</v>
      </c>
      <c r="D566" s="11">
        <v>239285</v>
      </c>
      <c r="E566" s="11">
        <v>281391</v>
      </c>
      <c r="F566" s="11">
        <v>189766</v>
      </c>
    </row>
    <row r="567" spans="1:6">
      <c r="A567" s="14" t="s">
        <v>50</v>
      </c>
      <c r="B567" s="11">
        <v>0</v>
      </c>
      <c r="C567" s="11">
        <v>0</v>
      </c>
      <c r="D567" s="11">
        <v>0</v>
      </c>
      <c r="E567" s="11">
        <v>0</v>
      </c>
      <c r="F567" s="11">
        <v>0</v>
      </c>
    </row>
    <row r="568" spans="1:6">
      <c r="A568" s="14" t="s">
        <v>51</v>
      </c>
      <c r="B568" s="11">
        <v>324588</v>
      </c>
      <c r="C568" s="11">
        <v>364511</v>
      </c>
      <c r="D568" s="11">
        <v>346255</v>
      </c>
      <c r="E568" s="11">
        <v>422928</v>
      </c>
      <c r="F568" s="11">
        <v>331526</v>
      </c>
    </row>
    <row r="569" spans="1:6">
      <c r="A569" s="14" t="s">
        <v>53</v>
      </c>
      <c r="B569" s="11">
        <v>119825</v>
      </c>
      <c r="C569" s="11">
        <v>90777</v>
      </c>
      <c r="D569" s="11">
        <v>284579</v>
      </c>
      <c r="E569" s="11">
        <v>376600</v>
      </c>
      <c r="F569" s="11">
        <v>379336</v>
      </c>
    </row>
    <row r="570" spans="1:6">
      <c r="A570" s="14" t="s">
        <v>54</v>
      </c>
      <c r="B570" s="11">
        <v>71686</v>
      </c>
      <c r="C570" s="11">
        <v>66992</v>
      </c>
      <c r="D570" s="11">
        <v>83519</v>
      </c>
      <c r="E570" s="11">
        <v>145454</v>
      </c>
      <c r="F570" s="11">
        <v>363514</v>
      </c>
    </row>
    <row r="571" spans="1:6">
      <c r="A571" s="14" t="s">
        <v>55</v>
      </c>
      <c r="B571" s="11">
        <v>16625</v>
      </c>
      <c r="C571" s="11">
        <v>20190</v>
      </c>
      <c r="D571" s="11">
        <v>30440</v>
      </c>
      <c r="E571" s="11">
        <v>31113</v>
      </c>
      <c r="F571" s="11">
        <v>38707</v>
      </c>
    </row>
    <row r="572" spans="1:6">
      <c r="A572" s="14" t="s">
        <v>57</v>
      </c>
      <c r="B572" s="11">
        <v>0</v>
      </c>
      <c r="C572" s="11">
        <v>0</v>
      </c>
      <c r="D572" s="11">
        <v>0</v>
      </c>
      <c r="E572" s="11">
        <v>0</v>
      </c>
      <c r="F572" s="11">
        <v>0</v>
      </c>
    </row>
    <row r="573" spans="1:6">
      <c r="A573" s="14" t="s">
        <v>58</v>
      </c>
      <c r="B573" s="11">
        <v>0</v>
      </c>
      <c r="C573" s="11">
        <v>0</v>
      </c>
      <c r="D573" s="11">
        <v>0</v>
      </c>
      <c r="E573" s="11">
        <v>0</v>
      </c>
      <c r="F573" s="11">
        <v>0</v>
      </c>
    </row>
    <row r="574" spans="1:6">
      <c r="A574" s="14" t="s">
        <v>59</v>
      </c>
      <c r="B574" s="11">
        <v>239560</v>
      </c>
      <c r="C574" s="11">
        <v>240490</v>
      </c>
      <c r="D574" s="11">
        <v>248710</v>
      </c>
      <c r="E574" s="11">
        <v>257287</v>
      </c>
      <c r="F574" s="11">
        <v>266029</v>
      </c>
    </row>
    <row r="575" spans="1:6">
      <c r="A575" s="14" t="s">
        <v>60</v>
      </c>
      <c r="B575" s="11">
        <v>326794</v>
      </c>
      <c r="C575" s="11">
        <v>399363</v>
      </c>
      <c r="D575" s="11">
        <v>485148</v>
      </c>
      <c r="E575" s="11">
        <v>571272</v>
      </c>
      <c r="F575" s="11">
        <v>647676</v>
      </c>
    </row>
    <row r="576" spans="1:6">
      <c r="A576" s="237" t="s">
        <v>83</v>
      </c>
      <c r="B576" s="11">
        <v>0</v>
      </c>
      <c r="C576" s="11">
        <v>0</v>
      </c>
      <c r="D576" s="11">
        <v>0</v>
      </c>
      <c r="E576" s="11">
        <v>0</v>
      </c>
      <c r="F576" s="11">
        <v>0</v>
      </c>
    </row>
    <row r="580" spans="1:7">
      <c r="A580" s="17" t="s">
        <v>10</v>
      </c>
      <c r="B580" s="11" t="s">
        <v>477</v>
      </c>
      <c r="C580" s="11"/>
      <c r="D580" s="11" t="s">
        <v>478</v>
      </c>
      <c r="E580" s="15"/>
      <c r="F580" s="15">
        <v>5940</v>
      </c>
      <c r="G580" s="9" t="s">
        <v>451</v>
      </c>
    </row>
    <row r="581" spans="1:6">
      <c r="A581" s="10" t="s">
        <v>448</v>
      </c>
      <c r="B581" s="11">
        <v>36184.238</v>
      </c>
      <c r="C581" s="11"/>
      <c r="D581" s="11"/>
      <c r="E581" s="11"/>
      <c r="F581" s="11"/>
    </row>
    <row r="582" spans="1:6">
      <c r="A582" s="12" t="s">
        <v>16</v>
      </c>
      <c r="B582" s="13">
        <v>36890</v>
      </c>
      <c r="C582" s="13">
        <v>37255</v>
      </c>
      <c r="D582" s="13">
        <v>37620</v>
      </c>
      <c r="E582" s="13">
        <v>37985</v>
      </c>
      <c r="F582" s="13">
        <v>38351</v>
      </c>
    </row>
    <row r="583" spans="1:6">
      <c r="A583" s="14" t="s">
        <v>18</v>
      </c>
      <c r="B583" s="11">
        <v>651733.706</v>
      </c>
      <c r="C583" s="11">
        <v>872581.372</v>
      </c>
      <c r="D583" s="11">
        <v>821883.972</v>
      </c>
      <c r="E583" s="11">
        <v>952756.772</v>
      </c>
      <c r="F583" s="11">
        <v>1005890.007</v>
      </c>
    </row>
    <row r="584" spans="1:6">
      <c r="A584" s="14" t="s">
        <v>19</v>
      </c>
      <c r="B584" s="11">
        <v>-421579.033</v>
      </c>
      <c r="C584" s="11">
        <v>-563858.8</v>
      </c>
      <c r="D584" s="11">
        <v>-528199.099</v>
      </c>
      <c r="E584" s="11">
        <v>-608867.873</v>
      </c>
      <c r="F584" s="11">
        <v>-654520.54</v>
      </c>
    </row>
    <row r="585" spans="1:6">
      <c r="A585" s="14" t="s">
        <v>21</v>
      </c>
      <c r="B585" s="11">
        <v>-15.858</v>
      </c>
      <c r="C585" s="11">
        <v>0</v>
      </c>
      <c r="D585" s="11">
        <v>0</v>
      </c>
      <c r="E585" s="11">
        <v>0</v>
      </c>
      <c r="F585" s="11">
        <v>0</v>
      </c>
    </row>
    <row r="586" spans="1:6">
      <c r="A586" s="14" t="s">
        <v>22</v>
      </c>
      <c r="B586" s="11">
        <v>-174363.723</v>
      </c>
      <c r="C586" s="11">
        <v>-233253.166</v>
      </c>
      <c r="D586" s="11">
        <v>-223527.137</v>
      </c>
      <c r="E586" s="11">
        <v>-262509.683</v>
      </c>
      <c r="F586" s="11">
        <v>-277137.383</v>
      </c>
    </row>
    <row r="587" spans="1:6">
      <c r="A587" s="14" t="s">
        <v>24</v>
      </c>
      <c r="B587" s="11">
        <v>-12575.926</v>
      </c>
      <c r="C587" s="11">
        <v>-17407.505</v>
      </c>
      <c r="D587" s="11">
        <v>-16495.322</v>
      </c>
      <c r="E587" s="11">
        <v>-20813.794</v>
      </c>
      <c r="F587" s="11">
        <v>-23708.455</v>
      </c>
    </row>
    <row r="588" spans="1:6">
      <c r="A588" s="14" t="s">
        <v>82</v>
      </c>
      <c r="B588" s="11">
        <v>-4537.279</v>
      </c>
      <c r="C588" s="11">
        <v>-6317.332</v>
      </c>
      <c r="D588" s="11">
        <v>-5003.952</v>
      </c>
      <c r="E588" s="11">
        <v>-5198.575</v>
      </c>
      <c r="F588" s="11">
        <v>-5932.704</v>
      </c>
    </row>
    <row r="589" spans="1:6">
      <c r="A589" s="14" t="s">
        <v>27</v>
      </c>
      <c r="B589" s="11">
        <v>171.842</v>
      </c>
      <c r="C589" s="11">
        <v>-2556.461</v>
      </c>
      <c r="D589" s="11">
        <v>178.07</v>
      </c>
      <c r="E589" s="11">
        <v>-3610.119</v>
      </c>
      <c r="F589" s="11">
        <v>-23980.199</v>
      </c>
    </row>
    <row r="590" spans="1:6">
      <c r="A590" s="14" t="s">
        <v>29</v>
      </c>
      <c r="B590" s="11">
        <v>-15398.224</v>
      </c>
      <c r="C590" s="11">
        <v>-18753.2</v>
      </c>
      <c r="D590" s="11">
        <v>-19677.003</v>
      </c>
      <c r="E590" s="11">
        <v>-21873.014</v>
      </c>
      <c r="F590" s="11">
        <v>-13576.599</v>
      </c>
    </row>
    <row r="591" spans="1:6">
      <c r="A591" s="14" t="s">
        <v>33</v>
      </c>
      <c r="B591" s="11">
        <v>0</v>
      </c>
      <c r="C591" s="11">
        <v>0</v>
      </c>
      <c r="D591" s="11">
        <v>0</v>
      </c>
      <c r="E591" s="11">
        <v>0</v>
      </c>
      <c r="F591" s="11">
        <v>0</v>
      </c>
    </row>
    <row r="592" spans="1:6">
      <c r="A592" s="14" t="s">
        <v>30</v>
      </c>
      <c r="B592" s="11">
        <v>0</v>
      </c>
      <c r="C592" s="11">
        <v>0</v>
      </c>
      <c r="D592" s="11">
        <v>0</v>
      </c>
      <c r="E592" s="11">
        <v>0</v>
      </c>
      <c r="F592" s="11">
        <v>0</v>
      </c>
    </row>
    <row r="593" spans="1:6">
      <c r="A593" s="14" t="s">
        <v>32</v>
      </c>
      <c r="B593" s="11">
        <v>0</v>
      </c>
      <c r="C593" s="11">
        <v>0</v>
      </c>
      <c r="D593" s="11">
        <v>0</v>
      </c>
      <c r="E593" s="11">
        <v>0</v>
      </c>
      <c r="F593" s="11">
        <v>0</v>
      </c>
    </row>
    <row r="594" spans="1:6">
      <c r="A594" s="14" t="s">
        <v>34</v>
      </c>
      <c r="B594" s="11">
        <v>0</v>
      </c>
      <c r="C594" s="11">
        <v>0</v>
      </c>
      <c r="D594" s="11">
        <v>0</v>
      </c>
      <c r="E594" s="11">
        <v>0</v>
      </c>
      <c r="F594" s="11">
        <v>0</v>
      </c>
    </row>
    <row r="595" spans="1:6">
      <c r="A595" s="14" t="s">
        <v>38</v>
      </c>
      <c r="B595" s="11">
        <v>42631.72</v>
      </c>
      <c r="C595" s="11">
        <v>25177.026</v>
      </c>
      <c r="D595" s="11">
        <v>38845.574</v>
      </c>
      <c r="E595" s="11">
        <v>23553.183</v>
      </c>
      <c r="F595" s="11">
        <v>58037.453</v>
      </c>
    </row>
    <row r="596" spans="1:6">
      <c r="A596" s="14" t="s">
        <v>39</v>
      </c>
      <c r="B596" s="11">
        <v>11655.763</v>
      </c>
      <c r="C596" s="11">
        <v>25126.684</v>
      </c>
      <c r="D596" s="11">
        <v>30569.205</v>
      </c>
      <c r="E596" s="11">
        <v>38122.911</v>
      </c>
      <c r="F596" s="11">
        <v>33991.865</v>
      </c>
    </row>
    <row r="597" spans="1:6">
      <c r="A597" s="14" t="s">
        <v>40</v>
      </c>
      <c r="B597" s="11">
        <v>144192.483</v>
      </c>
      <c r="C597" s="11">
        <v>194027.092</v>
      </c>
      <c r="D597" s="11">
        <v>185408.239</v>
      </c>
      <c r="E597" s="11">
        <v>235144.421</v>
      </c>
      <c r="F597" s="11">
        <v>220260.809</v>
      </c>
    </row>
    <row r="598" spans="1:6">
      <c r="A598" s="14" t="s">
        <v>41</v>
      </c>
      <c r="B598" s="11">
        <v>22475.555</v>
      </c>
      <c r="C598" s="11">
        <v>18524.681</v>
      </c>
      <c r="D598" s="11">
        <v>20651.079</v>
      </c>
      <c r="E598" s="11">
        <v>25673.045</v>
      </c>
      <c r="F598" s="11">
        <v>26658.794</v>
      </c>
    </row>
    <row r="599" spans="1:6">
      <c r="A599" s="14" t="s">
        <v>43</v>
      </c>
      <c r="B599" s="11">
        <v>99331.996</v>
      </c>
      <c r="C599" s="11">
        <v>144467.899</v>
      </c>
      <c r="D599" s="11">
        <v>143097.482</v>
      </c>
      <c r="E599" s="11">
        <v>191862.624</v>
      </c>
      <c r="F599" s="11">
        <v>195646.756</v>
      </c>
    </row>
    <row r="600" spans="1:6">
      <c r="A600" s="14" t="s">
        <v>44</v>
      </c>
      <c r="B600" s="11">
        <v>0</v>
      </c>
      <c r="C600" s="11">
        <v>0</v>
      </c>
      <c r="D600" s="11">
        <v>0</v>
      </c>
      <c r="E600" s="11">
        <v>0</v>
      </c>
      <c r="F600" s="11">
        <v>0</v>
      </c>
    </row>
    <row r="601" spans="1:6">
      <c r="A601" s="14" t="s">
        <v>45</v>
      </c>
      <c r="B601" s="11">
        <v>31898.416</v>
      </c>
      <c r="C601" s="11">
        <v>36124.37</v>
      </c>
      <c r="D601" s="11">
        <v>28497.123</v>
      </c>
      <c r="E601" s="11">
        <v>50143.323</v>
      </c>
      <c r="F601" s="11">
        <v>33253.074</v>
      </c>
    </row>
    <row r="602" spans="1:6">
      <c r="A602" s="14" t="s">
        <v>46</v>
      </c>
      <c r="B602" s="11">
        <v>30887.932</v>
      </c>
      <c r="C602" s="11">
        <v>37687.222</v>
      </c>
      <c r="D602" s="11">
        <v>29621.291</v>
      </c>
      <c r="E602" s="11">
        <v>28501.988</v>
      </c>
      <c r="F602" s="11">
        <v>35707.295</v>
      </c>
    </row>
    <row r="603" spans="1:6">
      <c r="A603" s="14" t="s">
        <v>48</v>
      </c>
      <c r="B603" s="11">
        <v>4837.979</v>
      </c>
      <c r="C603" s="11">
        <v>4403.748</v>
      </c>
      <c r="D603" s="11">
        <v>9047.483</v>
      </c>
      <c r="E603" s="11">
        <v>21658.637</v>
      </c>
      <c r="F603" s="11">
        <v>23771.799</v>
      </c>
    </row>
    <row r="604" spans="1:6">
      <c r="A604" s="14" t="s">
        <v>49</v>
      </c>
      <c r="B604" s="11">
        <v>62191.098</v>
      </c>
      <c r="C604" s="11">
        <v>85743.665</v>
      </c>
      <c r="D604" s="11">
        <v>82179.082</v>
      </c>
      <c r="E604" s="11">
        <v>99913.777</v>
      </c>
      <c r="F604" s="11">
        <v>79342.814</v>
      </c>
    </row>
    <row r="605" spans="1:6">
      <c r="A605" s="14" t="s">
        <v>50</v>
      </c>
      <c r="B605" s="11">
        <v>0</v>
      </c>
      <c r="C605" s="11">
        <v>0</v>
      </c>
      <c r="D605" s="11">
        <v>0</v>
      </c>
      <c r="E605" s="11">
        <v>0</v>
      </c>
      <c r="F605" s="11">
        <v>0</v>
      </c>
    </row>
    <row r="606" spans="1:6">
      <c r="A606" s="14" t="s">
        <v>51</v>
      </c>
      <c r="B606" s="11">
        <v>75926.753</v>
      </c>
      <c r="C606" s="11">
        <v>97766.342</v>
      </c>
      <c r="D606" s="11">
        <v>83285.201</v>
      </c>
      <c r="E606" s="11">
        <v>105453.291</v>
      </c>
      <c r="F606" s="11">
        <v>85202.701</v>
      </c>
    </row>
    <row r="607" spans="1:6">
      <c r="A607" s="14" t="s">
        <v>53</v>
      </c>
      <c r="B607" s="11">
        <v>70604.458</v>
      </c>
      <c r="C607" s="11">
        <v>66984.186</v>
      </c>
      <c r="D607" s="11">
        <v>62412.58</v>
      </c>
      <c r="E607" s="11">
        <v>75812.086</v>
      </c>
      <c r="F607" s="11">
        <v>81123.404</v>
      </c>
    </row>
    <row r="608" spans="1:6">
      <c r="A608" s="14" t="s">
        <v>54</v>
      </c>
      <c r="B608" s="11">
        <v>24749.546</v>
      </c>
      <c r="C608" s="11">
        <v>31115.635</v>
      </c>
      <c r="D608" s="11">
        <v>33826.571</v>
      </c>
      <c r="E608" s="11">
        <v>47817.57</v>
      </c>
      <c r="F608" s="11">
        <v>78890.667</v>
      </c>
    </row>
    <row r="609" spans="1:6">
      <c r="A609" s="14" t="s">
        <v>55</v>
      </c>
      <c r="B609" s="11">
        <v>2408.625</v>
      </c>
      <c r="C609" s="11">
        <v>2884.286</v>
      </c>
      <c r="D609" s="11">
        <v>3517.556</v>
      </c>
      <c r="E609" s="11">
        <v>3675.556</v>
      </c>
      <c r="F609" s="11">
        <v>6263.754</v>
      </c>
    </row>
    <row r="610" spans="1:6">
      <c r="A610" s="14" t="s">
        <v>57</v>
      </c>
      <c r="B610" s="11">
        <v>0</v>
      </c>
      <c r="C610" s="11">
        <v>0</v>
      </c>
      <c r="D610" s="11">
        <v>4.667</v>
      </c>
      <c r="E610" s="11">
        <v>0.444</v>
      </c>
      <c r="F610" s="11">
        <v>0.444</v>
      </c>
    </row>
    <row r="611" spans="1:6">
      <c r="A611" s="14" t="s">
        <v>58</v>
      </c>
      <c r="B611" s="11">
        <v>375.829</v>
      </c>
      <c r="C611" s="11">
        <v>0</v>
      </c>
      <c r="D611" s="11">
        <v>0</v>
      </c>
      <c r="E611" s="11">
        <v>0</v>
      </c>
      <c r="F611" s="11">
        <v>0</v>
      </c>
    </row>
    <row r="612" spans="1:6">
      <c r="A612" s="14" t="s">
        <v>59</v>
      </c>
      <c r="B612" s="11">
        <v>83749.216</v>
      </c>
      <c r="C612" s="11">
        <v>96119.369</v>
      </c>
      <c r="D612" s="11">
        <v>94619.694</v>
      </c>
      <c r="E612" s="11">
        <v>102423.942</v>
      </c>
      <c r="F612" s="11">
        <v>106571.63</v>
      </c>
    </row>
    <row r="613" spans="1:6">
      <c r="A613" s="14" t="s">
        <v>60</v>
      </c>
      <c r="B613" s="11">
        <v>58230.36</v>
      </c>
      <c r="C613" s="11">
        <v>96117.743</v>
      </c>
      <c r="D613" s="11">
        <v>107797.161</v>
      </c>
      <c r="E613" s="11">
        <v>136246.193</v>
      </c>
      <c r="F613" s="11">
        <v>142388.942</v>
      </c>
    </row>
    <row r="614" spans="1:6">
      <c r="A614" s="237" t="s">
        <v>83</v>
      </c>
      <c r="B614" s="11">
        <v>198.375</v>
      </c>
      <c r="C614" s="11">
        <v>907</v>
      </c>
      <c r="D614" s="11">
        <v>857.444</v>
      </c>
      <c r="E614" s="11">
        <v>897.778</v>
      </c>
      <c r="F614" s="11">
        <v>864.556</v>
      </c>
    </row>
    <row r="618" spans="1:7">
      <c r="A618" s="17" t="s">
        <v>10</v>
      </c>
      <c r="B618" s="18" t="s">
        <v>479</v>
      </c>
      <c r="C618" s="19"/>
      <c r="D618" s="20" t="s">
        <v>480</v>
      </c>
      <c r="E618" s="20"/>
      <c r="F618" s="20">
        <v>4832</v>
      </c>
      <c r="G618" s="9" t="s">
        <v>451</v>
      </c>
    </row>
    <row r="619" spans="1:6">
      <c r="A619" s="17" t="s">
        <v>11</v>
      </c>
      <c r="B619" s="21">
        <v>1346227</v>
      </c>
      <c r="C619" s="20"/>
      <c r="D619" s="20"/>
      <c r="E619" s="20"/>
      <c r="F619" s="20"/>
    </row>
    <row r="620" spans="1:6">
      <c r="A620" s="12" t="s">
        <v>16</v>
      </c>
      <c r="B620" s="13">
        <v>35794</v>
      </c>
      <c r="C620" s="13">
        <v>36159</v>
      </c>
      <c r="D620" s="13">
        <v>36524</v>
      </c>
      <c r="E620" s="13">
        <v>36890</v>
      </c>
      <c r="F620" s="13">
        <v>37255</v>
      </c>
    </row>
    <row r="621" spans="1:6">
      <c r="A621" t="s">
        <v>18</v>
      </c>
      <c r="B621" s="22">
        <v>0</v>
      </c>
      <c r="C621" s="22">
        <v>805</v>
      </c>
      <c r="D621" s="22">
        <v>12872</v>
      </c>
      <c r="E621" s="22">
        <v>66854</v>
      </c>
      <c r="F621" s="22">
        <v>242245</v>
      </c>
    </row>
    <row r="622" spans="1:6">
      <c r="A622" t="s">
        <v>19</v>
      </c>
      <c r="B622" s="11">
        <v>-47464</v>
      </c>
      <c r="C622" s="11">
        <v>-69898</v>
      </c>
      <c r="D622" s="11">
        <v>-86774</v>
      </c>
      <c r="E622" s="11">
        <v>-120914</v>
      </c>
      <c r="F622" s="11">
        <v>-184943</v>
      </c>
    </row>
    <row r="623" spans="1:6">
      <c r="A623" t="s">
        <v>21</v>
      </c>
      <c r="B623" s="11">
        <v>-47794</v>
      </c>
      <c r="C623" s="11">
        <v>-30087</v>
      </c>
      <c r="D623" s="11">
        <v>-24534</v>
      </c>
      <c r="E623" s="11">
        <v>-30520</v>
      </c>
      <c r="F623" s="11">
        <v>-44745</v>
      </c>
    </row>
    <row r="624" spans="1:6">
      <c r="A624" t="s">
        <v>22</v>
      </c>
      <c r="B624" s="11">
        <v>-64146</v>
      </c>
      <c r="C624" s="11">
        <v>-131200</v>
      </c>
      <c r="D624" s="11">
        <v>-243741</v>
      </c>
      <c r="E624" s="11">
        <v>-498354</v>
      </c>
      <c r="F624" s="11">
        <v>-743142</v>
      </c>
    </row>
    <row r="625" spans="1:6">
      <c r="A625" t="s">
        <v>24</v>
      </c>
      <c r="B625" s="11">
        <v>-9052</v>
      </c>
      <c r="C625" s="11">
        <v>-82747</v>
      </c>
      <c r="D625" s="11">
        <v>-95353</v>
      </c>
      <c r="E625" s="11">
        <v>-95370</v>
      </c>
      <c r="F625" s="11">
        <v>-98555</v>
      </c>
    </row>
    <row r="626" spans="1:6">
      <c r="A626" t="s">
        <v>82</v>
      </c>
      <c r="B626" s="11">
        <v>-89686</v>
      </c>
      <c r="C626" s="11">
        <v>-106163</v>
      </c>
      <c r="D626" s="11">
        <v>-50510</v>
      </c>
      <c r="E626" s="11">
        <v>-41386</v>
      </c>
      <c r="F626" s="11">
        <v>-45361</v>
      </c>
    </row>
    <row r="627" spans="1:6">
      <c r="A627" t="s">
        <v>27</v>
      </c>
      <c r="B627" s="11">
        <v>22379</v>
      </c>
      <c r="C627" s="11">
        <v>-3191</v>
      </c>
      <c r="D627" s="11">
        <v>261825</v>
      </c>
      <c r="E627" s="11">
        <v>11729</v>
      </c>
      <c r="F627" s="11">
        <v>13815</v>
      </c>
    </row>
    <row r="628" spans="1:6">
      <c r="A628" t="s">
        <v>29</v>
      </c>
      <c r="B628" s="11">
        <v>0</v>
      </c>
      <c r="C628" s="11">
        <v>0</v>
      </c>
      <c r="D628" s="11">
        <v>0</v>
      </c>
      <c r="E628" s="11">
        <v>-4201</v>
      </c>
      <c r="F628" s="11">
        <v>-2311</v>
      </c>
    </row>
    <row r="629" spans="1:6">
      <c r="A629" t="s">
        <v>33</v>
      </c>
      <c r="B629" s="11">
        <v>0</v>
      </c>
      <c r="C629" s="11">
        <v>0</v>
      </c>
      <c r="D629" s="11">
        <v>0</v>
      </c>
      <c r="E629" s="11">
        <v>0</v>
      </c>
      <c r="F629" s="11">
        <v>0</v>
      </c>
    </row>
    <row r="630" spans="1:6">
      <c r="A630" t="s">
        <v>30</v>
      </c>
      <c r="B630" s="11">
        <v>0</v>
      </c>
      <c r="C630" s="11">
        <v>0</v>
      </c>
      <c r="D630" s="11">
        <v>0</v>
      </c>
      <c r="E630" s="11">
        <v>0</v>
      </c>
      <c r="F630" s="11">
        <v>0</v>
      </c>
    </row>
    <row r="631" spans="1:6">
      <c r="A631" t="s">
        <v>32</v>
      </c>
      <c r="B631" s="11">
        <v>0</v>
      </c>
      <c r="C631" s="11">
        <v>0</v>
      </c>
      <c r="D631" s="11">
        <v>0</v>
      </c>
      <c r="E631" s="11">
        <v>0</v>
      </c>
      <c r="F631" s="11">
        <v>0</v>
      </c>
    </row>
    <row r="632" spans="1:6">
      <c r="A632" t="s">
        <v>34</v>
      </c>
      <c r="B632" s="11">
        <v>0</v>
      </c>
      <c r="C632" s="11">
        <v>0</v>
      </c>
      <c r="D632" s="11">
        <v>0</v>
      </c>
      <c r="E632" s="11">
        <v>0</v>
      </c>
      <c r="F632" s="11">
        <v>0</v>
      </c>
    </row>
    <row r="633" spans="1:6">
      <c r="A633" t="s">
        <v>38</v>
      </c>
      <c r="B633" s="11">
        <v>323742</v>
      </c>
      <c r="C633" s="11">
        <v>173702</v>
      </c>
      <c r="D633" s="11">
        <v>551880</v>
      </c>
      <c r="E633" s="11">
        <v>763874</v>
      </c>
      <c r="F633" s="11">
        <v>904422</v>
      </c>
    </row>
    <row r="634" spans="1:6">
      <c r="A634" t="s">
        <v>39</v>
      </c>
      <c r="B634" s="11">
        <v>0</v>
      </c>
      <c r="C634" s="11">
        <v>0</v>
      </c>
      <c r="D634" s="11">
        <v>0</v>
      </c>
      <c r="E634" s="11">
        <v>0</v>
      </c>
      <c r="F634" s="11">
        <v>31688</v>
      </c>
    </row>
    <row r="635" spans="1:6">
      <c r="A635" t="s">
        <v>40</v>
      </c>
      <c r="B635" s="11">
        <v>0</v>
      </c>
      <c r="C635" s="11">
        <v>0</v>
      </c>
      <c r="D635" s="11">
        <v>0</v>
      </c>
      <c r="E635" s="11">
        <v>0</v>
      </c>
      <c r="F635" s="11">
        <v>14256</v>
      </c>
    </row>
    <row r="636" spans="1:6">
      <c r="A636" t="s">
        <v>41</v>
      </c>
      <c r="B636" s="11">
        <v>12303</v>
      </c>
      <c r="C636" s="11">
        <v>25907</v>
      </c>
      <c r="D636" s="11">
        <v>27784</v>
      </c>
      <c r="E636" s="11">
        <v>47166</v>
      </c>
      <c r="F636" s="11">
        <v>61082</v>
      </c>
    </row>
    <row r="637" spans="1:6">
      <c r="A637" t="s">
        <v>43</v>
      </c>
      <c r="B637" s="11">
        <v>1082915</v>
      </c>
      <c r="C637" s="11">
        <v>1032874</v>
      </c>
      <c r="D637" s="11">
        <v>941052</v>
      </c>
      <c r="E637" s="11">
        <v>881280</v>
      </c>
      <c r="F637" s="11">
        <v>828357</v>
      </c>
    </row>
    <row r="638" spans="1:6">
      <c r="A638" t="s">
        <v>44</v>
      </c>
      <c r="B638" s="11">
        <v>7200</v>
      </c>
      <c r="C638" s="11">
        <v>7200</v>
      </c>
      <c r="D638" s="11">
        <v>6750</v>
      </c>
      <c r="E638" s="11">
        <v>92615</v>
      </c>
      <c r="F638" s="11">
        <v>82450</v>
      </c>
    </row>
    <row r="639" spans="1:6">
      <c r="A639" t="s">
        <v>45</v>
      </c>
      <c r="B639" s="11">
        <v>83654</v>
      </c>
      <c r="C639" s="11">
        <v>83654</v>
      </c>
      <c r="D639" s="11">
        <v>83654</v>
      </c>
      <c r="E639" s="11">
        <v>83654</v>
      </c>
      <c r="F639" s="11">
        <v>83654</v>
      </c>
    </row>
    <row r="640" spans="1:6">
      <c r="A640" t="s">
        <v>46</v>
      </c>
      <c r="B640" s="11">
        <v>17791</v>
      </c>
      <c r="C640" s="11">
        <v>17603</v>
      </c>
      <c r="D640" s="11">
        <v>6197</v>
      </c>
      <c r="E640" s="11">
        <v>89024</v>
      </c>
      <c r="F640" s="11">
        <v>79453</v>
      </c>
    </row>
    <row r="641" spans="1:6">
      <c r="A641" t="s">
        <v>48</v>
      </c>
      <c r="B641" s="11">
        <v>0</v>
      </c>
      <c r="C641" s="11">
        <v>0</v>
      </c>
      <c r="D641" s="11">
        <v>0</v>
      </c>
      <c r="E641" s="11">
        <v>0</v>
      </c>
      <c r="F641" s="11">
        <v>0</v>
      </c>
    </row>
    <row r="642" spans="1:6">
      <c r="A642" t="s">
        <v>49</v>
      </c>
      <c r="B642" s="11">
        <v>39836</v>
      </c>
      <c r="C642" s="11">
        <v>43336</v>
      </c>
      <c r="D642" s="11">
        <v>65919</v>
      </c>
      <c r="E642" s="11">
        <v>5525</v>
      </c>
      <c r="F642" s="11">
        <v>6829</v>
      </c>
    </row>
    <row r="643" spans="1:6">
      <c r="A643" t="s">
        <v>50</v>
      </c>
      <c r="B643" s="11">
        <v>0</v>
      </c>
      <c r="C643" s="11">
        <v>0</v>
      </c>
      <c r="D643" s="11">
        <v>0</v>
      </c>
      <c r="E643" s="11">
        <v>0</v>
      </c>
      <c r="F643" s="11">
        <v>0</v>
      </c>
    </row>
    <row r="644" spans="1:6">
      <c r="A644" t="s">
        <v>51</v>
      </c>
      <c r="B644" s="11">
        <v>20477</v>
      </c>
      <c r="C644" s="11">
        <v>4984</v>
      </c>
      <c r="D644" s="11">
        <v>16084</v>
      </c>
      <c r="E644" s="11">
        <v>263989</v>
      </c>
      <c r="F644" s="11">
        <v>600138</v>
      </c>
    </row>
    <row r="645" spans="1:6">
      <c r="A645" t="s">
        <v>53</v>
      </c>
      <c r="B645" s="11">
        <v>639990</v>
      </c>
      <c r="C645" s="11">
        <v>670357</v>
      </c>
      <c r="D645" s="11">
        <v>194803</v>
      </c>
      <c r="E645" s="11">
        <v>656274</v>
      </c>
      <c r="F645" s="11">
        <v>1084437</v>
      </c>
    </row>
    <row r="646" spans="1:6">
      <c r="A646" t="s">
        <v>54</v>
      </c>
      <c r="B646" s="11">
        <v>19485</v>
      </c>
      <c r="C646" s="11">
        <v>54264</v>
      </c>
      <c r="D646" s="11">
        <v>11593</v>
      </c>
      <c r="E646" s="11">
        <v>15501</v>
      </c>
      <c r="F646" s="11">
        <v>12511</v>
      </c>
    </row>
    <row r="647" spans="1:6">
      <c r="A647" t="s">
        <v>55</v>
      </c>
      <c r="B647" s="11">
        <v>0</v>
      </c>
      <c r="C647" s="11">
        <v>0</v>
      </c>
      <c r="D647" s="11">
        <v>3724</v>
      </c>
      <c r="E647" s="11">
        <v>15691</v>
      </c>
      <c r="F647" s="11">
        <v>56479</v>
      </c>
    </row>
    <row r="648" spans="1:6">
      <c r="A648" t="s">
        <v>57</v>
      </c>
      <c r="B648" s="11">
        <v>0</v>
      </c>
      <c r="C648" s="11">
        <v>0</v>
      </c>
      <c r="D648" s="11">
        <v>0</v>
      </c>
      <c r="E648" s="11">
        <v>0</v>
      </c>
      <c r="F648" s="11">
        <v>0</v>
      </c>
    </row>
    <row r="649" spans="1:6">
      <c r="A649" t="s">
        <v>58</v>
      </c>
      <c r="B649" s="11">
        <v>485168</v>
      </c>
      <c r="C649" s="11">
        <v>531153</v>
      </c>
      <c r="D649" s="11">
        <v>0</v>
      </c>
      <c r="E649" s="11">
        <v>0</v>
      </c>
      <c r="F649" s="11">
        <v>0</v>
      </c>
    </row>
    <row r="650" spans="1:6">
      <c r="A650" t="s">
        <v>59</v>
      </c>
      <c r="B650" s="11">
        <v>827647</v>
      </c>
      <c r="C650" s="11">
        <v>964325</v>
      </c>
      <c r="D650" s="11">
        <v>2478888</v>
      </c>
      <c r="E650" s="11">
        <v>2866489</v>
      </c>
      <c r="F650" s="11">
        <v>3053821</v>
      </c>
    </row>
    <row r="651" spans="1:6">
      <c r="A651" t="s">
        <v>60</v>
      </c>
      <c r="B651" s="11">
        <v>-504998</v>
      </c>
      <c r="C651" s="11">
        <v>-927479</v>
      </c>
      <c r="D651" s="11">
        <v>-1153694</v>
      </c>
      <c r="E651" s="11">
        <v>-1865856</v>
      </c>
      <c r="F651" s="11">
        <v>-2728853</v>
      </c>
    </row>
    <row r="652" spans="1:6">
      <c r="A652" t="s">
        <v>83</v>
      </c>
      <c r="B652" s="11">
        <v>0</v>
      </c>
      <c r="C652" s="11">
        <v>0</v>
      </c>
      <c r="D652" s="11">
        <v>0</v>
      </c>
      <c r="E652" s="11">
        <v>0</v>
      </c>
      <c r="F652" s="11">
        <v>0</v>
      </c>
    </row>
    <row r="656" spans="1:7">
      <c r="A656" s="17" t="s">
        <v>10</v>
      </c>
      <c r="B656" s="11" t="s">
        <v>481</v>
      </c>
      <c r="C656" s="11"/>
      <c r="D656" s="11" t="s">
        <v>482</v>
      </c>
      <c r="E656" s="15"/>
      <c r="F656" s="15">
        <v>4813</v>
      </c>
      <c r="G656" s="9" t="s">
        <v>451</v>
      </c>
    </row>
    <row r="657" spans="1:6">
      <c r="A657" s="17" t="s">
        <v>11</v>
      </c>
      <c r="B657" s="11">
        <v>1979509</v>
      </c>
      <c r="C657" s="11"/>
      <c r="D657" s="11"/>
      <c r="E657" s="11"/>
      <c r="F657" s="11"/>
    </row>
    <row r="658" spans="1:6">
      <c r="A658" s="23" t="s">
        <v>16</v>
      </c>
      <c r="B658" s="13">
        <v>36890</v>
      </c>
      <c r="C658" s="13">
        <v>37255</v>
      </c>
      <c r="D658" s="13">
        <v>37620</v>
      </c>
      <c r="E658" s="13">
        <v>37985</v>
      </c>
      <c r="F658" s="13">
        <v>38351</v>
      </c>
    </row>
    <row r="659" spans="1:6">
      <c r="A659" t="s">
        <v>18</v>
      </c>
      <c r="B659" s="11">
        <v>71283000</v>
      </c>
      <c r="C659" s="11">
        <v>75112000</v>
      </c>
      <c r="D659" s="11">
        <v>88144000</v>
      </c>
      <c r="E659" s="11">
        <v>93469000</v>
      </c>
      <c r="F659" s="11">
        <v>97354000</v>
      </c>
    </row>
    <row r="660" spans="1:6">
      <c r="A660" t="s">
        <v>19</v>
      </c>
      <c r="B660" s="11">
        <v>-23168000</v>
      </c>
      <c r="C660" s="11">
        <v>-25469000</v>
      </c>
      <c r="D660" s="11">
        <v>-34994000</v>
      </c>
      <c r="E660" s="11">
        <v>-37547000</v>
      </c>
      <c r="F660" s="11">
        <v>-39007000</v>
      </c>
    </row>
    <row r="661" spans="1:6">
      <c r="A661" t="s">
        <v>21</v>
      </c>
      <c r="B661" s="11">
        <v>0</v>
      </c>
      <c r="C661" s="11">
        <v>0</v>
      </c>
      <c r="D661" s="11">
        <v>0</v>
      </c>
      <c r="E661" s="11">
        <v>0</v>
      </c>
      <c r="F661" s="11">
        <v>0</v>
      </c>
    </row>
    <row r="662" spans="1:6">
      <c r="A662" t="s">
        <v>22</v>
      </c>
      <c r="B662" s="11">
        <v>-21088000</v>
      </c>
      <c r="C662" s="11">
        <v>-21312000</v>
      </c>
      <c r="D662" s="11">
        <v>-25232000</v>
      </c>
      <c r="E662" s="11">
        <v>-25967000</v>
      </c>
      <c r="F662" s="11">
        <v>-26898000</v>
      </c>
    </row>
    <row r="663" spans="1:6">
      <c r="A663" t="s">
        <v>24</v>
      </c>
      <c r="B663" s="11">
        <v>-13910000</v>
      </c>
      <c r="C663" s="11">
        <v>-14047000</v>
      </c>
      <c r="D663" s="11">
        <v>-14545000</v>
      </c>
      <c r="E663" s="11">
        <v>-14377000</v>
      </c>
      <c r="F663" s="11">
        <v>-14565000</v>
      </c>
    </row>
    <row r="664" spans="1:6">
      <c r="A664" t="s">
        <v>82</v>
      </c>
      <c r="B664" s="11">
        <v>-2384000</v>
      </c>
      <c r="C664" s="11">
        <v>-2180000</v>
      </c>
      <c r="D664" s="11">
        <v>-2349000</v>
      </c>
      <c r="E664" s="11">
        <v>-1829000</v>
      </c>
      <c r="F664" s="11">
        <v>-1819000</v>
      </c>
    </row>
    <row r="665" spans="1:6">
      <c r="A665" t="s">
        <v>27</v>
      </c>
      <c r="B665" s="11">
        <v>1788000</v>
      </c>
      <c r="C665" s="11">
        <v>1548000</v>
      </c>
      <c r="D665" s="11">
        <v>1168000</v>
      </c>
      <c r="E665" s="11">
        <v>796000</v>
      </c>
      <c r="F665" s="11">
        <v>849000</v>
      </c>
    </row>
    <row r="666" spans="1:6">
      <c r="A666" t="s">
        <v>29</v>
      </c>
      <c r="B666" s="11">
        <v>-2851000</v>
      </c>
      <c r="C666" s="11">
        <v>-3210000</v>
      </c>
      <c r="D666" s="11">
        <v>-2674000</v>
      </c>
      <c r="E666" s="11">
        <v>-3982000</v>
      </c>
      <c r="F666" s="11">
        <v>-3331000</v>
      </c>
    </row>
    <row r="667" spans="1:6">
      <c r="A667" t="s">
        <v>33</v>
      </c>
      <c r="B667" s="11">
        <v>-2409000</v>
      </c>
      <c r="C667" s="11">
        <v>-3045000</v>
      </c>
      <c r="D667" s="11">
        <v>-4038000</v>
      </c>
      <c r="E667" s="11">
        <v>-5053000</v>
      </c>
      <c r="F667" s="11">
        <v>-6155000</v>
      </c>
    </row>
    <row r="668" spans="1:6">
      <c r="A668" t="s">
        <v>30</v>
      </c>
      <c r="B668" s="11">
        <v>0</v>
      </c>
      <c r="C668" s="11">
        <v>0</v>
      </c>
      <c r="D668" s="11">
        <v>-42000</v>
      </c>
      <c r="E668" s="11">
        <v>0</v>
      </c>
      <c r="F668" s="11">
        <v>0</v>
      </c>
    </row>
    <row r="669" spans="1:6">
      <c r="A669" t="s">
        <v>32</v>
      </c>
      <c r="B669" s="11">
        <v>570000</v>
      </c>
      <c r="C669" s="11">
        <v>0</v>
      </c>
      <c r="D669" s="11">
        <v>759000</v>
      </c>
      <c r="E669" s="11">
        <v>11000</v>
      </c>
      <c r="F669" s="11">
        <v>0</v>
      </c>
    </row>
    <row r="670" spans="1:6">
      <c r="A670" t="s">
        <v>34</v>
      </c>
      <c r="B670" s="11">
        <v>0</v>
      </c>
      <c r="C670" s="11">
        <v>0</v>
      </c>
      <c r="D670" s="11">
        <v>0</v>
      </c>
      <c r="E670" s="11">
        <v>0</v>
      </c>
      <c r="F670" s="11">
        <v>0</v>
      </c>
    </row>
    <row r="671" spans="1:6">
      <c r="A671" t="s">
        <v>38</v>
      </c>
      <c r="B671" s="11">
        <v>4547000</v>
      </c>
      <c r="C671" s="11">
        <v>3274000</v>
      </c>
      <c r="D671" s="11">
        <v>5653000</v>
      </c>
      <c r="E671" s="11">
        <v>3397000</v>
      </c>
      <c r="F671" s="11">
        <v>10291000</v>
      </c>
    </row>
    <row r="672" spans="1:6">
      <c r="A672" t="s">
        <v>39</v>
      </c>
      <c r="B672" s="11">
        <v>9801000</v>
      </c>
      <c r="C672" s="11">
        <v>9171000</v>
      </c>
      <c r="D672" s="11">
        <v>10891000</v>
      </c>
      <c r="E672" s="11">
        <v>11736000</v>
      </c>
      <c r="F672" s="11">
        <v>11703000</v>
      </c>
    </row>
    <row r="673" spans="1:6">
      <c r="A673" t="s">
        <v>40</v>
      </c>
      <c r="B673" s="11">
        <v>1535000</v>
      </c>
      <c r="C673" s="11">
        <v>1780000</v>
      </c>
      <c r="D673" s="11">
        <v>1514000</v>
      </c>
      <c r="E673" s="11">
        <v>1729000</v>
      </c>
      <c r="F673" s="11">
        <v>2092000</v>
      </c>
    </row>
    <row r="674" spans="1:6">
      <c r="A674" t="s">
        <v>41</v>
      </c>
      <c r="B674" s="11">
        <v>3596000</v>
      </c>
      <c r="C674" s="11">
        <v>2223000</v>
      </c>
      <c r="D674" s="11">
        <v>4480000</v>
      </c>
      <c r="E674" s="11">
        <v>1836000</v>
      </c>
      <c r="F674" s="11">
        <v>1989000</v>
      </c>
    </row>
    <row r="675" spans="1:6">
      <c r="A675" t="s">
        <v>43</v>
      </c>
      <c r="B675" s="11">
        <v>74124000</v>
      </c>
      <c r="C675" s="11">
        <v>75305000</v>
      </c>
      <c r="D675" s="11">
        <v>82356000</v>
      </c>
      <c r="E675" s="11">
        <v>85294000</v>
      </c>
      <c r="F675" s="11">
        <v>86546000</v>
      </c>
    </row>
    <row r="676" spans="1:6">
      <c r="A676" t="s">
        <v>44</v>
      </c>
      <c r="B676" s="11">
        <v>0</v>
      </c>
      <c r="C676" s="11">
        <v>0</v>
      </c>
      <c r="D676" s="11">
        <v>0</v>
      </c>
      <c r="E676" s="11">
        <v>0</v>
      </c>
      <c r="F676" s="11">
        <v>0</v>
      </c>
    </row>
    <row r="677" spans="1:6">
      <c r="A677" t="s">
        <v>45</v>
      </c>
      <c r="B677" s="11">
        <v>47448000</v>
      </c>
      <c r="C677" s="11">
        <v>52933000</v>
      </c>
      <c r="D677" s="11">
        <v>61754000</v>
      </c>
      <c r="E677" s="11">
        <v>61029000</v>
      </c>
      <c r="F677" s="11">
        <v>73208000</v>
      </c>
    </row>
    <row r="678" spans="1:6">
      <c r="A678" t="s">
        <v>46</v>
      </c>
      <c r="B678" s="11">
        <v>24907000</v>
      </c>
      <c r="C678" s="11">
        <v>23444000</v>
      </c>
      <c r="D678" s="11">
        <v>22156000</v>
      </c>
      <c r="E678" s="11">
        <v>21938000</v>
      </c>
      <c r="F678" s="11">
        <v>16523000</v>
      </c>
    </row>
    <row r="679" spans="1:6">
      <c r="A679" t="s">
        <v>48</v>
      </c>
      <c r="B679" s="11">
        <v>3593000</v>
      </c>
      <c r="C679" s="11">
        <v>7141000</v>
      </c>
      <c r="D679" s="11">
        <v>7715000</v>
      </c>
      <c r="E679" s="11">
        <v>2954000</v>
      </c>
      <c r="F679" s="11">
        <v>4993000</v>
      </c>
    </row>
    <row r="680" spans="1:6">
      <c r="A680" t="s">
        <v>49</v>
      </c>
      <c r="B680" s="11">
        <v>13177000</v>
      </c>
      <c r="C680" s="11">
        <v>12351000</v>
      </c>
      <c r="D680" s="11">
        <v>14320000</v>
      </c>
      <c r="E680" s="11">
        <v>4491000</v>
      </c>
      <c r="F680" s="11">
        <v>3856000</v>
      </c>
    </row>
    <row r="681" spans="1:6">
      <c r="A681" t="s">
        <v>50</v>
      </c>
      <c r="B681" s="11">
        <v>0</v>
      </c>
      <c r="C681" s="11">
        <v>0</v>
      </c>
      <c r="D681" s="11">
        <v>0</v>
      </c>
      <c r="E681" s="11">
        <v>0</v>
      </c>
      <c r="F681" s="11">
        <v>0</v>
      </c>
    </row>
    <row r="682" spans="1:6">
      <c r="A682" t="s">
        <v>51</v>
      </c>
      <c r="B682" s="11">
        <v>6359000</v>
      </c>
      <c r="C682" s="11">
        <v>5571000</v>
      </c>
      <c r="D682" s="11">
        <v>10245000</v>
      </c>
      <c r="E682" s="11">
        <v>17296000</v>
      </c>
      <c r="F682" s="11">
        <v>17057000</v>
      </c>
    </row>
    <row r="683" spans="1:6">
      <c r="A683" t="s">
        <v>53</v>
      </c>
      <c r="B683" s="11">
        <v>35674000</v>
      </c>
      <c r="C683" s="11">
        <v>31869000</v>
      </c>
      <c r="D683" s="11">
        <v>28646000</v>
      </c>
      <c r="E683" s="11">
        <v>28203000</v>
      </c>
      <c r="F683" s="11">
        <v>46959000</v>
      </c>
    </row>
    <row r="684" spans="1:6">
      <c r="A684" t="s">
        <v>54</v>
      </c>
      <c r="B684" s="11">
        <v>22010000</v>
      </c>
      <c r="C684" s="11">
        <v>22353000</v>
      </c>
      <c r="D684" s="11">
        <v>34736000</v>
      </c>
      <c r="E684" s="11">
        <v>36362000</v>
      </c>
      <c r="F684" s="11">
        <v>38813000</v>
      </c>
    </row>
    <row r="685" spans="1:6">
      <c r="A685" t="s">
        <v>55</v>
      </c>
      <c r="B685" s="11">
        <v>22532000</v>
      </c>
      <c r="C685" s="11">
        <v>22411000</v>
      </c>
      <c r="D685" s="11">
        <v>16270000</v>
      </c>
      <c r="E685" s="11">
        <v>14784000</v>
      </c>
      <c r="F685" s="11">
        <v>11769000</v>
      </c>
    </row>
    <row r="686" spans="1:6">
      <c r="A686" t="s">
        <v>57</v>
      </c>
      <c r="B686" s="11">
        <v>25053000</v>
      </c>
      <c r="C686" s="11">
        <v>26754000</v>
      </c>
      <c r="D686" s="11">
        <v>28337000</v>
      </c>
      <c r="E686" s="11">
        <v>32288000</v>
      </c>
      <c r="F686" s="11">
        <v>37199000</v>
      </c>
    </row>
    <row r="687" spans="1:6">
      <c r="A687" t="s">
        <v>58</v>
      </c>
      <c r="B687" s="11">
        <v>0</v>
      </c>
      <c r="C687" s="11">
        <v>0</v>
      </c>
      <c r="D687" s="11">
        <v>0</v>
      </c>
      <c r="E687" s="11">
        <v>0</v>
      </c>
      <c r="F687" s="11">
        <v>0</v>
      </c>
    </row>
    <row r="688" spans="1:6">
      <c r="A688" t="s">
        <v>59</v>
      </c>
      <c r="B688" s="11">
        <v>24576000</v>
      </c>
      <c r="C688" s="11">
        <v>23775000</v>
      </c>
      <c r="D688" s="11">
        <v>31211000</v>
      </c>
      <c r="E688" s="11">
        <v>32697000</v>
      </c>
      <c r="F688" s="11">
        <v>22456000</v>
      </c>
    </row>
    <row r="689" spans="1:6">
      <c r="A689" t="s">
        <v>60</v>
      </c>
      <c r="B689" s="11">
        <v>12984000</v>
      </c>
      <c r="C689" s="11">
        <v>15905000</v>
      </c>
      <c r="D689" s="11">
        <v>17324000</v>
      </c>
      <c r="E689" s="11">
        <v>17884000</v>
      </c>
      <c r="F689" s="11">
        <v>19250000</v>
      </c>
    </row>
    <row r="690" spans="1:6">
      <c r="A690" t="s">
        <v>83</v>
      </c>
      <c r="B690" s="11">
        <v>4262000</v>
      </c>
      <c r="C690" s="11">
        <v>4427000</v>
      </c>
      <c r="D690" s="11">
        <v>4719000</v>
      </c>
      <c r="E690" s="11">
        <v>4773000</v>
      </c>
      <c r="F690" s="11">
        <v>4994000</v>
      </c>
    </row>
    <row r="694" spans="1:7">
      <c r="A694" s="17" t="s">
        <v>10</v>
      </c>
      <c r="B694" s="18" t="s">
        <v>483</v>
      </c>
      <c r="C694" s="24"/>
      <c r="D694" s="20" t="s">
        <v>484</v>
      </c>
      <c r="E694" s="20"/>
      <c r="F694" s="20">
        <v>3571</v>
      </c>
      <c r="G694" s="9" t="s">
        <v>451</v>
      </c>
    </row>
    <row r="695" spans="1:6">
      <c r="A695" s="17" t="s">
        <v>11</v>
      </c>
      <c r="B695" s="21">
        <v>899806</v>
      </c>
      <c r="C695" s="20"/>
      <c r="D695" s="20"/>
      <c r="E695" s="20"/>
      <c r="F695" s="20"/>
    </row>
    <row r="696" ht="15.95" spans="1:6">
      <c r="A696" t="s">
        <v>16</v>
      </c>
      <c r="B696" s="25">
        <v>37157</v>
      </c>
      <c r="C696" s="25">
        <v>37528</v>
      </c>
      <c r="D696" s="25">
        <v>37892</v>
      </c>
      <c r="E696" s="25">
        <v>38256</v>
      </c>
      <c r="F696" s="25">
        <v>38620</v>
      </c>
    </row>
    <row r="697" spans="1:6">
      <c r="A697" t="s">
        <v>18</v>
      </c>
      <c r="B697" s="11">
        <v>13931000</v>
      </c>
      <c r="C697" s="11">
        <v>19315000</v>
      </c>
      <c r="D697" s="11">
        <v>24006000</v>
      </c>
      <c r="E697" s="11">
        <v>32479000</v>
      </c>
      <c r="F697" s="11">
        <v>36537000</v>
      </c>
    </row>
    <row r="698" spans="1:6">
      <c r="A698" t="s">
        <v>19</v>
      </c>
      <c r="B698" s="11">
        <v>-9889000</v>
      </c>
      <c r="C698" s="11">
        <v>-13717000</v>
      </c>
      <c r="D698" s="11">
        <v>-15852000</v>
      </c>
      <c r="E698" s="11">
        <v>-21334000</v>
      </c>
      <c r="F698" s="11">
        <v>-23397000</v>
      </c>
    </row>
    <row r="699" spans="1:6">
      <c r="A699" t="s">
        <v>21</v>
      </c>
      <c r="B699" s="11">
        <v>-535000</v>
      </c>
      <c r="C699" s="11">
        <v>-712000</v>
      </c>
      <c r="D699" s="11">
        <v>-782000</v>
      </c>
      <c r="E699" s="11">
        <v>-1109000</v>
      </c>
      <c r="F699" s="11">
        <v>-1333000</v>
      </c>
    </row>
    <row r="700" spans="1:6">
      <c r="A700" t="s">
        <v>22</v>
      </c>
      <c r="B700" s="11">
        <v>-1864000</v>
      </c>
      <c r="C700" s="11">
        <v>-2433000</v>
      </c>
      <c r="D700" s="11">
        <v>-2963000</v>
      </c>
      <c r="E700" s="11">
        <v>-3761000</v>
      </c>
      <c r="F700" s="11">
        <v>-4149000</v>
      </c>
    </row>
    <row r="701" spans="1:6">
      <c r="A701" t="s">
        <v>24</v>
      </c>
      <c r="B701" s="11">
        <v>0</v>
      </c>
      <c r="C701" s="11">
        <v>0</v>
      </c>
      <c r="D701" s="11">
        <v>0</v>
      </c>
      <c r="E701" s="11">
        <v>0</v>
      </c>
      <c r="F701" s="11">
        <v>0</v>
      </c>
    </row>
    <row r="702" spans="1:6">
      <c r="A702" t="s">
        <v>82</v>
      </c>
      <c r="B702" s="11">
        <v>0</v>
      </c>
      <c r="C702" s="11">
        <v>0</v>
      </c>
      <c r="D702" s="11">
        <v>0</v>
      </c>
      <c r="E702" s="11">
        <v>0</v>
      </c>
      <c r="F702" s="11">
        <v>0</v>
      </c>
    </row>
    <row r="703" spans="1:6">
      <c r="A703" t="s">
        <v>27</v>
      </c>
      <c r="B703" s="11">
        <v>165000</v>
      </c>
      <c r="C703" s="11">
        <v>365000</v>
      </c>
      <c r="D703" s="11">
        <v>599000</v>
      </c>
      <c r="E703" s="11">
        <v>620000</v>
      </c>
      <c r="F703" s="11">
        <v>326000</v>
      </c>
    </row>
    <row r="704" spans="1:6">
      <c r="A704" t="s">
        <v>29</v>
      </c>
      <c r="B704" s="11">
        <v>-480000</v>
      </c>
      <c r="C704" s="11">
        <v>-829000</v>
      </c>
      <c r="D704" s="11">
        <v>-1512000</v>
      </c>
      <c r="E704" s="11">
        <v>-2061000</v>
      </c>
      <c r="F704" s="11">
        <v>-2280000</v>
      </c>
    </row>
    <row r="705" spans="1:6">
      <c r="A705" t="s">
        <v>33</v>
      </c>
      <c r="B705" s="11">
        <v>0</v>
      </c>
      <c r="C705" s="11">
        <v>0</v>
      </c>
      <c r="D705" s="11">
        <v>0</v>
      </c>
      <c r="E705" s="11">
        <v>0</v>
      </c>
      <c r="F705" s="11">
        <v>0</v>
      </c>
    </row>
    <row r="706" spans="1:6">
      <c r="A706" t="s">
        <v>30</v>
      </c>
      <c r="B706" s="11">
        <v>0</v>
      </c>
      <c r="C706" s="11">
        <v>0</v>
      </c>
      <c r="D706" s="11">
        <v>0</v>
      </c>
      <c r="E706" s="11">
        <v>0</v>
      </c>
      <c r="F706" s="11">
        <v>0</v>
      </c>
    </row>
    <row r="707" spans="1:6">
      <c r="A707" t="s">
        <v>32</v>
      </c>
      <c r="B707" s="11">
        <v>0</v>
      </c>
      <c r="C707" s="11">
        <v>0</v>
      </c>
      <c r="D707" s="11">
        <v>0</v>
      </c>
      <c r="E707" s="11">
        <v>0</v>
      </c>
      <c r="F707" s="11">
        <v>0</v>
      </c>
    </row>
    <row r="708" spans="1:6">
      <c r="A708" t="s">
        <v>34</v>
      </c>
      <c r="B708" s="11">
        <v>0</v>
      </c>
      <c r="C708" s="11">
        <v>0</v>
      </c>
      <c r="D708" s="11">
        <v>0</v>
      </c>
      <c r="E708" s="11">
        <v>0</v>
      </c>
      <c r="F708" s="11">
        <v>0</v>
      </c>
    </row>
    <row r="709" spans="1:6">
      <c r="A709" t="s">
        <v>38</v>
      </c>
      <c r="B709" s="11">
        <v>8261000</v>
      </c>
      <c r="C709" s="11">
        <v>10110000</v>
      </c>
      <c r="D709" s="11">
        <v>15386000</v>
      </c>
      <c r="E709" s="11">
        <v>24490000</v>
      </c>
      <c r="F709" s="11">
        <v>23501000</v>
      </c>
    </row>
    <row r="710" spans="1:6">
      <c r="A710" t="s">
        <v>39</v>
      </c>
      <c r="B710" s="11">
        <v>1312000</v>
      </c>
      <c r="C710" s="11">
        <v>2845000</v>
      </c>
      <c r="D710" s="11">
        <v>4029000</v>
      </c>
      <c r="E710" s="11">
        <v>4704000</v>
      </c>
      <c r="F710" s="11">
        <v>5057000</v>
      </c>
    </row>
    <row r="711" spans="1:6">
      <c r="A711" t="s">
        <v>40</v>
      </c>
      <c r="B711" s="11">
        <v>165000</v>
      </c>
      <c r="C711" s="11">
        <v>270000</v>
      </c>
      <c r="D711" s="11">
        <v>346000</v>
      </c>
      <c r="E711" s="11">
        <v>509000</v>
      </c>
      <c r="F711" s="11">
        <v>455000</v>
      </c>
    </row>
    <row r="712" spans="1:6">
      <c r="A712" t="s">
        <v>41</v>
      </c>
      <c r="B712" s="11">
        <v>562000</v>
      </c>
      <c r="C712" s="11">
        <v>1284000</v>
      </c>
      <c r="D712" s="11">
        <v>2195000</v>
      </c>
      <c r="E712" s="11">
        <v>4987000</v>
      </c>
      <c r="F712" s="11">
        <v>7252000</v>
      </c>
    </row>
    <row r="713" spans="1:6">
      <c r="A713" t="s">
        <v>43</v>
      </c>
      <c r="B713" s="11">
        <v>817000</v>
      </c>
      <c r="C713" s="11">
        <v>1281000</v>
      </c>
      <c r="D713" s="11">
        <v>1832000</v>
      </c>
      <c r="E713" s="11">
        <v>2455000</v>
      </c>
      <c r="F713" s="11">
        <v>2954000</v>
      </c>
    </row>
    <row r="714" spans="1:6">
      <c r="A714" t="s">
        <v>44</v>
      </c>
      <c r="B714" s="11">
        <v>0</v>
      </c>
      <c r="C714" s="11">
        <v>0</v>
      </c>
      <c r="D714" s="11">
        <v>0</v>
      </c>
      <c r="E714" s="11">
        <v>0</v>
      </c>
      <c r="F714" s="11">
        <v>10528000</v>
      </c>
    </row>
    <row r="715" spans="1:6">
      <c r="A715" t="s">
        <v>45</v>
      </c>
      <c r="B715" s="11">
        <v>134000</v>
      </c>
      <c r="C715" s="11">
        <v>198000</v>
      </c>
      <c r="D715" s="11">
        <v>420000</v>
      </c>
      <c r="E715" s="11">
        <v>559000</v>
      </c>
      <c r="F715" s="11">
        <v>559000</v>
      </c>
    </row>
    <row r="716" spans="1:6">
      <c r="A716" t="s">
        <v>46</v>
      </c>
      <c r="B716" s="11">
        <v>265000</v>
      </c>
      <c r="C716" s="11">
        <v>1217000</v>
      </c>
      <c r="D716" s="11">
        <v>1139000</v>
      </c>
      <c r="E716" s="11">
        <v>1868000</v>
      </c>
      <c r="F716" s="11">
        <v>3545000</v>
      </c>
    </row>
    <row r="717" spans="1:6">
      <c r="A717" t="s">
        <v>48</v>
      </c>
      <c r="B717" s="11">
        <v>0</v>
      </c>
      <c r="C717" s="11">
        <v>0</v>
      </c>
      <c r="D717" s="11">
        <v>0</v>
      </c>
      <c r="E717" s="11">
        <v>0</v>
      </c>
      <c r="F717" s="11">
        <v>0</v>
      </c>
    </row>
    <row r="718" spans="1:6">
      <c r="A718" t="s">
        <v>49</v>
      </c>
      <c r="B718" s="11">
        <v>1779000</v>
      </c>
      <c r="C718" s="11">
        <v>3390000</v>
      </c>
      <c r="D718" s="11">
        <v>4970000</v>
      </c>
      <c r="E718" s="11">
        <v>5520000</v>
      </c>
      <c r="F718" s="11">
        <v>5601000</v>
      </c>
    </row>
    <row r="719" spans="1:6">
      <c r="A719" t="s">
        <v>50</v>
      </c>
      <c r="B719" s="11">
        <v>0</v>
      </c>
      <c r="C719" s="11">
        <v>0</v>
      </c>
      <c r="D719" s="11">
        <v>0</v>
      </c>
      <c r="E719" s="11">
        <v>0</v>
      </c>
      <c r="F719" s="11">
        <v>0</v>
      </c>
    </row>
    <row r="720" spans="1:6">
      <c r="A720" t="s">
        <v>51</v>
      </c>
      <c r="B720" s="11">
        <v>1708000</v>
      </c>
      <c r="C720" s="11">
        <v>3081000</v>
      </c>
      <c r="D720" s="11">
        <v>4329000</v>
      </c>
      <c r="E720" s="11">
        <v>8572000</v>
      </c>
      <c r="F720" s="11">
        <v>13681000</v>
      </c>
    </row>
    <row r="721" spans="1:6">
      <c r="A721" t="s">
        <v>53</v>
      </c>
      <c r="B721" s="11">
        <v>0</v>
      </c>
      <c r="C721" s="11">
        <v>0</v>
      </c>
      <c r="D721" s="11">
        <v>0</v>
      </c>
      <c r="E721" s="11">
        <v>0</v>
      </c>
      <c r="F721" s="11">
        <v>0</v>
      </c>
    </row>
    <row r="722" spans="1:6">
      <c r="A722" t="s">
        <v>54</v>
      </c>
      <c r="B722" s="11">
        <v>293000</v>
      </c>
      <c r="C722" s="11">
        <v>369000</v>
      </c>
      <c r="D722" s="11">
        <v>897000</v>
      </c>
      <c r="E722" s="11">
        <v>746000</v>
      </c>
      <c r="F722" s="11">
        <v>1286000</v>
      </c>
    </row>
    <row r="723" spans="1:6">
      <c r="A723" t="s">
        <v>55</v>
      </c>
      <c r="B723" s="11">
        <v>308000</v>
      </c>
      <c r="C723" s="11">
        <v>381000</v>
      </c>
      <c r="D723" s="11">
        <v>619000</v>
      </c>
      <c r="E723" s="11">
        <v>3704000</v>
      </c>
      <c r="F723" s="11">
        <v>5451000</v>
      </c>
    </row>
    <row r="724" spans="1:6">
      <c r="A724" t="s">
        <v>57</v>
      </c>
      <c r="B724" s="11">
        <v>0</v>
      </c>
      <c r="C724" s="11">
        <v>0</v>
      </c>
      <c r="D724" s="11">
        <v>0</v>
      </c>
      <c r="E724" s="11">
        <v>0</v>
      </c>
      <c r="F724" s="11">
        <v>0</v>
      </c>
    </row>
    <row r="725" spans="1:6">
      <c r="A725" t="s">
        <v>58</v>
      </c>
      <c r="B725" s="11">
        <v>0</v>
      </c>
      <c r="C725" s="11">
        <v>0</v>
      </c>
      <c r="D725" s="11">
        <v>0</v>
      </c>
      <c r="E725" s="11">
        <v>0</v>
      </c>
      <c r="F725" s="11">
        <v>0</v>
      </c>
    </row>
    <row r="726" spans="1:6">
      <c r="A726" t="s">
        <v>59</v>
      </c>
      <c r="B726" s="11">
        <v>3503000</v>
      </c>
      <c r="C726" s="11">
        <v>4377000</v>
      </c>
      <c r="D726" s="11">
        <v>5431000</v>
      </c>
      <c r="E726" s="11">
        <v>7185000</v>
      </c>
      <c r="F726" s="11">
        <v>8294000</v>
      </c>
    </row>
    <row r="727" spans="1:6">
      <c r="A727" t="s">
        <v>60</v>
      </c>
      <c r="B727" s="11">
        <v>3925000</v>
      </c>
      <c r="C727" s="11">
        <v>5607000</v>
      </c>
      <c r="D727" s="11">
        <v>9101000</v>
      </c>
      <c r="E727" s="11">
        <v>13845000</v>
      </c>
      <c r="F727" s="11">
        <v>19538000</v>
      </c>
    </row>
    <row r="728" spans="1:6">
      <c r="A728" t="s">
        <v>83</v>
      </c>
      <c r="B728" s="11">
        <v>0</v>
      </c>
      <c r="C728" s="11">
        <v>0</v>
      </c>
      <c r="D728" s="11">
        <v>0</v>
      </c>
      <c r="E728" s="11">
        <v>0</v>
      </c>
      <c r="F728" s="11">
        <v>0</v>
      </c>
    </row>
    <row r="732" spans="1:7">
      <c r="A732" s="17" t="s">
        <v>10</v>
      </c>
      <c r="B732" s="18" t="s">
        <v>485</v>
      </c>
      <c r="C732" s="24"/>
      <c r="D732" s="20" t="s">
        <v>486</v>
      </c>
      <c r="E732" s="20"/>
      <c r="F732" s="20">
        <v>3570</v>
      </c>
      <c r="G732" s="9" t="s">
        <v>451</v>
      </c>
    </row>
    <row r="733" spans="1:6">
      <c r="A733" s="17" t="s">
        <v>11</v>
      </c>
      <c r="B733" s="21">
        <v>1305337</v>
      </c>
      <c r="C733" s="20"/>
      <c r="D733" s="20"/>
      <c r="E733" s="20"/>
      <c r="F733" s="20"/>
    </row>
    <row r="734" ht="15.95" spans="1:6">
      <c r="A734" t="s">
        <v>16</v>
      </c>
      <c r="B734" s="25">
        <v>37255</v>
      </c>
      <c r="C734" s="25">
        <v>37620</v>
      </c>
      <c r="D734" s="25">
        <v>37985</v>
      </c>
      <c r="E734" s="25">
        <v>38351</v>
      </c>
      <c r="F734" s="25">
        <v>38716</v>
      </c>
    </row>
    <row r="735" spans="1:6">
      <c r="A735" t="s">
        <v>18</v>
      </c>
      <c r="B735" s="11">
        <v>91134000</v>
      </c>
      <c r="C735" s="11">
        <v>91424000</v>
      </c>
      <c r="D735" s="11">
        <v>98786000</v>
      </c>
      <c r="E735" s="11">
        <v>103630000</v>
      </c>
      <c r="F735" s="11">
        <v>95758000</v>
      </c>
    </row>
    <row r="736" spans="1:6">
      <c r="A736" t="s">
        <v>19</v>
      </c>
      <c r="B736" s="11">
        <v>-54602000</v>
      </c>
      <c r="C736" s="11">
        <v>-53129000</v>
      </c>
      <c r="D736" s="11">
        <v>-57057000</v>
      </c>
      <c r="E736" s="11">
        <v>-57969000</v>
      </c>
      <c r="F736" s="11">
        <v>-51973000</v>
      </c>
    </row>
    <row r="737" spans="1:6">
      <c r="A737" t="s">
        <v>21</v>
      </c>
      <c r="B737" s="11">
        <v>-5842000</v>
      </c>
      <c r="C737" s="11">
        <v>-6107000</v>
      </c>
      <c r="D737" s="11">
        <v>-6153000</v>
      </c>
      <c r="E737" s="11">
        <v>-6337000</v>
      </c>
      <c r="F737" s="11">
        <v>-5820000</v>
      </c>
    </row>
    <row r="738" spans="1:6">
      <c r="A738" t="s">
        <v>22</v>
      </c>
      <c r="B738" s="11">
        <v>-21314000</v>
      </c>
      <c r="C738" s="11">
        <v>-20259000</v>
      </c>
      <c r="D738" s="11">
        <v>-22060000</v>
      </c>
      <c r="E738" s="11">
        <v>-23386000</v>
      </c>
      <c r="F738" s="11">
        <v>-20952000</v>
      </c>
    </row>
    <row r="739" spans="1:6">
      <c r="A739" t="s">
        <v>24</v>
      </c>
      <c r="B739" s="11">
        <v>0</v>
      </c>
      <c r="C739" s="11">
        <v>0</v>
      </c>
      <c r="D739" s="11">
        <v>0</v>
      </c>
      <c r="E739" s="11">
        <v>0</v>
      </c>
      <c r="F739" s="11">
        <v>0</v>
      </c>
    </row>
    <row r="740" spans="1:6">
      <c r="A740" t="s">
        <v>82</v>
      </c>
      <c r="B740" s="11">
        <v>-220000</v>
      </c>
      <c r="C740" s="11">
        <v>-278000</v>
      </c>
      <c r="D740" s="11">
        <v>-611000</v>
      </c>
      <c r="E740" s="11">
        <v>-673000</v>
      </c>
      <c r="F740" s="11">
        <v>-498000</v>
      </c>
    </row>
    <row r="741" spans="1:6">
      <c r="A741" t="s">
        <v>27</v>
      </c>
      <c r="B741" s="11">
        <v>3070000</v>
      </c>
      <c r="C741" s="11">
        <v>1666000</v>
      </c>
      <c r="D741" s="11">
        <v>1584000</v>
      </c>
      <c r="E741" s="11">
        <v>1450000</v>
      </c>
      <c r="F741" s="11">
        <v>1623000</v>
      </c>
    </row>
    <row r="742" spans="1:6">
      <c r="A742" t="s">
        <v>29</v>
      </c>
      <c r="B742" s="11">
        <v>-4232000</v>
      </c>
      <c r="C742" s="11">
        <v>-3901000</v>
      </c>
      <c r="D742" s="11">
        <v>-4071000</v>
      </c>
      <c r="E742" s="11">
        <v>-4381000</v>
      </c>
      <c r="F742" s="11">
        <v>-4713000</v>
      </c>
    </row>
    <row r="743" spans="1:6">
      <c r="A743" t="s">
        <v>33</v>
      </c>
      <c r="B743" s="11">
        <v>0</v>
      </c>
      <c r="C743" s="11">
        <v>0</v>
      </c>
      <c r="D743" s="11">
        <v>0</v>
      </c>
      <c r="E743" s="11">
        <v>0</v>
      </c>
      <c r="F743" s="11">
        <v>0</v>
      </c>
    </row>
    <row r="744" spans="1:6">
      <c r="A744" t="s">
        <v>30</v>
      </c>
      <c r="B744" s="11">
        <v>0</v>
      </c>
      <c r="C744" s="11">
        <v>0</v>
      </c>
      <c r="D744" s="11">
        <v>0</v>
      </c>
      <c r="E744" s="11">
        <v>0</v>
      </c>
      <c r="F744" s="11">
        <v>0</v>
      </c>
    </row>
    <row r="745" spans="1:6">
      <c r="A745" t="s">
        <v>32</v>
      </c>
      <c r="B745" s="11">
        <v>-60000</v>
      </c>
      <c r="C745" s="11">
        <v>76000</v>
      </c>
      <c r="D745" s="11">
        <v>0</v>
      </c>
      <c r="E745" s="11">
        <v>0</v>
      </c>
      <c r="F745" s="11">
        <v>0</v>
      </c>
    </row>
    <row r="746" spans="1:6">
      <c r="A746" t="s">
        <v>34</v>
      </c>
      <c r="B746" s="11">
        <v>0</v>
      </c>
      <c r="C746" s="11">
        <v>0</v>
      </c>
      <c r="D746" s="11">
        <v>0</v>
      </c>
      <c r="E746" s="11">
        <v>0</v>
      </c>
      <c r="F746" s="11">
        <v>0</v>
      </c>
    </row>
    <row r="747" spans="1:6">
      <c r="A747" t="s">
        <v>38</v>
      </c>
      <c r="B747" s="11">
        <v>13686000</v>
      </c>
      <c r="C747" s="11">
        <v>10656000</v>
      </c>
      <c r="D747" s="11">
        <v>16146000</v>
      </c>
      <c r="E747" s="11">
        <v>12907000</v>
      </c>
      <c r="F747" s="11">
        <v>14247000</v>
      </c>
    </row>
    <row r="748" spans="1:6">
      <c r="A748" t="s">
        <v>39</v>
      </c>
      <c r="B748" s="11">
        <v>24428000</v>
      </c>
      <c r="C748" s="11">
        <v>26848000</v>
      </c>
      <c r="D748" s="11">
        <v>28789000</v>
      </c>
      <c r="E748" s="11">
        <v>31854000</v>
      </c>
      <c r="F748" s="11">
        <v>30464000</v>
      </c>
    </row>
    <row r="749" spans="1:6">
      <c r="A749" t="s">
        <v>40</v>
      </c>
      <c r="B749" s="11">
        <v>2841000</v>
      </c>
      <c r="C749" s="11">
        <v>2810000</v>
      </c>
      <c r="D749" s="11">
        <v>2664000</v>
      </c>
      <c r="E749" s="11">
        <v>2701000</v>
      </c>
      <c r="F749" s="11">
        <v>2494000</v>
      </c>
    </row>
    <row r="750" spans="1:6">
      <c r="A750" t="s">
        <v>41</v>
      </c>
      <c r="B750" s="11">
        <v>4706000</v>
      </c>
      <c r="C750" s="11">
        <v>4346000</v>
      </c>
      <c r="D750" s="11">
        <v>5578000</v>
      </c>
      <c r="E750" s="11">
        <v>1542000</v>
      </c>
      <c r="F750" s="11">
        <v>1730000</v>
      </c>
    </row>
    <row r="751" spans="1:6">
      <c r="A751" t="s">
        <v>43</v>
      </c>
      <c r="B751" s="11">
        <v>13756000</v>
      </c>
      <c r="C751" s="11">
        <v>14440000</v>
      </c>
      <c r="D751" s="11">
        <v>15081000</v>
      </c>
      <c r="E751" s="11">
        <v>14305000</v>
      </c>
      <c r="F751" s="11">
        <v>14165000</v>
      </c>
    </row>
    <row r="752" spans="1:6">
      <c r="A752" t="s">
        <v>44</v>
      </c>
      <c r="B752" s="11">
        <v>1174000</v>
      </c>
      <c r="C752" s="11">
        <v>1618000</v>
      </c>
      <c r="D752" s="11">
        <v>1940000</v>
      </c>
      <c r="E752" s="11">
        <v>0</v>
      </c>
      <c r="F752" s="11">
        <v>1157000</v>
      </c>
    </row>
    <row r="753" spans="1:6">
      <c r="A753" t="s">
        <v>45</v>
      </c>
      <c r="B753" s="11">
        <v>11104000</v>
      </c>
      <c r="C753" s="11">
        <v>15056000</v>
      </c>
      <c r="D753" s="11">
        <v>16392000</v>
      </c>
      <c r="E753" s="11">
        <v>21104000</v>
      </c>
      <c r="F753" s="11">
        <v>23015000</v>
      </c>
    </row>
    <row r="754" spans="1:6">
      <c r="A754" t="s">
        <v>46</v>
      </c>
      <c r="B754" s="11">
        <v>34053000</v>
      </c>
      <c r="C754" s="11">
        <v>27460000</v>
      </c>
      <c r="D754" s="11">
        <v>33841000</v>
      </c>
      <c r="E754" s="11">
        <v>25111000</v>
      </c>
      <c r="F754" s="11">
        <v>21750000</v>
      </c>
    </row>
    <row r="755" spans="1:6">
      <c r="A755" t="s">
        <v>48</v>
      </c>
      <c r="B755" s="11">
        <v>7216000</v>
      </c>
      <c r="C755" s="11">
        <v>8902000</v>
      </c>
      <c r="D755" s="11">
        <v>12235000</v>
      </c>
      <c r="E755" s="11">
        <v>11236000</v>
      </c>
      <c r="F755" s="11">
        <v>4168000</v>
      </c>
    </row>
    <row r="756" spans="1:6">
      <c r="A756" t="s">
        <v>49</v>
      </c>
      <c r="B756" s="11">
        <v>7349000</v>
      </c>
      <c r="C756" s="11">
        <v>7964000</v>
      </c>
      <c r="D756" s="11">
        <v>8054000</v>
      </c>
      <c r="E756" s="11">
        <v>7014000</v>
      </c>
      <c r="F756" s="11">
        <v>7436000</v>
      </c>
    </row>
    <row r="757" spans="1:6">
      <c r="A757" t="s">
        <v>50</v>
      </c>
      <c r="B757" s="11">
        <v>4710000</v>
      </c>
      <c r="C757" s="11">
        <v>4670000</v>
      </c>
      <c r="D757" s="11">
        <v>3673000</v>
      </c>
      <c r="E757" s="11">
        <v>2743000</v>
      </c>
      <c r="F757" s="11">
        <v>3826000</v>
      </c>
    </row>
    <row r="758" spans="1:6">
      <c r="A758" t="s">
        <v>51</v>
      </c>
      <c r="B758" s="11">
        <v>15877000</v>
      </c>
      <c r="C758" s="11">
        <v>18555000</v>
      </c>
      <c r="D758" s="11">
        <v>20348000</v>
      </c>
      <c r="E758" s="11">
        <v>21442000</v>
      </c>
      <c r="F758" s="11">
        <v>20572000</v>
      </c>
    </row>
    <row r="759" spans="1:6">
      <c r="A759" t="s">
        <v>53</v>
      </c>
      <c r="B759" s="11">
        <v>15425000</v>
      </c>
      <c r="C759" s="11">
        <v>13780000</v>
      </c>
      <c r="D759" s="11">
        <v>23039000</v>
      </c>
      <c r="E759" s="11">
        <v>22689000</v>
      </c>
      <c r="F759" s="11">
        <v>21932000</v>
      </c>
    </row>
    <row r="760" spans="1:6">
      <c r="A760" t="s">
        <v>54</v>
      </c>
      <c r="B760" s="11">
        <v>18020000</v>
      </c>
      <c r="C760" s="11">
        <v>17690000</v>
      </c>
      <c r="D760" s="11">
        <v>20489000</v>
      </c>
      <c r="E760" s="11">
        <v>30815000</v>
      </c>
      <c r="F760" s="11">
        <v>24301000</v>
      </c>
    </row>
    <row r="761" spans="1:6">
      <c r="A761" t="s">
        <v>55</v>
      </c>
      <c r="B761" s="11">
        <v>4053000</v>
      </c>
      <c r="C761" s="11">
        <v>3167000</v>
      </c>
      <c r="D761" s="11">
        <v>4124000</v>
      </c>
      <c r="E761" s="11">
        <v>0</v>
      </c>
      <c r="F761" s="11">
        <v>4032000</v>
      </c>
    </row>
    <row r="762" spans="1:6">
      <c r="A762" t="s">
        <v>57</v>
      </c>
      <c r="B762" s="11">
        <v>0</v>
      </c>
      <c r="C762" s="11">
        <v>0</v>
      </c>
      <c r="D762" s="11">
        <v>0</v>
      </c>
      <c r="E762" s="11">
        <v>0</v>
      </c>
      <c r="F762" s="11">
        <v>0</v>
      </c>
    </row>
    <row r="763" spans="1:6">
      <c r="A763" t="s">
        <v>58</v>
      </c>
      <c r="B763" s="11">
        <v>0</v>
      </c>
      <c r="C763" s="11">
        <v>0</v>
      </c>
      <c r="D763" s="11">
        <v>0</v>
      </c>
      <c r="E763" s="11">
        <v>0</v>
      </c>
      <c r="F763" s="11">
        <v>0</v>
      </c>
    </row>
    <row r="764" spans="1:6">
      <c r="A764" t="s">
        <v>59</v>
      </c>
      <c r="B764" s="11">
        <v>-11636000</v>
      </c>
      <c r="C764" s="11">
        <v>-23926000</v>
      </c>
      <c r="D764" s="11">
        <v>-32171000</v>
      </c>
      <c r="E764" s="11">
        <v>-56768000</v>
      </c>
      <c r="F764" s="11">
        <v>-58144000</v>
      </c>
    </row>
    <row r="765" spans="1:6">
      <c r="A765" t="s">
        <v>60</v>
      </c>
      <c r="B765" s="11">
        <v>44734000</v>
      </c>
      <c r="C765" s="11">
        <v>52432000</v>
      </c>
      <c r="D765" s="11">
        <v>60640000</v>
      </c>
      <c r="E765" s="11">
        <v>70353000</v>
      </c>
      <c r="F765" s="11">
        <v>80899000</v>
      </c>
    </row>
    <row r="766" spans="1:6">
      <c r="A766" t="s">
        <v>83</v>
      </c>
      <c r="B766" s="11">
        <v>0</v>
      </c>
      <c r="C766" s="11">
        <v>0</v>
      </c>
      <c r="D766" s="11">
        <v>0</v>
      </c>
      <c r="E766" s="11">
        <v>0</v>
      </c>
      <c r="F766" s="11">
        <v>0</v>
      </c>
    </row>
    <row r="770" spans="1:7">
      <c r="A770" s="17" t="s">
        <v>10</v>
      </c>
      <c r="B770" s="11" t="s">
        <v>487</v>
      </c>
      <c r="C770" s="11"/>
      <c r="D770" s="11" t="s">
        <v>488</v>
      </c>
      <c r="E770" s="26"/>
      <c r="F770" s="26">
        <v>4400</v>
      </c>
      <c r="G770" s="9" t="s">
        <v>451</v>
      </c>
    </row>
    <row r="771" spans="1:6">
      <c r="A771" s="17" t="s">
        <v>11</v>
      </c>
      <c r="B771" s="11">
        <v>215900</v>
      </c>
      <c r="C771" s="11"/>
      <c r="D771" s="11"/>
      <c r="E771" s="11"/>
      <c r="F771" s="11"/>
    </row>
    <row r="772" spans="1:6">
      <c r="A772" t="s">
        <v>16</v>
      </c>
      <c r="B772" s="13">
        <v>37620</v>
      </c>
      <c r="C772" s="13">
        <v>37985</v>
      </c>
      <c r="D772" s="13">
        <v>38351</v>
      </c>
      <c r="E772" s="13">
        <v>38716</v>
      </c>
      <c r="F772" s="13">
        <v>39081</v>
      </c>
    </row>
    <row r="773" spans="1:6">
      <c r="A773" t="s">
        <v>18</v>
      </c>
      <c r="B773" s="11">
        <v>5229584</v>
      </c>
      <c r="C773" s="11">
        <v>6149139</v>
      </c>
      <c r="D773" s="11">
        <v>6532525</v>
      </c>
      <c r="E773" s="11">
        <v>5889826</v>
      </c>
      <c r="F773" s="11">
        <v>6752504</v>
      </c>
    </row>
    <row r="774" spans="1:6">
      <c r="A774" t="s">
        <v>19</v>
      </c>
      <c r="B774" s="11">
        <v>-3249629</v>
      </c>
      <c r="C774" s="11">
        <v>-3981698</v>
      </c>
      <c r="D774" s="11">
        <v>-4403666</v>
      </c>
      <c r="E774" s="11">
        <v>-4071102</v>
      </c>
      <c r="F774" s="11">
        <v>-4458076</v>
      </c>
    </row>
    <row r="775" spans="1:6">
      <c r="A775" t="s">
        <v>21</v>
      </c>
      <c r="B775" s="11">
        <v>0</v>
      </c>
      <c r="C775" s="11">
        <v>0</v>
      </c>
      <c r="D775" s="11">
        <v>0</v>
      </c>
      <c r="E775" s="11">
        <v>0</v>
      </c>
      <c r="F775" s="11">
        <v>0</v>
      </c>
    </row>
    <row r="776" spans="1:6">
      <c r="A776" t="s">
        <v>22</v>
      </c>
      <c r="B776" s="11">
        <v>-699864</v>
      </c>
      <c r="C776" s="11">
        <v>-783040</v>
      </c>
      <c r="D776" s="11">
        <v>-776522</v>
      </c>
      <c r="E776" s="11">
        <v>-761999</v>
      </c>
      <c r="F776" s="11">
        <v>-848079</v>
      </c>
    </row>
    <row r="777" spans="1:6">
      <c r="A777" t="s">
        <v>24</v>
      </c>
      <c r="B777" s="11">
        <v>-421645</v>
      </c>
      <c r="C777" s="11">
        <v>-483066</v>
      </c>
      <c r="D777" s="11">
        <v>-520353</v>
      </c>
      <c r="E777" s="11">
        <v>-568214</v>
      </c>
      <c r="F777" s="11">
        <v>-643716</v>
      </c>
    </row>
    <row r="778" spans="1:6">
      <c r="A778" t="s">
        <v>82</v>
      </c>
      <c r="B778" s="11">
        <v>-252623</v>
      </c>
      <c r="C778" s="11">
        <v>-313759</v>
      </c>
      <c r="D778" s="11">
        <v>-313196</v>
      </c>
      <c r="E778" s="11">
        <v>-292996</v>
      </c>
      <c r="F778" s="11">
        <v>-330150</v>
      </c>
    </row>
    <row r="779" spans="1:6">
      <c r="A779" t="s">
        <v>27</v>
      </c>
      <c r="B779" s="11">
        <v>28099</v>
      </c>
      <c r="C779" s="11">
        <v>15829</v>
      </c>
      <c r="D779" s="11">
        <v>54934</v>
      </c>
      <c r="E779" s="11">
        <v>-33094</v>
      </c>
      <c r="F779" s="11">
        <v>74984</v>
      </c>
    </row>
    <row r="780" spans="1:6">
      <c r="A780" t="s">
        <v>29</v>
      </c>
      <c r="B780" s="11">
        <v>0</v>
      </c>
      <c r="C780" s="11">
        <v>0</v>
      </c>
      <c r="D780" s="11">
        <v>0</v>
      </c>
      <c r="E780" s="11">
        <v>0</v>
      </c>
      <c r="F780" s="11">
        <v>0</v>
      </c>
    </row>
    <row r="781" spans="1:6">
      <c r="A781" t="s">
        <v>33</v>
      </c>
      <c r="B781" s="11">
        <v>0</v>
      </c>
      <c r="C781" s="11">
        <v>0</v>
      </c>
      <c r="D781" s="11">
        <v>0</v>
      </c>
      <c r="E781" s="11">
        <v>0</v>
      </c>
      <c r="F781" s="11">
        <v>0</v>
      </c>
    </row>
    <row r="782" spans="1:6">
      <c r="A782" t="s">
        <v>30</v>
      </c>
      <c r="B782" s="11">
        <v>0</v>
      </c>
      <c r="C782" s="11">
        <v>0</v>
      </c>
      <c r="D782" s="11">
        <v>0</v>
      </c>
      <c r="E782" s="11">
        <v>0</v>
      </c>
      <c r="F782" s="11">
        <v>0</v>
      </c>
    </row>
    <row r="783" spans="1:6">
      <c r="A783" t="s">
        <v>32</v>
      </c>
      <c r="B783" s="11">
        <v>0</v>
      </c>
      <c r="C783" s="11">
        <v>0</v>
      </c>
      <c r="D783" s="11">
        <v>0</v>
      </c>
      <c r="E783" s="11">
        <v>0</v>
      </c>
      <c r="F783" s="11">
        <v>0</v>
      </c>
    </row>
    <row r="784" spans="1:6">
      <c r="A784" t="s">
        <v>34</v>
      </c>
      <c r="B784" s="11">
        <v>0</v>
      </c>
      <c r="C784" s="11">
        <v>0</v>
      </c>
      <c r="D784" s="11">
        <v>0</v>
      </c>
      <c r="E784" s="11">
        <v>0</v>
      </c>
      <c r="F784" s="11">
        <v>0</v>
      </c>
    </row>
    <row r="785" spans="1:6">
      <c r="A785" t="s">
        <v>38</v>
      </c>
      <c r="B785" s="11">
        <v>104520</v>
      </c>
      <c r="C785" s="11">
        <v>230784</v>
      </c>
      <c r="D785" s="11">
        <v>402878</v>
      </c>
      <c r="E785" s="11">
        <v>284619</v>
      </c>
      <c r="F785" s="11">
        <v>419929</v>
      </c>
    </row>
    <row r="786" spans="1:6">
      <c r="A786" t="s">
        <v>39</v>
      </c>
      <c r="B786" s="11">
        <v>185886</v>
      </c>
      <c r="C786" s="11">
        <v>313640</v>
      </c>
      <c r="D786" s="11">
        <v>271287</v>
      </c>
      <c r="E786" s="11">
        <v>338804</v>
      </c>
      <c r="F786" s="11">
        <v>266710</v>
      </c>
    </row>
    <row r="787" spans="1:6">
      <c r="A787" t="s">
        <v>40</v>
      </c>
      <c r="B787" s="11">
        <v>76969</v>
      </c>
      <c r="C787" s="11">
        <v>96813</v>
      </c>
      <c r="D787" s="11">
        <v>96077</v>
      </c>
      <c r="E787" s="11">
        <v>107877</v>
      </c>
      <c r="F787" s="11">
        <v>126797</v>
      </c>
    </row>
    <row r="788" spans="1:6">
      <c r="A788" t="s">
        <v>41</v>
      </c>
      <c r="B788" s="11">
        <v>134529</v>
      </c>
      <c r="C788" s="11">
        <v>351554</v>
      </c>
      <c r="D788" s="11">
        <v>207095</v>
      </c>
      <c r="E788" s="11">
        <v>295091</v>
      </c>
      <c r="F788" s="11">
        <v>201635</v>
      </c>
    </row>
    <row r="789" spans="1:6">
      <c r="A789" t="s">
        <v>43</v>
      </c>
      <c r="B789" s="11">
        <v>11429106</v>
      </c>
      <c r="C789" s="11">
        <v>12253784</v>
      </c>
      <c r="D789" s="11">
        <v>13878998</v>
      </c>
      <c r="E789" s="11">
        <v>15268053</v>
      </c>
      <c r="F789" s="11">
        <v>16769181</v>
      </c>
    </row>
    <row r="790" spans="1:6">
      <c r="A790" t="s">
        <v>44</v>
      </c>
      <c r="B790" s="11">
        <v>0</v>
      </c>
      <c r="C790" s="11">
        <v>0</v>
      </c>
      <c r="D790" s="11">
        <v>0</v>
      </c>
      <c r="E790" s="11">
        <v>0</v>
      </c>
      <c r="F790" s="11">
        <v>0</v>
      </c>
    </row>
    <row r="791" spans="1:6">
      <c r="A791" t="s">
        <v>45</v>
      </c>
      <c r="B791" s="11">
        <v>721514</v>
      </c>
      <c r="C791" s="11">
        <v>797791</v>
      </c>
      <c r="D791" s="11">
        <v>779246</v>
      </c>
      <c r="E791" s="11">
        <v>792373</v>
      </c>
      <c r="F791" s="11">
        <v>759328</v>
      </c>
    </row>
    <row r="792" spans="1:6">
      <c r="A792" t="s">
        <v>46</v>
      </c>
      <c r="B792" s="11">
        <v>740564</v>
      </c>
      <c r="C792" s="11">
        <v>937915</v>
      </c>
      <c r="D792" s="11">
        <v>827729</v>
      </c>
      <c r="E792" s="11">
        <v>1146677</v>
      </c>
      <c r="F792" s="11">
        <v>1151324</v>
      </c>
    </row>
    <row r="793" spans="1:6">
      <c r="A793" t="s">
        <v>48</v>
      </c>
      <c r="B793" s="11">
        <v>373422</v>
      </c>
      <c r="C793" s="11">
        <v>351725</v>
      </c>
      <c r="D793" s="11">
        <v>471893</v>
      </c>
      <c r="E793" s="11">
        <v>756215</v>
      </c>
      <c r="F793" s="11">
        <v>1198929</v>
      </c>
    </row>
    <row r="794" spans="1:6">
      <c r="A794" t="s">
        <v>49</v>
      </c>
      <c r="B794" s="11">
        <v>193794</v>
      </c>
      <c r="C794" s="11">
        <v>222895</v>
      </c>
      <c r="D794" s="11">
        <v>245225</v>
      </c>
      <c r="E794" s="11">
        <v>264554</v>
      </c>
      <c r="F794" s="11">
        <v>249047</v>
      </c>
    </row>
    <row r="795" spans="1:6">
      <c r="A795" t="s">
        <v>50</v>
      </c>
      <c r="B795" s="11">
        <v>0</v>
      </c>
      <c r="C795" s="11">
        <v>0</v>
      </c>
      <c r="D795" s="11">
        <v>0</v>
      </c>
      <c r="E795" s="11">
        <v>0</v>
      </c>
      <c r="F795" s="11">
        <v>0</v>
      </c>
    </row>
    <row r="796" spans="1:6">
      <c r="A796" t="s">
        <v>51</v>
      </c>
      <c r="B796" s="11">
        <v>1305152</v>
      </c>
      <c r="C796" s="11">
        <v>1764675</v>
      </c>
      <c r="D796" s="11">
        <v>1957107</v>
      </c>
      <c r="E796" s="11">
        <v>1728261</v>
      </c>
      <c r="F796" s="11">
        <v>1996522</v>
      </c>
    </row>
    <row r="797" spans="1:6">
      <c r="A797" t="s">
        <v>53</v>
      </c>
      <c r="B797" s="11">
        <v>5040322</v>
      </c>
      <c r="C797" s="11">
        <v>5346547</v>
      </c>
      <c r="D797" s="11">
        <v>6539510</v>
      </c>
      <c r="E797" s="11">
        <v>7663555</v>
      </c>
      <c r="F797" s="11">
        <v>7951187</v>
      </c>
    </row>
    <row r="798" spans="1:6">
      <c r="A798" t="s">
        <v>54</v>
      </c>
      <c r="B798" s="11">
        <v>388823</v>
      </c>
      <c r="C798" s="11">
        <v>539096</v>
      </c>
      <c r="D798" s="11">
        <v>446563</v>
      </c>
      <c r="E798" s="11">
        <v>321192</v>
      </c>
      <c r="F798" s="11">
        <v>356717</v>
      </c>
    </row>
    <row r="799" spans="1:6">
      <c r="A799" t="s">
        <v>55</v>
      </c>
      <c r="B799" s="11">
        <v>0</v>
      </c>
      <c r="C799" s="11">
        <v>0</v>
      </c>
      <c r="D799" s="11">
        <v>0</v>
      </c>
      <c r="E799" s="11">
        <v>0</v>
      </c>
      <c r="F799" s="11">
        <v>0</v>
      </c>
    </row>
    <row r="800" spans="1:6">
      <c r="A800" t="s">
        <v>57</v>
      </c>
      <c r="B800" s="11">
        <v>0</v>
      </c>
      <c r="C800" s="11">
        <v>0</v>
      </c>
      <c r="D800" s="11">
        <v>0</v>
      </c>
      <c r="E800" s="11">
        <v>0</v>
      </c>
      <c r="F800" s="11">
        <v>0</v>
      </c>
    </row>
    <row r="801" spans="1:6">
      <c r="A801" t="s">
        <v>58</v>
      </c>
      <c r="B801" s="11">
        <v>0</v>
      </c>
      <c r="C801" s="11">
        <v>0</v>
      </c>
      <c r="D801" s="11">
        <v>0</v>
      </c>
      <c r="E801" s="11">
        <v>0</v>
      </c>
      <c r="F801" s="11">
        <v>0</v>
      </c>
    </row>
    <row r="802" spans="1:6">
      <c r="A802" t="s">
        <v>59</v>
      </c>
      <c r="B802" s="11">
        <v>2483166</v>
      </c>
      <c r="C802" s="11">
        <v>2521511</v>
      </c>
      <c r="D802" s="11">
        <v>2530419</v>
      </c>
      <c r="E802" s="11">
        <v>2562034</v>
      </c>
      <c r="F802" s="11">
        <v>2615688</v>
      </c>
    </row>
    <row r="803" spans="1:6">
      <c r="A803" t="s">
        <v>60</v>
      </c>
      <c r="B803" s="11">
        <v>3608409</v>
      </c>
      <c r="C803" s="11">
        <v>4235832</v>
      </c>
      <c r="D803" s="11">
        <v>4272593</v>
      </c>
      <c r="E803" s="11">
        <v>4937683</v>
      </c>
      <c r="F803" s="11">
        <v>5326814</v>
      </c>
    </row>
    <row r="804" spans="1:6">
      <c r="A804" t="s">
        <v>83</v>
      </c>
      <c r="B804" s="11">
        <v>0</v>
      </c>
      <c r="C804" s="11">
        <v>98298</v>
      </c>
      <c r="D804" s="11">
        <v>128045</v>
      </c>
      <c r="E804" s="11">
        <v>0</v>
      </c>
      <c r="F804" s="11">
        <v>0</v>
      </c>
    </row>
    <row r="808" spans="1:7">
      <c r="A808" s="17" t="s">
        <v>10</v>
      </c>
      <c r="B808" s="11" t="s">
        <v>489</v>
      </c>
      <c r="C808" s="11"/>
      <c r="D808" s="11" t="s">
        <v>490</v>
      </c>
      <c r="E808" s="26"/>
      <c r="F808" s="26">
        <v>4400</v>
      </c>
      <c r="G808" s="9" t="s">
        <v>451</v>
      </c>
    </row>
    <row r="809" spans="1:6">
      <c r="A809" s="17" t="s">
        <v>11</v>
      </c>
      <c r="B809" s="11">
        <v>790000</v>
      </c>
      <c r="C809" s="11"/>
      <c r="D809" s="11"/>
      <c r="E809" s="11"/>
      <c r="F809" s="11"/>
    </row>
    <row r="810" spans="1:6">
      <c r="A810" t="s">
        <v>16</v>
      </c>
      <c r="B810" s="13">
        <v>37589</v>
      </c>
      <c r="C810" s="13">
        <v>37954</v>
      </c>
      <c r="D810" s="13">
        <v>38320</v>
      </c>
      <c r="E810" s="13">
        <v>38685</v>
      </c>
      <c r="F810" s="13">
        <v>39050</v>
      </c>
    </row>
    <row r="811" spans="1:6">
      <c r="A811" t="s">
        <v>18</v>
      </c>
      <c r="B811" s="11">
        <v>11839000</v>
      </c>
      <c r="C811" s="11">
        <v>13033000</v>
      </c>
      <c r="D811" s="11">
        <v>14947000</v>
      </c>
      <c r="E811" s="11">
        <v>13460000</v>
      </c>
      <c r="F811" s="11">
        <v>14469000</v>
      </c>
    </row>
    <row r="812" spans="1:6">
      <c r="A812" t="s">
        <v>19</v>
      </c>
      <c r="B812" s="11">
        <v>-6791000</v>
      </c>
      <c r="C812" s="11">
        <v>-7628000</v>
      </c>
      <c r="D812" s="11">
        <v>-9340000</v>
      </c>
      <c r="E812" s="11">
        <v>-8407000</v>
      </c>
      <c r="F812" s="11">
        <v>-9092000</v>
      </c>
    </row>
    <row r="813" spans="1:6">
      <c r="A813" t="s">
        <v>21</v>
      </c>
      <c r="B813" s="11">
        <v>0</v>
      </c>
      <c r="C813" s="11">
        <v>0</v>
      </c>
      <c r="D813" s="11">
        <v>0</v>
      </c>
      <c r="E813" s="11">
        <v>0</v>
      </c>
      <c r="F813" s="11">
        <v>0</v>
      </c>
    </row>
    <row r="814" spans="1:6">
      <c r="A814" t="s">
        <v>22</v>
      </c>
      <c r="B814" s="11">
        <v>-1447000</v>
      </c>
      <c r="C814" s="11">
        <v>-1579000</v>
      </c>
      <c r="D814" s="11">
        <v>-1629000</v>
      </c>
      <c r="E814" s="11">
        <v>-1590000</v>
      </c>
      <c r="F814" s="11">
        <v>-1614000</v>
      </c>
    </row>
    <row r="815" spans="1:6">
      <c r="A815" t="s">
        <v>24</v>
      </c>
      <c r="B815" s="11">
        <v>-988000</v>
      </c>
      <c r="C815" s="11">
        <v>-1101000</v>
      </c>
      <c r="D815" s="11">
        <v>-1249000</v>
      </c>
      <c r="E815" s="11">
        <v>-1309000</v>
      </c>
      <c r="F815" s="11">
        <v>-1416000</v>
      </c>
    </row>
    <row r="816" spans="1:6">
      <c r="A816" t="s">
        <v>82</v>
      </c>
      <c r="B816" s="11">
        <v>-287000</v>
      </c>
      <c r="C816" s="11">
        <v>-300000</v>
      </c>
      <c r="D816" s="11">
        <v>-385000</v>
      </c>
      <c r="E816" s="11">
        <v>-366000</v>
      </c>
      <c r="F816" s="11">
        <v>-366000</v>
      </c>
    </row>
    <row r="817" spans="1:6">
      <c r="A817" t="s">
        <v>27</v>
      </c>
      <c r="B817" s="11">
        <v>-8000</v>
      </c>
      <c r="C817" s="11">
        <v>-1000</v>
      </c>
      <c r="D817" s="11">
        <v>27000</v>
      </c>
      <c r="E817" s="11">
        <v>18000</v>
      </c>
      <c r="F817" s="11">
        <v>-2000</v>
      </c>
    </row>
    <row r="818" spans="1:6">
      <c r="A818" t="s">
        <v>29</v>
      </c>
      <c r="B818" s="11">
        <v>-39000</v>
      </c>
      <c r="C818" s="11">
        <v>-16000</v>
      </c>
      <c r="D818" s="11">
        <v>-47000</v>
      </c>
      <c r="E818" s="11">
        <v>-16000</v>
      </c>
      <c r="F818" s="11">
        <v>-1000</v>
      </c>
    </row>
    <row r="819" spans="1:6">
      <c r="A819" t="s">
        <v>33</v>
      </c>
      <c r="B819" s="11">
        <v>0</v>
      </c>
      <c r="C819" s="11">
        <v>0</v>
      </c>
      <c r="D819" s="11">
        <v>0</v>
      </c>
      <c r="E819" s="11">
        <v>0</v>
      </c>
      <c r="F819" s="11">
        <v>0</v>
      </c>
    </row>
    <row r="820" spans="1:6">
      <c r="A820" t="s">
        <v>30</v>
      </c>
      <c r="B820" s="11">
        <v>0</v>
      </c>
      <c r="C820" s="11">
        <v>0</v>
      </c>
      <c r="D820" s="11">
        <v>0</v>
      </c>
      <c r="E820" s="11">
        <v>0</v>
      </c>
      <c r="F820" s="11">
        <v>0</v>
      </c>
    </row>
    <row r="821" spans="1:6">
      <c r="A821" t="s">
        <v>32</v>
      </c>
      <c r="B821" s="11">
        <v>0</v>
      </c>
      <c r="C821" s="11">
        <v>0</v>
      </c>
      <c r="D821" s="11">
        <v>0</v>
      </c>
      <c r="E821" s="11">
        <v>0</v>
      </c>
      <c r="F821" s="11">
        <v>0</v>
      </c>
    </row>
    <row r="822" spans="1:6">
      <c r="A822" t="s">
        <v>34</v>
      </c>
      <c r="B822" s="11">
        <v>0</v>
      </c>
      <c r="C822" s="11">
        <v>0</v>
      </c>
      <c r="D822" s="11">
        <v>0</v>
      </c>
      <c r="E822" s="11">
        <v>0</v>
      </c>
      <c r="F822" s="11">
        <v>0</v>
      </c>
    </row>
    <row r="823" spans="1:6">
      <c r="A823" t="s">
        <v>38</v>
      </c>
      <c r="B823" s="11">
        <v>1163000</v>
      </c>
      <c r="C823" s="11">
        <v>943000</v>
      </c>
      <c r="D823" s="11">
        <v>650000</v>
      </c>
      <c r="E823" s="11">
        <v>538000</v>
      </c>
      <c r="F823" s="11">
        <v>429000</v>
      </c>
    </row>
    <row r="824" spans="1:6">
      <c r="A824" t="s">
        <v>39</v>
      </c>
      <c r="B824" s="11">
        <v>280000</v>
      </c>
      <c r="C824" s="11">
        <v>436000</v>
      </c>
      <c r="D824" s="11">
        <v>418000</v>
      </c>
      <c r="E824" s="11">
        <v>362000</v>
      </c>
      <c r="F824" s="11">
        <v>248000</v>
      </c>
    </row>
    <row r="825" spans="1:6">
      <c r="A825" t="s">
        <v>40</v>
      </c>
      <c r="B825" s="11">
        <v>263000</v>
      </c>
      <c r="C825" s="11">
        <v>331000</v>
      </c>
      <c r="D825" s="11">
        <v>315000</v>
      </c>
      <c r="E825" s="11">
        <v>320000</v>
      </c>
      <c r="F825" s="11">
        <v>320000</v>
      </c>
    </row>
    <row r="826" spans="1:6">
      <c r="A826" t="s">
        <v>41</v>
      </c>
      <c r="B826" s="11">
        <v>289000</v>
      </c>
      <c r="C826" s="11">
        <v>266000</v>
      </c>
      <c r="D826" s="11">
        <v>267000</v>
      </c>
      <c r="E826" s="11">
        <v>298000</v>
      </c>
      <c r="F826" s="11">
        <v>247000</v>
      </c>
    </row>
    <row r="827" spans="1:6">
      <c r="A827" t="s">
        <v>43</v>
      </c>
      <c r="B827" s="11">
        <v>23458000</v>
      </c>
      <c r="C827" s="11">
        <v>26639000</v>
      </c>
      <c r="D827" s="11">
        <v>26457000</v>
      </c>
      <c r="E827" s="11">
        <v>29870000</v>
      </c>
      <c r="F827" s="11">
        <v>30967000</v>
      </c>
    </row>
    <row r="828" spans="1:6">
      <c r="A828" t="s">
        <v>44</v>
      </c>
      <c r="B828" s="11">
        <v>0</v>
      </c>
      <c r="C828" s="11">
        <v>0</v>
      </c>
      <c r="D828" s="11">
        <v>0</v>
      </c>
      <c r="E828" s="11">
        <v>0</v>
      </c>
      <c r="F828" s="11">
        <v>0</v>
      </c>
    </row>
    <row r="829" spans="1:6">
      <c r="A829" t="s">
        <v>45</v>
      </c>
      <c r="B829" s="11">
        <v>4634000</v>
      </c>
      <c r="C829" s="11">
        <v>5003000</v>
      </c>
      <c r="D829" s="11">
        <v>4560000</v>
      </c>
      <c r="E829" s="11">
        <v>4797000</v>
      </c>
      <c r="F829" s="11">
        <v>4640000</v>
      </c>
    </row>
    <row r="830" spans="1:6">
      <c r="A830" t="s">
        <v>46</v>
      </c>
      <c r="B830" s="11">
        <v>465000</v>
      </c>
      <c r="C830" s="11">
        <v>563000</v>
      </c>
      <c r="D830" s="11">
        <v>733000</v>
      </c>
      <c r="E830" s="11">
        <v>650000</v>
      </c>
      <c r="F830" s="11">
        <v>639000</v>
      </c>
    </row>
    <row r="831" spans="1:6">
      <c r="A831" t="s">
        <v>48</v>
      </c>
      <c r="B831" s="11">
        <v>1492000</v>
      </c>
      <c r="C831" s="11">
        <v>2539000</v>
      </c>
      <c r="D831" s="11">
        <v>1608000</v>
      </c>
      <c r="E831" s="11">
        <v>950000</v>
      </c>
      <c r="F831" s="11">
        <v>1353000</v>
      </c>
    </row>
    <row r="832" spans="1:6">
      <c r="A832" t="s">
        <v>49</v>
      </c>
      <c r="B832" s="11">
        <v>438000</v>
      </c>
      <c r="C832" s="11">
        <v>561000</v>
      </c>
      <c r="D832" s="11">
        <v>512000</v>
      </c>
      <c r="E832" s="11">
        <v>568000</v>
      </c>
      <c r="F832" s="11">
        <v>503000</v>
      </c>
    </row>
    <row r="833" spans="1:6">
      <c r="A833" t="s">
        <v>50</v>
      </c>
      <c r="B833" s="11">
        <v>0</v>
      </c>
      <c r="C833" s="11">
        <v>0</v>
      </c>
      <c r="D833" s="11">
        <v>0</v>
      </c>
      <c r="E833" s="11">
        <v>0</v>
      </c>
      <c r="F833" s="11">
        <v>0</v>
      </c>
    </row>
    <row r="834" spans="1:6">
      <c r="A834" t="s">
        <v>51</v>
      </c>
      <c r="B834" s="11">
        <v>3485000</v>
      </c>
      <c r="C834" s="11">
        <v>4160000</v>
      </c>
      <c r="D834" s="11">
        <v>3661000</v>
      </c>
      <c r="E834" s="11">
        <v>3449000</v>
      </c>
      <c r="F834" s="11">
        <v>3899000</v>
      </c>
    </row>
    <row r="835" spans="1:6">
      <c r="A835" t="s">
        <v>53</v>
      </c>
      <c r="B835" s="11">
        <v>6355000</v>
      </c>
      <c r="C835" s="11">
        <v>6313000</v>
      </c>
      <c r="D835" s="11">
        <v>7735000</v>
      </c>
      <c r="E835" s="11">
        <v>9097000</v>
      </c>
      <c r="F835" s="11">
        <v>8011000</v>
      </c>
    </row>
    <row r="836" spans="1:6">
      <c r="A836" t="s">
        <v>54</v>
      </c>
      <c r="B836" s="11">
        <v>572000</v>
      </c>
      <c r="C836" s="11">
        <v>645000</v>
      </c>
      <c r="D836" s="11">
        <v>786000</v>
      </c>
      <c r="E836" s="11">
        <v>732000</v>
      </c>
      <c r="F836" s="11">
        <v>693000</v>
      </c>
    </row>
    <row r="837" spans="1:6">
      <c r="A837" t="s">
        <v>55</v>
      </c>
      <c r="B837" s="11">
        <v>0</v>
      </c>
      <c r="C837" s="11">
        <v>0</v>
      </c>
      <c r="D837" s="11">
        <v>0</v>
      </c>
      <c r="E837" s="11">
        <v>0</v>
      </c>
      <c r="F837" s="11">
        <v>0</v>
      </c>
    </row>
    <row r="838" spans="1:6">
      <c r="A838" t="s">
        <v>57</v>
      </c>
      <c r="B838" s="11">
        <v>0</v>
      </c>
      <c r="C838" s="11">
        <v>0</v>
      </c>
      <c r="D838" s="11">
        <v>0</v>
      </c>
      <c r="E838" s="11">
        <v>0</v>
      </c>
      <c r="F838" s="11">
        <v>0</v>
      </c>
    </row>
    <row r="839" spans="1:6">
      <c r="A839" t="s">
        <v>58</v>
      </c>
      <c r="B839" s="11">
        <v>0</v>
      </c>
      <c r="C839" s="11">
        <v>0</v>
      </c>
      <c r="D839" s="11">
        <v>0</v>
      </c>
      <c r="E839" s="11">
        <v>0</v>
      </c>
      <c r="F839" s="11">
        <v>0</v>
      </c>
    </row>
    <row r="840" spans="1:6">
      <c r="A840" t="s">
        <v>59</v>
      </c>
      <c r="B840" s="11">
        <v>5949000</v>
      </c>
      <c r="C840" s="11">
        <v>5746000</v>
      </c>
      <c r="D840" s="11">
        <v>5741000</v>
      </c>
      <c r="E840" s="11">
        <v>6016000</v>
      </c>
      <c r="F840" s="11">
        <v>6061000</v>
      </c>
    </row>
    <row r="841" spans="1:6">
      <c r="A841" t="s">
        <v>60</v>
      </c>
      <c r="B841" s="11">
        <v>12261000</v>
      </c>
      <c r="C841" s="11">
        <v>14217000</v>
      </c>
      <c r="D841" s="11">
        <v>13357000</v>
      </c>
      <c r="E841" s="11">
        <v>16023000</v>
      </c>
      <c r="F841" s="11">
        <v>16970000</v>
      </c>
    </row>
    <row r="842" spans="1:6">
      <c r="A842" t="s">
        <v>83</v>
      </c>
      <c r="B842" s="11">
        <v>0</v>
      </c>
      <c r="C842" s="11">
        <v>990000</v>
      </c>
      <c r="D842" s="11">
        <v>1261000</v>
      </c>
      <c r="E842" s="11">
        <v>314000</v>
      </c>
      <c r="F842" s="11">
        <v>237000</v>
      </c>
    </row>
    <row r="846" spans="1:7">
      <c r="A846" s="17" t="s">
        <v>10</v>
      </c>
      <c r="B846" s="11" t="s">
        <v>491</v>
      </c>
      <c r="C846" s="11"/>
      <c r="D846" s="11" t="s">
        <v>492</v>
      </c>
      <c r="E846" s="26"/>
      <c r="F846" s="26">
        <v>3711</v>
      </c>
      <c r="G846" s="9" t="s">
        <v>451</v>
      </c>
    </row>
    <row r="847" spans="1:6">
      <c r="A847" s="17" t="s">
        <v>11</v>
      </c>
      <c r="B847" s="11">
        <v>125688</v>
      </c>
      <c r="C847" s="11"/>
      <c r="D847" s="11"/>
      <c r="E847" s="11"/>
      <c r="F847" s="11"/>
    </row>
    <row r="848" spans="1:6">
      <c r="A848" t="s">
        <v>16</v>
      </c>
      <c r="B848" s="13">
        <v>39081</v>
      </c>
      <c r="C848" s="13">
        <v>39446</v>
      </c>
      <c r="D848" s="13">
        <v>39812</v>
      </c>
      <c r="E848" s="13">
        <v>40177</v>
      </c>
      <c r="F848" s="13">
        <v>40542</v>
      </c>
    </row>
    <row r="849" spans="1:6">
      <c r="A849" t="s">
        <v>18</v>
      </c>
      <c r="B849" s="11">
        <v>116744</v>
      </c>
      <c r="C849" s="11">
        <v>204242</v>
      </c>
      <c r="D849" s="11">
        <v>413256</v>
      </c>
      <c r="E849" s="11">
        <v>2013496</v>
      </c>
      <c r="F849" s="11">
        <v>3198356</v>
      </c>
    </row>
    <row r="850" spans="1:6">
      <c r="A850" t="s">
        <v>19</v>
      </c>
      <c r="B850" s="11">
        <v>-75390</v>
      </c>
      <c r="C850" s="11">
        <v>-125728</v>
      </c>
      <c r="D850" s="11">
        <v>-354364</v>
      </c>
      <c r="E850" s="11">
        <v>-1451151</v>
      </c>
      <c r="F850" s="11">
        <v>-2084754</v>
      </c>
    </row>
    <row r="851" spans="1:6">
      <c r="A851" t="s">
        <v>21</v>
      </c>
      <c r="B851" s="11">
        <v>-92996</v>
      </c>
      <c r="C851" s="11">
        <v>-208981</v>
      </c>
      <c r="D851" s="11">
        <v>-273978</v>
      </c>
      <c r="E851" s="11">
        <v>-231976</v>
      </c>
      <c r="F851" s="11">
        <v>-464700</v>
      </c>
    </row>
    <row r="852" spans="1:6">
      <c r="A852" t="s">
        <v>22</v>
      </c>
      <c r="B852" s="11">
        <v>-84573</v>
      </c>
      <c r="C852" s="11">
        <v>-104102</v>
      </c>
      <c r="D852" s="11">
        <v>-150372</v>
      </c>
      <c r="E852" s="11">
        <v>-285569</v>
      </c>
      <c r="F852" s="11">
        <v>-603660</v>
      </c>
    </row>
    <row r="853" spans="1:6">
      <c r="A853" t="s">
        <v>24</v>
      </c>
      <c r="B853" s="11">
        <v>-10623</v>
      </c>
      <c r="C853" s="11">
        <v>-16919</v>
      </c>
      <c r="D853" s="11">
        <v>-28825</v>
      </c>
      <c r="E853" s="11">
        <v>-106083</v>
      </c>
      <c r="F853" s="11">
        <v>-231931</v>
      </c>
    </row>
    <row r="854" spans="1:6">
      <c r="A854" t="s">
        <v>82</v>
      </c>
      <c r="B854" s="11">
        <v>-1792</v>
      </c>
      <c r="C854" s="11">
        <v>-5143</v>
      </c>
      <c r="D854" s="11">
        <v>-7854</v>
      </c>
      <c r="E854" s="11">
        <v>-20048</v>
      </c>
      <c r="F854" s="11">
        <v>-113686</v>
      </c>
    </row>
    <row r="855" spans="1:6">
      <c r="A855" t="s">
        <v>27</v>
      </c>
      <c r="B855" s="11">
        <v>-5525</v>
      </c>
      <c r="C855" s="11">
        <v>2709</v>
      </c>
      <c r="D855" s="11">
        <v>6060</v>
      </c>
      <c r="E855" s="11">
        <v>9905</v>
      </c>
      <c r="F855" s="11">
        <v>15739</v>
      </c>
    </row>
    <row r="856" spans="1:6">
      <c r="A856" t="s">
        <v>29</v>
      </c>
      <c r="B856" s="11">
        <v>-173</v>
      </c>
      <c r="C856" s="11">
        <v>-489</v>
      </c>
      <c r="D856" s="11">
        <v>-136</v>
      </c>
      <c r="E856" s="11">
        <v>-2588</v>
      </c>
      <c r="F856" s="11">
        <v>-9404</v>
      </c>
    </row>
    <row r="857" spans="1:6">
      <c r="A857" t="s">
        <v>33</v>
      </c>
      <c r="B857" s="11">
        <v>0</v>
      </c>
      <c r="C857" s="11">
        <v>0</v>
      </c>
      <c r="D857" s="11">
        <v>0</v>
      </c>
      <c r="E857" s="11">
        <v>0</v>
      </c>
      <c r="F857" s="11">
        <v>0</v>
      </c>
    </row>
    <row r="858" spans="1:6">
      <c r="A858" t="s">
        <v>30</v>
      </c>
      <c r="B858" s="11">
        <v>0</v>
      </c>
      <c r="C858" s="11">
        <v>0</v>
      </c>
      <c r="D858" s="11">
        <v>0</v>
      </c>
      <c r="E858" s="11">
        <v>0</v>
      </c>
      <c r="F858" s="11">
        <v>0</v>
      </c>
    </row>
    <row r="859" spans="1:6">
      <c r="A859" t="s">
        <v>32</v>
      </c>
      <c r="B859" s="11">
        <v>0</v>
      </c>
      <c r="C859" s="11">
        <v>0</v>
      </c>
      <c r="D859" s="11">
        <v>0</v>
      </c>
      <c r="E859" s="11">
        <v>0</v>
      </c>
      <c r="F859" s="11">
        <v>0</v>
      </c>
    </row>
    <row r="860" spans="1:6">
      <c r="A860" t="s">
        <v>34</v>
      </c>
      <c r="B860" s="11">
        <v>0</v>
      </c>
      <c r="C860" s="11">
        <v>0</v>
      </c>
      <c r="D860" s="11">
        <v>0</v>
      </c>
      <c r="E860" s="11">
        <v>0</v>
      </c>
      <c r="F860" s="11">
        <v>0</v>
      </c>
    </row>
    <row r="861" spans="1:6">
      <c r="A861" t="s">
        <v>38</v>
      </c>
      <c r="B861" s="11">
        <v>173155</v>
      </c>
      <c r="C861" s="11">
        <v>303803</v>
      </c>
      <c r="D861" s="11">
        <v>220984</v>
      </c>
      <c r="E861" s="11">
        <v>848901</v>
      </c>
      <c r="F861" s="11">
        <v>1923660</v>
      </c>
    </row>
    <row r="862" spans="1:6">
      <c r="A862" t="s">
        <v>39</v>
      </c>
      <c r="B862" s="11">
        <v>6710</v>
      </c>
      <c r="C862" s="11">
        <v>9539</v>
      </c>
      <c r="D862" s="11">
        <v>26842</v>
      </c>
      <c r="E862" s="11">
        <v>49109</v>
      </c>
      <c r="F862" s="11">
        <v>226604</v>
      </c>
    </row>
    <row r="863" spans="1:6">
      <c r="A863" t="s">
        <v>40</v>
      </c>
      <c r="B863" s="11">
        <v>45182</v>
      </c>
      <c r="C863" s="11">
        <v>50082</v>
      </c>
      <c r="D863" s="11">
        <v>268504</v>
      </c>
      <c r="E863" s="11">
        <v>340355</v>
      </c>
      <c r="F863" s="11">
        <v>953675</v>
      </c>
    </row>
    <row r="864" spans="1:6">
      <c r="A864" t="s">
        <v>41</v>
      </c>
      <c r="B864" s="11">
        <v>10839</v>
      </c>
      <c r="C864" s="11">
        <v>9414</v>
      </c>
      <c r="D864" s="11">
        <v>8438</v>
      </c>
      <c r="E864" s="11">
        <v>27574</v>
      </c>
      <c r="F864" s="11">
        <v>94718</v>
      </c>
    </row>
    <row r="865" spans="1:6">
      <c r="A865" t="s">
        <v>43</v>
      </c>
      <c r="B865" s="11">
        <v>122599</v>
      </c>
      <c r="C865" s="11">
        <v>310171</v>
      </c>
      <c r="D865" s="11">
        <v>562300</v>
      </c>
      <c r="E865" s="11">
        <v>1120919</v>
      </c>
      <c r="F865" s="11">
        <v>2596011</v>
      </c>
    </row>
    <row r="866" spans="1:6">
      <c r="A866" t="s">
        <v>44</v>
      </c>
      <c r="B866" s="11">
        <v>0</v>
      </c>
      <c r="C866" s="11">
        <v>0</v>
      </c>
      <c r="D866" s="11">
        <v>0</v>
      </c>
      <c r="E866" s="11">
        <v>0</v>
      </c>
      <c r="F866" s="11">
        <v>0</v>
      </c>
    </row>
    <row r="867" spans="1:6">
      <c r="A867" t="s">
        <v>45</v>
      </c>
      <c r="B867" s="11">
        <v>14508</v>
      </c>
      <c r="C867" s="11">
        <v>14508</v>
      </c>
      <c r="D867" s="11">
        <v>14267</v>
      </c>
      <c r="E867" s="11">
        <v>13930</v>
      </c>
      <c r="F867" s="11">
        <v>0</v>
      </c>
    </row>
    <row r="868" spans="1:6">
      <c r="A868" t="s">
        <v>46</v>
      </c>
      <c r="B868" s="11">
        <v>13089</v>
      </c>
      <c r="C868" s="11">
        <v>15931</v>
      </c>
      <c r="D868" s="11">
        <v>12855</v>
      </c>
      <c r="E868" s="11">
        <v>16142</v>
      </c>
      <c r="F868" s="11">
        <v>54583</v>
      </c>
    </row>
    <row r="869" spans="1:6">
      <c r="A869" t="s">
        <v>48</v>
      </c>
      <c r="B869" s="11">
        <v>279</v>
      </c>
      <c r="C869" s="11">
        <v>8983</v>
      </c>
      <c r="D869" s="11">
        <v>55206</v>
      </c>
      <c r="E869" s="11">
        <v>7904</v>
      </c>
      <c r="F869" s="11">
        <v>611098</v>
      </c>
    </row>
    <row r="870" spans="1:6">
      <c r="A870" t="s">
        <v>49</v>
      </c>
      <c r="B870" s="11">
        <v>28951</v>
      </c>
      <c r="C870" s="11">
        <v>56141</v>
      </c>
      <c r="D870" s="11">
        <v>303382</v>
      </c>
      <c r="E870" s="11">
        <v>303969</v>
      </c>
      <c r="F870" s="11">
        <v>777946</v>
      </c>
    </row>
    <row r="871" spans="1:6">
      <c r="A871" t="s">
        <v>50</v>
      </c>
      <c r="B871" s="11">
        <v>2674</v>
      </c>
      <c r="C871" s="11">
        <v>967</v>
      </c>
      <c r="D871" s="11">
        <v>9710</v>
      </c>
      <c r="E871" s="11">
        <v>38067</v>
      </c>
      <c r="F871" s="11">
        <v>71229</v>
      </c>
    </row>
    <row r="872" spans="1:6">
      <c r="A872" t="s">
        <v>51</v>
      </c>
      <c r="B872" s="11">
        <v>53661</v>
      </c>
      <c r="C872" s="11">
        <v>125248</v>
      </c>
      <c r="D872" s="11">
        <v>170810</v>
      </c>
      <c r="E872" s="11">
        <v>325220</v>
      </c>
      <c r="F872" s="11">
        <v>646893</v>
      </c>
    </row>
    <row r="873" spans="1:6">
      <c r="A873" t="s">
        <v>53</v>
      </c>
      <c r="B873" s="11">
        <v>72324</v>
      </c>
      <c r="C873" s="11">
        <v>271165</v>
      </c>
      <c r="D873" s="11">
        <v>411460</v>
      </c>
      <c r="E873" s="11">
        <v>598974</v>
      </c>
      <c r="F873" s="11">
        <v>1818785</v>
      </c>
    </row>
    <row r="874" spans="1:6">
      <c r="A874" t="s">
        <v>54</v>
      </c>
      <c r="B874" s="11">
        <v>21145</v>
      </c>
      <c r="C874" s="11">
        <v>26899</v>
      </c>
      <c r="D874" s="11">
        <v>38922</v>
      </c>
      <c r="E874" s="11">
        <v>468855</v>
      </c>
      <c r="F874" s="11">
        <v>953394</v>
      </c>
    </row>
    <row r="875" spans="1:6">
      <c r="A875" t="s">
        <v>55</v>
      </c>
      <c r="B875" s="11">
        <v>0</v>
      </c>
      <c r="C875" s="11">
        <v>0</v>
      </c>
      <c r="D875" s="11">
        <v>0</v>
      </c>
      <c r="E875" s="11">
        <v>6821</v>
      </c>
      <c r="F875" s="11">
        <v>0</v>
      </c>
    </row>
    <row r="876" spans="1:6">
      <c r="A876" t="s">
        <v>57</v>
      </c>
      <c r="B876" s="11">
        <v>0</v>
      </c>
      <c r="C876" s="11">
        <v>0</v>
      </c>
      <c r="D876" s="11">
        <v>0</v>
      </c>
      <c r="E876" s="11">
        <v>0</v>
      </c>
      <c r="F876" s="11">
        <v>0</v>
      </c>
    </row>
    <row r="877" spans="1:6">
      <c r="A877" t="s">
        <v>58</v>
      </c>
      <c r="B877" s="11">
        <v>0</v>
      </c>
      <c r="C877" s="11">
        <v>0</v>
      </c>
      <c r="D877" s="11">
        <v>0</v>
      </c>
      <c r="E877" s="11">
        <v>0</v>
      </c>
      <c r="F877" s="11">
        <v>58196</v>
      </c>
    </row>
    <row r="878" spans="1:6">
      <c r="A878" t="s">
        <v>59</v>
      </c>
      <c r="B878" s="11">
        <v>622030</v>
      </c>
      <c r="C878" s="11">
        <v>893440</v>
      </c>
      <c r="D878" s="11">
        <v>1190306</v>
      </c>
      <c r="E878" s="11">
        <v>1806740</v>
      </c>
      <c r="F878" s="11">
        <v>2345392</v>
      </c>
    </row>
    <row r="879" spans="1:6">
      <c r="A879" t="s">
        <v>60</v>
      </c>
      <c r="B879" s="11">
        <v>-414982</v>
      </c>
      <c r="C879" s="11">
        <v>-669395</v>
      </c>
      <c r="D879" s="11">
        <v>-1065606</v>
      </c>
      <c r="E879" s="11">
        <v>-1139620</v>
      </c>
      <c r="F879" s="11">
        <v>-1433682</v>
      </c>
    </row>
    <row r="880" spans="1:6">
      <c r="A880" t="s">
        <v>83</v>
      </c>
      <c r="B880" s="11">
        <v>0</v>
      </c>
      <c r="C880" s="11">
        <v>0</v>
      </c>
      <c r="D880" s="11">
        <v>0</v>
      </c>
      <c r="E880" s="11">
        <v>0</v>
      </c>
      <c r="F880" s="11">
        <v>0</v>
      </c>
    </row>
    <row r="884" spans="1:7">
      <c r="A884" s="17" t="s">
        <v>10</v>
      </c>
      <c r="B884" s="11" t="s">
        <v>493</v>
      </c>
      <c r="C884" s="11"/>
      <c r="D884" s="11" t="s">
        <v>494</v>
      </c>
      <c r="E884" s="26"/>
      <c r="F884" s="26">
        <v>7374</v>
      </c>
      <c r="G884" s="9" t="s">
        <v>451</v>
      </c>
    </row>
    <row r="885" spans="1:6">
      <c r="A885" s="17" t="s">
        <v>11</v>
      </c>
      <c r="B885" s="11">
        <v>722</v>
      </c>
      <c r="C885" s="11"/>
      <c r="D885" s="11"/>
      <c r="E885" s="11"/>
      <c r="F885" s="11"/>
    </row>
    <row r="886" spans="1:6">
      <c r="A886" t="s">
        <v>16</v>
      </c>
      <c r="B886" s="13">
        <v>37985</v>
      </c>
      <c r="C886" s="13">
        <v>38351</v>
      </c>
      <c r="D886" s="13">
        <v>38716</v>
      </c>
      <c r="E886" s="13">
        <v>39081</v>
      </c>
      <c r="F886" s="13">
        <v>39446</v>
      </c>
    </row>
    <row r="887" spans="1:6">
      <c r="A887" t="s">
        <v>18</v>
      </c>
      <c r="B887" s="11">
        <v>0</v>
      </c>
      <c r="C887" s="11">
        <v>0</v>
      </c>
      <c r="D887" s="11">
        <v>121.467</v>
      </c>
      <c r="E887" s="11">
        <v>597.459</v>
      </c>
      <c r="F887" s="11">
        <v>1140.1</v>
      </c>
    </row>
    <row r="888" spans="1:6">
      <c r="A888" t="s">
        <v>19</v>
      </c>
      <c r="B888" s="11">
        <v>0</v>
      </c>
      <c r="C888" s="11">
        <v>0</v>
      </c>
      <c r="D888" s="11">
        <v>-46.335</v>
      </c>
      <c r="E888" s="11">
        <v>-136.571</v>
      </c>
      <c r="F888" s="11">
        <v>-234.629</v>
      </c>
    </row>
    <row r="889" spans="1:6">
      <c r="A889" t="s">
        <v>21</v>
      </c>
      <c r="B889" s="11">
        <v>0</v>
      </c>
      <c r="C889" s="11">
        <v>0</v>
      </c>
      <c r="D889" s="11">
        <v>-51.029</v>
      </c>
      <c r="E889" s="11">
        <v>-149.519</v>
      </c>
      <c r="F889" s="11">
        <v>-727.018</v>
      </c>
    </row>
    <row r="890" spans="1:6">
      <c r="A890" t="s">
        <v>22</v>
      </c>
      <c r="B890" s="11">
        <v>0</v>
      </c>
      <c r="C890" s="11">
        <v>0</v>
      </c>
      <c r="D890" s="11">
        <v>-66.509</v>
      </c>
      <c r="E890" s="11">
        <v>-146.416</v>
      </c>
      <c r="F890" s="11">
        <v>-488.655</v>
      </c>
    </row>
    <row r="891" spans="1:6">
      <c r="A891" t="s">
        <v>24</v>
      </c>
      <c r="B891" s="11">
        <v>0</v>
      </c>
      <c r="C891" s="11">
        <v>0</v>
      </c>
      <c r="D891" s="11">
        <v>-10.372</v>
      </c>
      <c r="E891" s="11">
        <v>-39.481</v>
      </c>
      <c r="F891" s="11">
        <v>-95.414</v>
      </c>
    </row>
    <row r="892" spans="1:6">
      <c r="A892" t="s">
        <v>82</v>
      </c>
      <c r="B892" s="11">
        <v>0</v>
      </c>
      <c r="C892" s="11">
        <v>0</v>
      </c>
      <c r="D892" s="11">
        <v>0</v>
      </c>
      <c r="E892" s="11">
        <v>0</v>
      </c>
      <c r="F892" s="11">
        <v>0</v>
      </c>
    </row>
    <row r="893" spans="1:6">
      <c r="A893" t="s">
        <v>27</v>
      </c>
      <c r="B893" s="11">
        <v>0</v>
      </c>
      <c r="C893" s="11">
        <v>0</v>
      </c>
      <c r="D893" s="11">
        <v>-0.0319999999999894</v>
      </c>
      <c r="E893" s="11">
        <v>1.5870000000001</v>
      </c>
      <c r="F893" s="11">
        <v>-0.525999999999897</v>
      </c>
    </row>
    <row r="894" spans="1:6">
      <c r="A894" t="s">
        <v>29</v>
      </c>
      <c r="B894" s="11">
        <v>0</v>
      </c>
      <c r="C894" s="11">
        <v>0</v>
      </c>
      <c r="D894" s="11">
        <v>-0.012</v>
      </c>
      <c r="E894" s="11">
        <v>-36.464</v>
      </c>
      <c r="F894" s="11">
        <v>1.826</v>
      </c>
    </row>
    <row r="895" spans="1:6">
      <c r="A895" t="s">
        <v>33</v>
      </c>
      <c r="B895" s="11">
        <v>0</v>
      </c>
      <c r="C895" s="11">
        <v>0</v>
      </c>
      <c r="D895" s="11">
        <v>0</v>
      </c>
      <c r="E895" s="11">
        <v>0</v>
      </c>
      <c r="F895" s="11">
        <v>0</v>
      </c>
    </row>
    <row r="896" spans="1:6">
      <c r="A896" t="s">
        <v>30</v>
      </c>
      <c r="B896" s="11">
        <v>0</v>
      </c>
      <c r="C896" s="11">
        <v>0</v>
      </c>
      <c r="D896" s="11">
        <v>0</v>
      </c>
      <c r="E896" s="11">
        <v>0</v>
      </c>
      <c r="F896" s="11">
        <v>2.17603712826531e-14</v>
      </c>
    </row>
    <row r="897" spans="1:6">
      <c r="A897" t="s">
        <v>32</v>
      </c>
      <c r="B897" s="11">
        <v>0</v>
      </c>
      <c r="C897" s="11">
        <v>0</v>
      </c>
      <c r="D897" s="11">
        <v>0</v>
      </c>
      <c r="E897" s="11">
        <v>0</v>
      </c>
      <c r="F897" s="11">
        <v>0</v>
      </c>
    </row>
    <row r="898" spans="1:6">
      <c r="A898" t="s">
        <v>34</v>
      </c>
      <c r="B898" s="11">
        <v>0</v>
      </c>
      <c r="C898" s="11">
        <v>0</v>
      </c>
      <c r="D898" s="11">
        <v>0</v>
      </c>
      <c r="E898" s="11">
        <v>-62.7</v>
      </c>
      <c r="F898" s="11">
        <v>0</v>
      </c>
    </row>
    <row r="899" spans="1:6">
      <c r="A899" t="s">
        <v>38</v>
      </c>
      <c r="B899" s="11">
        <v>0</v>
      </c>
      <c r="C899" s="11">
        <v>0</v>
      </c>
      <c r="D899" s="11">
        <v>200.611</v>
      </c>
      <c r="E899" s="11">
        <v>740.911</v>
      </c>
      <c r="F899" s="11">
        <v>1811.354</v>
      </c>
    </row>
    <row r="900" spans="1:6">
      <c r="A900" t="s">
        <v>39</v>
      </c>
      <c r="B900" s="11">
        <v>0</v>
      </c>
      <c r="C900" s="11">
        <v>0</v>
      </c>
      <c r="D900" s="11">
        <v>18.447</v>
      </c>
      <c r="E900" s="11">
        <v>116.551</v>
      </c>
      <c r="F900" s="11">
        <v>154.216</v>
      </c>
    </row>
    <row r="901" spans="1:6">
      <c r="A901" t="s">
        <v>40</v>
      </c>
      <c r="B901" s="11">
        <v>0</v>
      </c>
      <c r="C901" s="11">
        <v>0</v>
      </c>
      <c r="D901" s="11">
        <v>0</v>
      </c>
      <c r="E901" s="11">
        <v>0</v>
      </c>
      <c r="F901" s="11">
        <v>0</v>
      </c>
    </row>
    <row r="902" spans="1:6">
      <c r="A902" t="s">
        <v>41</v>
      </c>
      <c r="B902" s="11">
        <v>0</v>
      </c>
      <c r="C902" s="11">
        <v>0</v>
      </c>
      <c r="D902" s="11">
        <v>3.08199999999999</v>
      </c>
      <c r="E902" s="11">
        <v>48.752</v>
      </c>
      <c r="F902" s="11">
        <v>58.3390000000002</v>
      </c>
    </row>
    <row r="903" spans="1:6">
      <c r="A903" t="s">
        <v>43</v>
      </c>
      <c r="B903" s="11">
        <v>0</v>
      </c>
      <c r="C903" s="11">
        <v>0</v>
      </c>
      <c r="D903" s="11">
        <v>34.827</v>
      </c>
      <c r="E903" s="11">
        <v>74.959</v>
      </c>
      <c r="F903" s="11">
        <v>246.74</v>
      </c>
    </row>
    <row r="904" spans="1:6">
      <c r="A904" t="s">
        <v>44</v>
      </c>
      <c r="B904" s="11">
        <v>0</v>
      </c>
      <c r="C904" s="11">
        <v>0</v>
      </c>
      <c r="D904" s="11">
        <v>0</v>
      </c>
      <c r="E904" s="11">
        <v>14.301</v>
      </c>
      <c r="F904" s="11">
        <v>114.18</v>
      </c>
    </row>
    <row r="905" spans="1:6">
      <c r="A905" t="s">
        <v>45</v>
      </c>
      <c r="B905" s="11">
        <v>0</v>
      </c>
      <c r="C905" s="11">
        <v>0</v>
      </c>
      <c r="D905" s="11">
        <v>1.045</v>
      </c>
      <c r="E905" s="11">
        <v>104.218</v>
      </c>
      <c r="F905" s="11">
        <v>123.877</v>
      </c>
    </row>
    <row r="906" spans="1:6">
      <c r="A906" t="s">
        <v>46</v>
      </c>
      <c r="B906" s="11">
        <v>0</v>
      </c>
      <c r="C906" s="11">
        <v>0</v>
      </c>
      <c r="D906" s="11">
        <v>0.836000000000013</v>
      </c>
      <c r="E906" s="11">
        <v>12.8800000000006</v>
      </c>
      <c r="F906" s="11">
        <v>7.94000000000028</v>
      </c>
    </row>
    <row r="907" spans="1:6">
      <c r="A907" t="s">
        <v>48</v>
      </c>
      <c r="B907" s="11">
        <v>0</v>
      </c>
      <c r="C907" s="11">
        <v>0</v>
      </c>
      <c r="D907" s="11">
        <v>0</v>
      </c>
      <c r="E907" s="11">
        <v>0</v>
      </c>
      <c r="F907" s="11">
        <v>0</v>
      </c>
    </row>
    <row r="908" spans="1:6">
      <c r="A908" t="s">
        <v>49</v>
      </c>
      <c r="B908" s="11">
        <v>0</v>
      </c>
      <c r="C908" s="11">
        <v>0</v>
      </c>
      <c r="D908" s="11">
        <v>21.503</v>
      </c>
      <c r="E908" s="11">
        <v>33.431</v>
      </c>
      <c r="F908" s="11">
        <v>44.02</v>
      </c>
    </row>
    <row r="909" spans="1:6">
      <c r="A909" t="s">
        <v>50</v>
      </c>
      <c r="B909" s="11">
        <v>0</v>
      </c>
      <c r="C909" s="11">
        <v>0</v>
      </c>
      <c r="D909" s="11">
        <v>0</v>
      </c>
      <c r="E909" s="11">
        <v>0</v>
      </c>
      <c r="F909" s="11">
        <v>0</v>
      </c>
    </row>
    <row r="910" spans="1:6">
      <c r="A910" t="s">
        <v>51</v>
      </c>
      <c r="B910" s="11">
        <v>0</v>
      </c>
      <c r="C910" s="11">
        <v>0</v>
      </c>
      <c r="D910" s="11">
        <v>213.133</v>
      </c>
      <c r="E910" s="11">
        <v>487.219</v>
      </c>
      <c r="F910" s="11">
        <v>624.665</v>
      </c>
    </row>
    <row r="911" spans="1:6">
      <c r="A911" t="s">
        <v>53</v>
      </c>
      <c r="B911" s="11">
        <v>0</v>
      </c>
      <c r="C911" s="11">
        <v>0</v>
      </c>
      <c r="D911" s="11">
        <v>0</v>
      </c>
      <c r="E911" s="11">
        <v>0</v>
      </c>
      <c r="F911" s="11">
        <v>0</v>
      </c>
    </row>
    <row r="912" spans="1:6">
      <c r="A912" t="s">
        <v>54</v>
      </c>
      <c r="B912" s="11">
        <v>0</v>
      </c>
      <c r="C912" s="11">
        <v>0</v>
      </c>
      <c r="D912" s="11">
        <v>45.69</v>
      </c>
      <c r="E912" s="11">
        <v>95.5839999999999</v>
      </c>
      <c r="F912" s="11">
        <v>84.472</v>
      </c>
    </row>
    <row r="913" spans="1:6">
      <c r="A913" t="s">
        <v>55</v>
      </c>
      <c r="B913" s="11">
        <v>0</v>
      </c>
      <c r="C913" s="11">
        <v>0</v>
      </c>
      <c r="D913" s="11">
        <v>0</v>
      </c>
      <c r="E913" s="11">
        <v>14.123</v>
      </c>
      <c r="F913" s="11">
        <v>13.95</v>
      </c>
    </row>
    <row r="914" spans="1:6">
      <c r="A914" t="s">
        <v>57</v>
      </c>
      <c r="B914" s="11">
        <v>0</v>
      </c>
      <c r="C914" s="11">
        <v>0</v>
      </c>
      <c r="D914" s="11">
        <v>0</v>
      </c>
      <c r="E914" s="11">
        <v>0</v>
      </c>
      <c r="F914" s="11">
        <v>0</v>
      </c>
    </row>
    <row r="915" spans="1:6">
      <c r="A915" t="s">
        <v>58</v>
      </c>
      <c r="B915" s="11">
        <v>0</v>
      </c>
      <c r="C915" s="11">
        <v>0</v>
      </c>
      <c r="D915" s="11">
        <v>47.672</v>
      </c>
      <c r="E915" s="11">
        <v>0</v>
      </c>
      <c r="F915" s="11">
        <v>0</v>
      </c>
    </row>
    <row r="916" spans="1:6">
      <c r="A916" t="s">
        <v>59</v>
      </c>
      <c r="B916" s="11">
        <v>0</v>
      </c>
      <c r="C916" s="11">
        <v>0</v>
      </c>
      <c r="D916" s="11">
        <v>6.63300000000004</v>
      </c>
      <c r="E916" s="11">
        <v>471.993</v>
      </c>
      <c r="F916" s="11">
        <v>2143.633</v>
      </c>
    </row>
    <row r="917" spans="1:6">
      <c r="A917" t="s">
        <v>60</v>
      </c>
      <c r="B917" s="11">
        <v>0</v>
      </c>
      <c r="C917" s="11">
        <v>0</v>
      </c>
      <c r="D917" s="11">
        <v>-75.783</v>
      </c>
      <c r="E917" s="11">
        <v>10.222</v>
      </c>
      <c r="F917" s="11">
        <v>-394.094</v>
      </c>
    </row>
    <row r="918" spans="1:6">
      <c r="A918" t="s">
        <v>83</v>
      </c>
      <c r="B918" s="11">
        <v>0</v>
      </c>
      <c r="C918" s="11">
        <v>0</v>
      </c>
      <c r="D918" s="11">
        <v>0</v>
      </c>
      <c r="E918" s="11">
        <v>0</v>
      </c>
      <c r="F918" s="11">
        <v>0</v>
      </c>
    </row>
    <row r="922" spans="1:7">
      <c r="A922" s="17" t="s">
        <v>10</v>
      </c>
      <c r="B922" s="11" t="s">
        <v>79</v>
      </c>
      <c r="C922" s="11"/>
      <c r="D922" s="11" t="s">
        <v>80</v>
      </c>
      <c r="E922" s="26"/>
      <c r="F922" s="15">
        <v>5331</v>
      </c>
      <c r="G922" s="9" t="s">
        <v>451</v>
      </c>
    </row>
    <row r="923" spans="1:6">
      <c r="A923" s="17" t="s">
        <v>11</v>
      </c>
      <c r="B923" s="11">
        <v>225100.198</v>
      </c>
      <c r="C923" s="11"/>
      <c r="D923" s="11"/>
      <c r="E923" s="11"/>
      <c r="F923" s="11"/>
    </row>
    <row r="924" spans="1:6">
      <c r="A924" t="s">
        <v>16</v>
      </c>
      <c r="B924" s="13">
        <v>41669</v>
      </c>
      <c r="C924" s="13">
        <v>42034</v>
      </c>
      <c r="D924" s="13">
        <v>42399</v>
      </c>
      <c r="E924" s="13">
        <v>42765</v>
      </c>
      <c r="F924" s="13">
        <v>43130</v>
      </c>
    </row>
    <row r="925" spans="1:6">
      <c r="A925" t="s">
        <v>18</v>
      </c>
      <c r="B925" s="11">
        <v>22245500</v>
      </c>
      <c r="C925" s="11">
        <v>22823300</v>
      </c>
      <c r="D925" s="11">
        <v>23610800</v>
      </c>
      <c r="E925" s="11">
        <v>25509300</v>
      </c>
      <c r="F925" s="11">
        <v>26321200</v>
      </c>
    </row>
    <row r="926" spans="1:6">
      <c r="A926" t="s">
        <v>19</v>
      </c>
      <c r="B926" s="11">
        <v>-15223600</v>
      </c>
      <c r="C926" s="11">
        <v>-15875800</v>
      </c>
      <c r="D926" s="11">
        <v>-16570100</v>
      </c>
      <c r="E926" s="11">
        <v>-17721900</v>
      </c>
      <c r="F926" s="11">
        <v>-18595300</v>
      </c>
    </row>
    <row r="927" spans="1:6">
      <c r="A927" t="s">
        <v>21</v>
      </c>
      <c r="B927" s="11">
        <v>0</v>
      </c>
      <c r="C927" s="11">
        <v>0</v>
      </c>
      <c r="D927" s="11">
        <v>0</v>
      </c>
      <c r="E927" s="11">
        <v>0</v>
      </c>
      <c r="F927" s="11">
        <v>0</v>
      </c>
    </row>
    <row r="928" spans="1:6">
      <c r="A928" t="s">
        <v>22</v>
      </c>
      <c r="B928" s="11">
        <v>-4953600</v>
      </c>
      <c r="C928" s="11">
        <v>-7887000</v>
      </c>
      <c r="D928" s="11">
        <v>-5778500</v>
      </c>
      <c r="E928" s="11">
        <v>-5899500</v>
      </c>
      <c r="F928" s="11">
        <v>-5914500</v>
      </c>
    </row>
    <row r="929" spans="1:6">
      <c r="A929" t="s">
        <v>24</v>
      </c>
      <c r="B929" s="11">
        <v>-69200</v>
      </c>
      <c r="C929" s="11">
        <v>0</v>
      </c>
      <c r="D929" s="11">
        <v>0</v>
      </c>
      <c r="E929" s="11">
        <v>0</v>
      </c>
      <c r="F929" s="11">
        <v>0</v>
      </c>
    </row>
    <row r="930" spans="1:6">
      <c r="A930" t="s">
        <v>82</v>
      </c>
      <c r="B930" s="11">
        <v>-301800</v>
      </c>
      <c r="C930" s="11">
        <v>-370000</v>
      </c>
      <c r="D930" s="11">
        <v>-162100</v>
      </c>
      <c r="E930" s="11">
        <v>-147300</v>
      </c>
      <c r="F930" s="11">
        <v>-178900</v>
      </c>
    </row>
    <row r="931" spans="1:6">
      <c r="A931" t="s">
        <v>27</v>
      </c>
      <c r="B931" s="11">
        <v>6700</v>
      </c>
      <c r="C931" s="11">
        <v>500</v>
      </c>
      <c r="D931" s="11">
        <v>-1400</v>
      </c>
      <c r="E931" s="11">
        <v>-800</v>
      </c>
      <c r="F931" s="11">
        <v>-300</v>
      </c>
    </row>
    <row r="932" spans="1:6">
      <c r="A932" t="s">
        <v>29</v>
      </c>
      <c r="B932" s="11">
        <v>10300</v>
      </c>
      <c r="C932" s="11">
        <v>-281800</v>
      </c>
      <c r="D932" s="11">
        <v>-271700</v>
      </c>
      <c r="E932" s="11">
        <v>-397900</v>
      </c>
      <c r="F932" s="11">
        <v>-304300</v>
      </c>
    </row>
    <row r="933" spans="1:6">
      <c r="A933" t="s">
        <v>33</v>
      </c>
      <c r="B933" s="11">
        <v>0</v>
      </c>
      <c r="C933" s="11">
        <v>0</v>
      </c>
      <c r="D933" s="11">
        <v>0</v>
      </c>
      <c r="E933" s="11">
        <v>0</v>
      </c>
      <c r="F933" s="11">
        <v>0</v>
      </c>
    </row>
    <row r="934" spans="1:6">
      <c r="A934" t="s">
        <v>30</v>
      </c>
      <c r="B934" s="11">
        <v>0</v>
      </c>
      <c r="C934" s="11">
        <v>0</v>
      </c>
      <c r="D934" s="11">
        <v>0</v>
      </c>
      <c r="E934" s="11">
        <v>0</v>
      </c>
      <c r="F934" s="11">
        <v>0</v>
      </c>
    </row>
    <row r="935" spans="1:6">
      <c r="A935" t="s">
        <v>32</v>
      </c>
      <c r="B935" s="11">
        <v>0</v>
      </c>
      <c r="C935" s="11">
        <v>0</v>
      </c>
      <c r="D935" s="11">
        <v>0</v>
      </c>
      <c r="E935" s="11">
        <v>0</v>
      </c>
      <c r="F935" s="11">
        <v>0</v>
      </c>
    </row>
    <row r="936" spans="1:6">
      <c r="A936" t="s">
        <v>34</v>
      </c>
      <c r="B936" s="11">
        <v>0</v>
      </c>
      <c r="C936" s="11">
        <v>0</v>
      </c>
      <c r="D936" s="11">
        <v>0</v>
      </c>
      <c r="E936" s="11">
        <v>0</v>
      </c>
      <c r="F936" s="11">
        <v>0</v>
      </c>
    </row>
    <row r="937" spans="1:6">
      <c r="A937" t="s">
        <v>38</v>
      </c>
      <c r="B937" s="11">
        <v>1097800</v>
      </c>
      <c r="C937" s="11">
        <v>446700</v>
      </c>
      <c r="D937" s="11">
        <v>586000</v>
      </c>
      <c r="E937" s="11">
        <v>1463600</v>
      </c>
      <c r="F937" s="11">
        <v>1038300</v>
      </c>
    </row>
    <row r="938" spans="1:6">
      <c r="A938" t="s">
        <v>39</v>
      </c>
      <c r="B938" s="11">
        <v>0</v>
      </c>
      <c r="C938" s="11">
        <v>100900</v>
      </c>
      <c r="D938" s="11">
        <v>0</v>
      </c>
      <c r="E938" s="11">
        <v>0</v>
      </c>
      <c r="F938" s="11">
        <v>0</v>
      </c>
    </row>
    <row r="939" spans="1:6">
      <c r="A939" t="s">
        <v>40</v>
      </c>
      <c r="B939" s="11">
        <v>3169300</v>
      </c>
      <c r="C939" s="11">
        <v>3536000</v>
      </c>
      <c r="D939" s="11">
        <v>3522000</v>
      </c>
      <c r="E939" s="11">
        <v>3427000</v>
      </c>
      <c r="F939" s="11">
        <v>4367300</v>
      </c>
    </row>
    <row r="940" spans="1:6">
      <c r="A940" t="s">
        <v>41</v>
      </c>
      <c r="B940" s="11">
        <v>309200</v>
      </c>
      <c r="C940" s="11">
        <v>209700</v>
      </c>
      <c r="D940" s="11">
        <v>161400</v>
      </c>
      <c r="E940" s="11">
        <v>160200</v>
      </c>
      <c r="F940" s="11">
        <v>203600</v>
      </c>
    </row>
    <row r="941" spans="1:6">
      <c r="A941" t="s">
        <v>43</v>
      </c>
      <c r="B941" s="11">
        <v>3200700</v>
      </c>
      <c r="C941" s="11">
        <v>3445300</v>
      </c>
      <c r="D941" s="11">
        <v>3881800</v>
      </c>
      <c r="E941" s="11">
        <v>4116300</v>
      </c>
      <c r="F941" s="11">
        <v>4477300</v>
      </c>
    </row>
    <row r="942" spans="1:6">
      <c r="A942" t="s">
        <v>44</v>
      </c>
      <c r="B942" s="11">
        <v>0</v>
      </c>
      <c r="C942" s="11">
        <v>0</v>
      </c>
      <c r="D942" s="11">
        <v>0</v>
      </c>
      <c r="E942" s="11">
        <v>0</v>
      </c>
      <c r="F942" s="11">
        <v>0</v>
      </c>
    </row>
    <row r="943" spans="1:6">
      <c r="A943" t="s">
        <v>45</v>
      </c>
      <c r="B943" s="11">
        <v>5025200</v>
      </c>
      <c r="C943" s="11">
        <v>5685300</v>
      </c>
      <c r="D943" s="11">
        <v>5083300</v>
      </c>
      <c r="E943" s="11">
        <v>5084400</v>
      </c>
      <c r="F943" s="11">
        <v>5084400</v>
      </c>
    </row>
    <row r="944" spans="1:6">
      <c r="A944" t="s">
        <v>46</v>
      </c>
      <c r="B944" s="11">
        <v>3530600</v>
      </c>
      <c r="C944" s="11">
        <v>77300</v>
      </c>
      <c r="D944" s="11">
        <v>6340100</v>
      </c>
      <c r="E944" s="11">
        <v>6444500</v>
      </c>
      <c r="F944" s="11">
        <v>6550900</v>
      </c>
    </row>
    <row r="945" spans="1:6">
      <c r="A945" t="s">
        <v>48</v>
      </c>
      <c r="B945" s="11">
        <v>915900</v>
      </c>
      <c r="C945" s="11">
        <v>0</v>
      </c>
      <c r="D945" s="11">
        <v>250000</v>
      </c>
      <c r="E945" s="11">
        <v>0</v>
      </c>
      <c r="F945" s="11">
        <v>0</v>
      </c>
    </row>
    <row r="946" spans="1:6">
      <c r="A946" t="s">
        <v>49</v>
      </c>
      <c r="B946" s="11">
        <v>1174800</v>
      </c>
      <c r="C946" s="11">
        <v>1416400</v>
      </c>
      <c r="D946" s="11">
        <v>1336500</v>
      </c>
      <c r="E946" s="11">
        <v>1480500</v>
      </c>
      <c r="F946" s="11">
        <v>1884200</v>
      </c>
    </row>
    <row r="947" spans="1:6">
      <c r="A947" t="s">
        <v>50</v>
      </c>
      <c r="B947" s="11">
        <v>31500</v>
      </c>
      <c r="C947" s="11">
        <v>60000</v>
      </c>
      <c r="D947" s="11">
        <v>62700</v>
      </c>
      <c r="E947" s="11">
        <v>86300</v>
      </c>
      <c r="F947" s="11">
        <v>82600</v>
      </c>
    </row>
    <row r="948" spans="1:6">
      <c r="A948" t="s">
        <v>51</v>
      </c>
      <c r="B948" s="11">
        <v>736900</v>
      </c>
      <c r="C948" s="11">
        <v>619300</v>
      </c>
      <c r="D948" s="11">
        <v>1897300</v>
      </c>
      <c r="E948" s="11">
        <v>2163500</v>
      </c>
      <c r="F948" s="11">
        <v>2209800</v>
      </c>
    </row>
    <row r="949" spans="1:6">
      <c r="A949" t="s">
        <v>53</v>
      </c>
      <c r="B949" s="11">
        <v>4762100</v>
      </c>
      <c r="C949" s="11">
        <v>4265300</v>
      </c>
      <c r="D949" s="11">
        <v>3522200</v>
      </c>
      <c r="E949" s="11">
        <v>3226200</v>
      </c>
      <c r="F949" s="11">
        <v>3417000</v>
      </c>
    </row>
    <row r="950" spans="1:6">
      <c r="A950" t="s">
        <v>54</v>
      </c>
      <c r="B950" s="11">
        <v>544100</v>
      </c>
      <c r="C950" s="11">
        <v>524100</v>
      </c>
      <c r="D950" s="11">
        <v>5266400</v>
      </c>
      <c r="E950" s="11">
        <v>5440700</v>
      </c>
      <c r="F950" s="11">
        <v>5422500</v>
      </c>
    </row>
    <row r="951" spans="1:6">
      <c r="A951" t="s">
        <v>55</v>
      </c>
      <c r="B951" s="11">
        <v>985200</v>
      </c>
      <c r="C951" s="11">
        <v>973200</v>
      </c>
      <c r="D951" s="11">
        <v>984700</v>
      </c>
      <c r="E951" s="11">
        <v>1013500</v>
      </c>
      <c r="F951" s="11">
        <v>987200</v>
      </c>
    </row>
    <row r="952" spans="1:6">
      <c r="A952" t="s">
        <v>57</v>
      </c>
      <c r="B952" s="11">
        <v>0</v>
      </c>
      <c r="C952" s="11">
        <v>0</v>
      </c>
      <c r="D952" s="11">
        <v>0</v>
      </c>
      <c r="E952" s="11">
        <v>0</v>
      </c>
      <c r="F952" s="11">
        <v>0</v>
      </c>
    </row>
    <row r="953" spans="1:6">
      <c r="A953" t="s">
        <v>58</v>
      </c>
      <c r="B953" s="11">
        <v>0</v>
      </c>
      <c r="C953" s="11">
        <v>0</v>
      </c>
      <c r="D953" s="11">
        <v>0</v>
      </c>
      <c r="E953" s="11">
        <v>0</v>
      </c>
      <c r="F953" s="11">
        <v>0</v>
      </c>
    </row>
    <row r="954" spans="1:6">
      <c r="A954" t="s">
        <v>59</v>
      </c>
      <c r="B954" s="11">
        <v>2515400</v>
      </c>
      <c r="C954" s="11">
        <v>2566800</v>
      </c>
      <c r="D954" s="11">
        <v>2417000</v>
      </c>
      <c r="E954" s="11">
        <v>2105600</v>
      </c>
      <c r="F954" s="11">
        <v>1210900</v>
      </c>
    </row>
    <row r="955" spans="1:6">
      <c r="A955" t="s">
        <v>60</v>
      </c>
      <c r="B955" s="11">
        <v>4666900</v>
      </c>
      <c r="C955" s="11">
        <v>3076100</v>
      </c>
      <c r="D955" s="11">
        <v>3837800</v>
      </c>
      <c r="E955" s="11">
        <v>5179700</v>
      </c>
      <c r="F955" s="11">
        <v>6507600</v>
      </c>
    </row>
    <row r="956" spans="1:6">
      <c r="A956" t="s">
        <v>83</v>
      </c>
      <c r="B956" s="11">
        <v>0</v>
      </c>
      <c r="C956" s="11">
        <v>0</v>
      </c>
      <c r="D956" s="11">
        <v>0</v>
      </c>
      <c r="E956" s="11">
        <v>0</v>
      </c>
      <c r="F956" s="11">
        <v>0</v>
      </c>
    </row>
    <row r="960" spans="1:7">
      <c r="A960" s="17" t="s">
        <v>10</v>
      </c>
      <c r="B960" s="11" t="s">
        <v>426</v>
      </c>
      <c r="C960" s="11"/>
      <c r="D960" s="11" t="s">
        <v>495</v>
      </c>
      <c r="E960" s="26"/>
      <c r="F960" s="15">
        <v>5331</v>
      </c>
      <c r="G960" s="9" t="s">
        <v>451</v>
      </c>
    </row>
    <row r="961" spans="1:6">
      <c r="A961" s="17" t="s">
        <v>11</v>
      </c>
      <c r="B961" s="11">
        <v>471274.073</v>
      </c>
      <c r="C961" s="11"/>
      <c r="D961" s="11"/>
      <c r="E961" s="11"/>
      <c r="F961" s="11"/>
    </row>
    <row r="962" spans="1:6">
      <c r="A962" t="s">
        <v>16</v>
      </c>
      <c r="B962" s="13">
        <v>41669</v>
      </c>
      <c r="C962" s="13">
        <v>42034</v>
      </c>
      <c r="D962" s="13">
        <v>42399</v>
      </c>
      <c r="E962" s="13">
        <v>42765</v>
      </c>
      <c r="F962" s="13">
        <v>43130</v>
      </c>
    </row>
    <row r="963" spans="1:6">
      <c r="A963" t="s">
        <v>18</v>
      </c>
      <c r="B963" s="11">
        <v>72714000</v>
      </c>
      <c r="C963" s="11">
        <v>75356000</v>
      </c>
      <c r="D963" s="11">
        <v>78112000</v>
      </c>
      <c r="E963" s="11">
        <v>93561000</v>
      </c>
      <c r="F963" s="11">
        <v>106005000</v>
      </c>
    </row>
    <row r="964" spans="1:6">
      <c r="A964" t="s">
        <v>19</v>
      </c>
      <c r="B964" s="11">
        <v>-51125000</v>
      </c>
      <c r="C964" s="11">
        <v>-53299000</v>
      </c>
      <c r="D964" s="11">
        <v>-54864000</v>
      </c>
      <c r="E964" s="11">
        <v>-66177000</v>
      </c>
      <c r="F964" s="11">
        <v>-74963000</v>
      </c>
    </row>
    <row r="965" spans="1:6">
      <c r="A965" t="s">
        <v>21</v>
      </c>
      <c r="B965" s="11">
        <v>0</v>
      </c>
      <c r="C965" s="11">
        <v>0</v>
      </c>
      <c r="D965" s="11">
        <v>0</v>
      </c>
      <c r="E965" s="11">
        <v>0</v>
      </c>
      <c r="F965" s="11">
        <v>0</v>
      </c>
    </row>
    <row r="966" spans="1:6">
      <c r="A966" t="s">
        <v>22</v>
      </c>
      <c r="B966" s="11">
        <v>-15140000</v>
      </c>
      <c r="C966" s="11">
        <v>-15723000</v>
      </c>
      <c r="D966" s="11">
        <v>-16233000</v>
      </c>
      <c r="E966" s="11">
        <v>-18615000</v>
      </c>
      <c r="F966" s="11">
        <v>-19752000</v>
      </c>
    </row>
    <row r="967" spans="1:6">
      <c r="A967" t="s">
        <v>24</v>
      </c>
      <c r="B967" s="11">
        <v>-2225000</v>
      </c>
      <c r="C967" s="11">
        <v>-2224000</v>
      </c>
      <c r="D967" s="11">
        <v>-2357000</v>
      </c>
      <c r="E967" s="11">
        <v>-2230000</v>
      </c>
      <c r="F967" s="11">
        <v>-2344000</v>
      </c>
    </row>
    <row r="968" spans="1:6">
      <c r="A968" t="s">
        <v>82</v>
      </c>
      <c r="B968" s="11">
        <v>-653000</v>
      </c>
      <c r="C968" s="11">
        <v>-461000</v>
      </c>
      <c r="D968" s="11">
        <v>-477000</v>
      </c>
      <c r="E968" s="11">
        <v>-977000</v>
      </c>
      <c r="F968" s="11">
        <v>-421000</v>
      </c>
    </row>
    <row r="969" spans="1:6">
      <c r="A969" t="s">
        <v>27</v>
      </c>
      <c r="B969" s="11">
        <v>0</v>
      </c>
      <c r="C969" s="11">
        <v>0</v>
      </c>
      <c r="D969" s="11">
        <v>0</v>
      </c>
      <c r="E969" s="11">
        <v>-16000</v>
      </c>
      <c r="F969" s="11">
        <v>382000</v>
      </c>
    </row>
    <row r="970" spans="1:6">
      <c r="A970" t="s">
        <v>29</v>
      </c>
      <c r="B970" s="11">
        <v>-722000</v>
      </c>
      <c r="C970" s="11">
        <v>-746000</v>
      </c>
      <c r="D970" s="11">
        <v>-921000</v>
      </c>
      <c r="E970" s="11">
        <v>-1178000</v>
      </c>
      <c r="F970" s="11">
        <v>-1961000</v>
      </c>
    </row>
    <row r="971" spans="1:6">
      <c r="A971" t="s">
        <v>33</v>
      </c>
      <c r="B971" s="11">
        <v>0</v>
      </c>
      <c r="C971" s="11">
        <v>0</v>
      </c>
      <c r="D971" s="11">
        <v>0</v>
      </c>
      <c r="E971" s="11">
        <v>0</v>
      </c>
      <c r="F971" s="11">
        <v>0</v>
      </c>
    </row>
    <row r="972" spans="1:6">
      <c r="A972" t="s">
        <v>30</v>
      </c>
      <c r="B972" s="11">
        <v>65000</v>
      </c>
      <c r="C972" s="11">
        <v>34000</v>
      </c>
      <c r="D972" s="11">
        <v>21000</v>
      </c>
      <c r="E972" s="11">
        <v>0</v>
      </c>
      <c r="F972" s="11">
        <v>0</v>
      </c>
    </row>
    <row r="973" spans="1:6">
      <c r="A973" t="s">
        <v>32</v>
      </c>
      <c r="B973" s="11">
        <v>0</v>
      </c>
      <c r="C973" s="11">
        <v>0</v>
      </c>
      <c r="D973" s="11">
        <v>0</v>
      </c>
      <c r="E973" s="11">
        <v>0</v>
      </c>
      <c r="F973" s="11">
        <v>0</v>
      </c>
    </row>
    <row r="974" spans="1:6">
      <c r="A974" t="s">
        <v>34</v>
      </c>
      <c r="B974" s="11">
        <v>0</v>
      </c>
      <c r="C974" s="11">
        <v>0</v>
      </c>
      <c r="D974" s="11">
        <v>0</v>
      </c>
      <c r="E974" s="11">
        <v>0</v>
      </c>
      <c r="F974" s="11">
        <v>0</v>
      </c>
    </row>
    <row r="975" spans="1:6">
      <c r="A975" t="s">
        <v>38</v>
      </c>
      <c r="B975" s="11">
        <v>2643000</v>
      </c>
      <c r="C975" s="11">
        <v>1556000</v>
      </c>
      <c r="D975" s="11">
        <v>2577000</v>
      </c>
      <c r="E975" s="11">
        <v>8511000</v>
      </c>
      <c r="F975" s="11">
        <v>5911000</v>
      </c>
    </row>
    <row r="976" spans="1:6">
      <c r="A976" t="s">
        <v>39</v>
      </c>
      <c r="B976" s="11">
        <v>0</v>
      </c>
      <c r="C976" s="11">
        <v>0</v>
      </c>
      <c r="D976" s="11">
        <v>0</v>
      </c>
      <c r="E976" s="11">
        <v>0</v>
      </c>
      <c r="F976" s="11">
        <v>0</v>
      </c>
    </row>
    <row r="977" spans="1:6">
      <c r="A977" t="s">
        <v>40</v>
      </c>
      <c r="B977" s="11">
        <v>8597000</v>
      </c>
      <c r="C977" s="11">
        <v>9497000</v>
      </c>
      <c r="D977" s="11">
        <v>8992000</v>
      </c>
      <c r="E977" s="11">
        <v>10653000</v>
      </c>
      <c r="F977" s="11">
        <v>13902000</v>
      </c>
    </row>
    <row r="978" spans="1:6">
      <c r="A978" t="s">
        <v>41</v>
      </c>
      <c r="B978" s="11">
        <v>1300000</v>
      </c>
      <c r="C978" s="11">
        <v>1466000</v>
      </c>
      <c r="D978" s="11">
        <v>1333000</v>
      </c>
      <c r="E978" s="11">
        <v>1592000</v>
      </c>
      <c r="F978" s="11">
        <v>1760000</v>
      </c>
    </row>
    <row r="979" spans="1:6">
      <c r="A979" t="s">
        <v>43</v>
      </c>
      <c r="B979" s="11">
        <v>24536000</v>
      </c>
      <c r="C979" s="11">
        <v>25533000</v>
      </c>
      <c r="D979" s="11">
        <v>26283000</v>
      </c>
      <c r="E979" s="11">
        <v>26879000</v>
      </c>
      <c r="F979" s="11">
        <v>28181000</v>
      </c>
    </row>
    <row r="980" spans="1:6">
      <c r="A980" t="s">
        <v>44</v>
      </c>
      <c r="B980" s="11">
        <v>0</v>
      </c>
      <c r="C980" s="11">
        <v>0</v>
      </c>
      <c r="D980" s="11">
        <v>0</v>
      </c>
      <c r="E980" s="11">
        <v>0</v>
      </c>
      <c r="F980" s="11">
        <v>0</v>
      </c>
    </row>
    <row r="981" spans="1:6">
      <c r="A981" t="s">
        <v>45</v>
      </c>
      <c r="B981" s="11">
        <v>709000</v>
      </c>
      <c r="C981" s="11">
        <v>699000</v>
      </c>
      <c r="D981" s="11">
        <v>686000</v>
      </c>
      <c r="E981" s="11">
        <v>631000</v>
      </c>
      <c r="F981" s="11">
        <v>631000</v>
      </c>
    </row>
    <row r="982" spans="1:6">
      <c r="A982" t="s">
        <v>46</v>
      </c>
      <c r="B982" s="11">
        <v>2518000</v>
      </c>
      <c r="C982" s="11">
        <v>2539000</v>
      </c>
      <c r="D982" s="11">
        <v>2908000</v>
      </c>
      <c r="E982" s="11">
        <v>2982000</v>
      </c>
      <c r="F982" s="11">
        <v>3426000</v>
      </c>
    </row>
    <row r="983" spans="1:6">
      <c r="A983" t="s">
        <v>48</v>
      </c>
      <c r="B983" s="11">
        <v>281000</v>
      </c>
      <c r="C983" s="11">
        <v>1052000</v>
      </c>
      <c r="D983" s="11">
        <v>161000</v>
      </c>
      <c r="E983" s="11">
        <v>1144000</v>
      </c>
      <c r="F983" s="11">
        <v>171000</v>
      </c>
    </row>
    <row r="984" spans="1:6">
      <c r="A984" t="s">
        <v>49</v>
      </c>
      <c r="B984" s="11">
        <v>8677000</v>
      </c>
      <c r="C984" s="11">
        <v>9761000</v>
      </c>
      <c r="D984" s="11">
        <v>9920000</v>
      </c>
      <c r="E984" s="11">
        <v>12859000</v>
      </c>
      <c r="F984" s="11">
        <v>15478000</v>
      </c>
    </row>
    <row r="985" spans="1:6">
      <c r="A985" t="s">
        <v>50</v>
      </c>
      <c r="B985" s="11">
        <v>670000</v>
      </c>
      <c r="C985" s="11">
        <v>601000</v>
      </c>
      <c r="D985" s="11">
        <v>129000</v>
      </c>
      <c r="E985" s="11">
        <v>0</v>
      </c>
      <c r="F985" s="11">
        <v>0</v>
      </c>
    </row>
    <row r="986" spans="1:6">
      <c r="A986" t="s">
        <v>51</v>
      </c>
      <c r="B986" s="11">
        <v>3424000</v>
      </c>
      <c r="C986" s="11">
        <v>3600000</v>
      </c>
      <c r="D986" s="11">
        <v>4277000</v>
      </c>
      <c r="E986" s="11">
        <v>6122000</v>
      </c>
      <c r="F986" s="11">
        <v>6098000</v>
      </c>
    </row>
    <row r="987" spans="1:6">
      <c r="A987" t="s">
        <v>53</v>
      </c>
      <c r="B987" s="11">
        <v>11117000</v>
      </c>
      <c r="C987" s="11">
        <v>10223000</v>
      </c>
      <c r="D987" s="11">
        <v>11338000</v>
      </c>
      <c r="E987" s="11">
        <v>11536000</v>
      </c>
      <c r="F987" s="11">
        <v>13549000</v>
      </c>
    </row>
    <row r="988" spans="1:6">
      <c r="A988" t="s">
        <v>54</v>
      </c>
      <c r="B988" s="11">
        <v>3790000</v>
      </c>
      <c r="C988" s="11">
        <v>4756000</v>
      </c>
      <c r="D988" s="11">
        <v>3999000</v>
      </c>
      <c r="E988" s="11">
        <v>4157000</v>
      </c>
      <c r="F988" s="11">
        <v>4122000</v>
      </c>
    </row>
    <row r="989" spans="1:6">
      <c r="A989" t="s">
        <v>55</v>
      </c>
      <c r="B989" s="11">
        <v>693000</v>
      </c>
      <c r="C989" s="11">
        <v>0</v>
      </c>
      <c r="D989" s="11">
        <v>1122000</v>
      </c>
      <c r="E989" s="11">
        <v>990000</v>
      </c>
      <c r="F989" s="11">
        <v>1566000</v>
      </c>
    </row>
    <row r="990" spans="1:6">
      <c r="A990" t="s">
        <v>57</v>
      </c>
      <c r="B990" s="11">
        <v>0</v>
      </c>
      <c r="C990" s="11">
        <v>0</v>
      </c>
      <c r="D990" s="11">
        <v>0</v>
      </c>
      <c r="E990" s="11">
        <v>0</v>
      </c>
      <c r="F990" s="11">
        <v>0</v>
      </c>
    </row>
    <row r="991" spans="1:6">
      <c r="A991" t="s">
        <v>58</v>
      </c>
      <c r="B991" s="11">
        <v>0</v>
      </c>
      <c r="C991" s="11">
        <v>0</v>
      </c>
      <c r="D991" s="11">
        <v>0</v>
      </c>
      <c r="E991" s="11">
        <v>0</v>
      </c>
      <c r="F991" s="11">
        <v>0</v>
      </c>
    </row>
    <row r="992" spans="1:6">
      <c r="A992" t="s">
        <v>59</v>
      </c>
      <c r="B992" s="11">
        <v>5156000</v>
      </c>
      <c r="C992" s="11">
        <v>5280000</v>
      </c>
      <c r="D992" s="11">
        <v>5400000</v>
      </c>
      <c r="E992" s="11">
        <v>5615000</v>
      </c>
      <c r="F992" s="11">
        <v>5907000</v>
      </c>
    </row>
    <row r="993" spans="1:6">
      <c r="A993" t="s">
        <v>60</v>
      </c>
      <c r="B993" s="11">
        <v>6495000</v>
      </c>
      <c r="C993" s="11">
        <v>6017000</v>
      </c>
      <c r="D993" s="11">
        <v>6433000</v>
      </c>
      <c r="E993" s="11">
        <v>8825000</v>
      </c>
      <c r="F993" s="11">
        <v>6920000</v>
      </c>
    </row>
    <row r="994" spans="1:6">
      <c r="A994" t="s">
        <v>83</v>
      </c>
      <c r="B994" s="11">
        <v>1338000</v>
      </c>
      <c r="C994" s="11">
        <v>1335000</v>
      </c>
      <c r="D994" s="11">
        <v>1330000</v>
      </c>
      <c r="E994" s="11">
        <v>1343000</v>
      </c>
      <c r="F994" s="11">
        <v>1548000</v>
      </c>
    </row>
    <row r="998" spans="1:7">
      <c r="A998" s="17" t="s">
        <v>10</v>
      </c>
      <c r="B998" s="11" t="s">
        <v>438</v>
      </c>
      <c r="C998" s="11"/>
      <c r="D998" s="11" t="s">
        <v>496</v>
      </c>
      <c r="E998" s="26"/>
      <c r="F998" s="15">
        <v>5331</v>
      </c>
      <c r="G998" s="9" t="s">
        <v>451</v>
      </c>
    </row>
    <row r="999" spans="1:6">
      <c r="A999" s="17" t="s">
        <v>11</v>
      </c>
      <c r="B999" s="11">
        <v>2751779.629</v>
      </c>
      <c r="C999" s="11"/>
      <c r="D999" s="11"/>
      <c r="E999" s="11"/>
      <c r="F999" s="11"/>
    </row>
    <row r="1000" spans="1:6">
      <c r="A1000" t="s">
        <v>16</v>
      </c>
      <c r="B1000" s="13">
        <v>41669</v>
      </c>
      <c r="C1000" s="13">
        <v>42034</v>
      </c>
      <c r="D1000" s="13">
        <v>42399</v>
      </c>
      <c r="E1000" s="13">
        <v>42765</v>
      </c>
      <c r="F1000" s="13">
        <v>43130</v>
      </c>
    </row>
    <row r="1001" spans="1:6">
      <c r="A1001" t="s">
        <v>18</v>
      </c>
      <c r="B1001" s="11">
        <v>500343000</v>
      </c>
      <c r="C1001" s="11">
        <v>514405000</v>
      </c>
      <c r="D1001" s="11">
        <v>523964000</v>
      </c>
      <c r="E1001" s="11">
        <v>559151000</v>
      </c>
      <c r="F1001" s="11">
        <v>572754000</v>
      </c>
    </row>
    <row r="1002" spans="1:6">
      <c r="A1002" t="s">
        <v>19</v>
      </c>
      <c r="B1002" s="11">
        <v>-373396000</v>
      </c>
      <c r="C1002" s="11">
        <v>-385301000</v>
      </c>
      <c r="D1002" s="11">
        <v>-394605000</v>
      </c>
      <c r="E1002" s="11">
        <v>-420315000</v>
      </c>
      <c r="F1002" s="11">
        <v>-429000000</v>
      </c>
    </row>
    <row r="1003" spans="1:6">
      <c r="A1003" t="s">
        <v>21</v>
      </c>
      <c r="B1003" s="11">
        <v>0</v>
      </c>
      <c r="C1003" s="11">
        <v>0</v>
      </c>
      <c r="D1003" s="11">
        <v>0</v>
      </c>
      <c r="E1003" s="11">
        <v>0</v>
      </c>
      <c r="F1003" s="11">
        <v>0</v>
      </c>
    </row>
    <row r="1004" spans="1:6">
      <c r="A1004" t="s">
        <v>22</v>
      </c>
      <c r="B1004" s="11">
        <v>-95981000</v>
      </c>
      <c r="C1004" s="11">
        <v>-107147000</v>
      </c>
      <c r="D1004" s="11">
        <v>-108311000</v>
      </c>
      <c r="E1004" s="11">
        <v>-115705000</v>
      </c>
      <c r="F1004" s="11">
        <v>-117247000</v>
      </c>
    </row>
    <row r="1005" spans="1:6">
      <c r="A1005" t="s">
        <v>24</v>
      </c>
      <c r="B1005" s="11">
        <v>-10529000</v>
      </c>
      <c r="C1005" s="11">
        <v>0</v>
      </c>
      <c r="D1005" s="11">
        <v>-480000</v>
      </c>
      <c r="E1005" s="11">
        <v>-583000</v>
      </c>
      <c r="F1005" s="11">
        <v>-565000</v>
      </c>
    </row>
    <row r="1006" spans="1:6">
      <c r="A1006" t="s">
        <v>82</v>
      </c>
      <c r="B1006" s="11">
        <v>-2178000</v>
      </c>
      <c r="C1006" s="11">
        <v>-2129000</v>
      </c>
      <c r="D1006" s="11">
        <v>-2410000</v>
      </c>
      <c r="E1006" s="11">
        <v>-2194000</v>
      </c>
      <c r="F1006" s="11">
        <v>-1836000</v>
      </c>
    </row>
    <row r="1007" spans="1:6">
      <c r="A1007" t="s">
        <v>27</v>
      </c>
      <c r="B1007" s="11">
        <v>2178000</v>
      </c>
      <c r="C1007" s="11">
        <v>-6239000</v>
      </c>
      <c r="D1007" s="11">
        <v>4368000</v>
      </c>
      <c r="E1007" s="11">
        <v>210000</v>
      </c>
      <c r="F1007" s="11">
        <v>-5410000</v>
      </c>
    </row>
    <row r="1008" spans="1:6">
      <c r="A1008" t="s">
        <v>29</v>
      </c>
      <c r="B1008" s="11">
        <v>-4600000</v>
      </c>
      <c r="C1008" s="11">
        <v>-4281000</v>
      </c>
      <c r="D1008" s="11">
        <v>-4915000</v>
      </c>
      <c r="E1008" s="11">
        <v>-6858000</v>
      </c>
      <c r="F1008" s="11">
        <v>-4756000</v>
      </c>
    </row>
    <row r="1009" spans="1:6">
      <c r="A1009" t="s">
        <v>33</v>
      </c>
      <c r="B1009" s="11">
        <v>-661000</v>
      </c>
      <c r="C1009" s="11">
        <v>-509000</v>
      </c>
      <c r="D1009" s="11">
        <v>-320000</v>
      </c>
      <c r="E1009" s="11">
        <v>-196000</v>
      </c>
      <c r="F1009" s="11">
        <v>-267000</v>
      </c>
    </row>
    <row r="1010" spans="1:6">
      <c r="A1010" t="s">
        <v>30</v>
      </c>
      <c r="B1010" s="11">
        <v>-5314000</v>
      </c>
      <c r="C1010" s="11">
        <v>-2129000</v>
      </c>
      <c r="D1010" s="11">
        <v>-2410000</v>
      </c>
      <c r="E1010" s="11">
        <v>0</v>
      </c>
      <c r="F1010" s="11">
        <v>0</v>
      </c>
    </row>
    <row r="1011" spans="1:6">
      <c r="A1011" t="s">
        <v>32</v>
      </c>
      <c r="B1011" s="11">
        <v>0</v>
      </c>
      <c r="C1011" s="11">
        <v>0</v>
      </c>
      <c r="D1011" s="11">
        <v>0</v>
      </c>
      <c r="E1011" s="11">
        <v>0</v>
      </c>
      <c r="F1011" s="11">
        <v>0</v>
      </c>
    </row>
    <row r="1012" spans="1:6">
      <c r="A1012" t="s">
        <v>34</v>
      </c>
      <c r="B1012" s="11">
        <v>0</v>
      </c>
      <c r="C1012" s="11">
        <v>0</v>
      </c>
      <c r="D1012" s="11">
        <v>0</v>
      </c>
      <c r="E1012" s="11">
        <v>0</v>
      </c>
      <c r="F1012" s="11">
        <v>0</v>
      </c>
    </row>
    <row r="1013" spans="1:6">
      <c r="A1013" t="s">
        <v>38</v>
      </c>
      <c r="B1013" s="11">
        <v>7014000</v>
      </c>
      <c r="C1013" s="11">
        <v>7756000</v>
      </c>
      <c r="D1013" s="11">
        <v>9515000</v>
      </c>
      <c r="E1013" s="11">
        <v>17788000</v>
      </c>
      <c r="F1013" s="11">
        <v>14834000</v>
      </c>
    </row>
    <row r="1014" spans="1:6">
      <c r="A1014" t="s">
        <v>39</v>
      </c>
      <c r="B1014" s="11">
        <v>5614000</v>
      </c>
      <c r="C1014" s="11">
        <v>6283000</v>
      </c>
      <c r="D1014" s="11">
        <v>6284000</v>
      </c>
      <c r="E1014" s="11">
        <v>6516000</v>
      </c>
      <c r="F1014" s="11">
        <v>8280000</v>
      </c>
    </row>
    <row r="1015" spans="1:6">
      <c r="A1015" t="s">
        <v>40</v>
      </c>
      <c r="B1015" s="11">
        <v>43783000</v>
      </c>
      <c r="C1015" s="11">
        <v>44269000</v>
      </c>
      <c r="D1015" s="11">
        <v>44435000</v>
      </c>
      <c r="E1015" s="11">
        <v>44949000</v>
      </c>
      <c r="F1015" s="11">
        <v>56511000</v>
      </c>
    </row>
    <row r="1016" spans="1:6">
      <c r="A1016" t="s">
        <v>41</v>
      </c>
      <c r="B1016" s="11">
        <v>3253000</v>
      </c>
      <c r="C1016" s="11">
        <v>3589000</v>
      </c>
      <c r="D1016" s="11">
        <v>1572000</v>
      </c>
      <c r="E1016" s="11">
        <v>20814000</v>
      </c>
      <c r="F1016" s="11">
        <v>1445000</v>
      </c>
    </row>
    <row r="1017" spans="1:6">
      <c r="A1017" t="s">
        <v>43</v>
      </c>
      <c r="B1017" s="11">
        <v>107675000</v>
      </c>
      <c r="C1017" s="11">
        <v>104317000</v>
      </c>
      <c r="D1017" s="11">
        <v>105208000</v>
      </c>
      <c r="E1017" s="11">
        <v>92201000</v>
      </c>
      <c r="F1017" s="11">
        <v>94515000</v>
      </c>
    </row>
    <row r="1018" spans="1:6">
      <c r="A1018" t="s">
        <v>44</v>
      </c>
      <c r="B1018" s="11">
        <v>0</v>
      </c>
      <c r="C1018" s="11">
        <v>2500000</v>
      </c>
      <c r="D1018" s="11">
        <v>2900000</v>
      </c>
      <c r="E1018" s="11">
        <v>2700000</v>
      </c>
      <c r="F1018" s="11">
        <v>4400000</v>
      </c>
    </row>
    <row r="1019" spans="1:6">
      <c r="A1019" t="s">
        <v>45</v>
      </c>
      <c r="B1019" s="11">
        <v>18242000</v>
      </c>
      <c r="C1019" s="11">
        <v>36981000</v>
      </c>
      <c r="D1019" s="11">
        <v>36273000</v>
      </c>
      <c r="E1019" s="11">
        <v>33883000</v>
      </c>
      <c r="F1019" s="11">
        <v>33814000</v>
      </c>
    </row>
    <row r="1020" spans="1:6">
      <c r="A1020" t="s">
        <v>46</v>
      </c>
      <c r="B1020" s="11">
        <v>18941000</v>
      </c>
      <c r="C1020" s="11">
        <v>13600000</v>
      </c>
      <c r="D1020" s="11">
        <v>30308000</v>
      </c>
      <c r="E1020" s="11">
        <v>33645000</v>
      </c>
      <c r="F1020" s="11">
        <v>31061000</v>
      </c>
    </row>
    <row r="1021" spans="1:6">
      <c r="A1021" t="s">
        <v>48</v>
      </c>
      <c r="B1021" s="11">
        <v>8995000</v>
      </c>
      <c r="C1021" s="11">
        <v>7101000</v>
      </c>
      <c r="D1021" s="11">
        <v>5937000</v>
      </c>
      <c r="E1021" s="11">
        <v>3339000</v>
      </c>
      <c r="F1021" s="11">
        <v>3213000</v>
      </c>
    </row>
    <row r="1022" spans="1:6">
      <c r="A1022" t="s">
        <v>49</v>
      </c>
      <c r="B1022" s="11">
        <v>46092000</v>
      </c>
      <c r="C1022" s="11">
        <v>47060000</v>
      </c>
      <c r="D1022" s="11">
        <v>46973000</v>
      </c>
      <c r="E1022" s="11">
        <v>49141000</v>
      </c>
      <c r="F1022" s="11">
        <v>55261000</v>
      </c>
    </row>
    <row r="1023" spans="1:6">
      <c r="A1023" t="s">
        <v>50</v>
      </c>
      <c r="B1023" s="11">
        <v>645000</v>
      </c>
      <c r="C1023" s="11">
        <v>428000</v>
      </c>
      <c r="D1023" s="11">
        <v>280000</v>
      </c>
      <c r="E1023" s="11">
        <v>242000</v>
      </c>
      <c r="F1023" s="11">
        <v>851000</v>
      </c>
    </row>
    <row r="1024" spans="1:6">
      <c r="A1024" t="s">
        <v>51</v>
      </c>
      <c r="B1024" s="11">
        <v>22789000</v>
      </c>
      <c r="C1024" s="11">
        <v>22888000</v>
      </c>
      <c r="D1024" s="11">
        <v>24600000</v>
      </c>
      <c r="E1024" s="11">
        <v>39923000</v>
      </c>
      <c r="F1024" s="11">
        <v>28054000</v>
      </c>
    </row>
    <row r="1025" spans="1:6">
      <c r="A1025" t="s">
        <v>53</v>
      </c>
      <c r="B1025" s="11">
        <v>30045000</v>
      </c>
      <c r="C1025" s="11">
        <v>43520000</v>
      </c>
      <c r="D1025" s="11">
        <v>48021000</v>
      </c>
      <c r="E1025" s="11">
        <v>45041000</v>
      </c>
      <c r="F1025" s="11">
        <v>39107000</v>
      </c>
    </row>
    <row r="1026" spans="1:6">
      <c r="A1026" t="s">
        <v>54</v>
      </c>
      <c r="B1026" s="11">
        <v>18087000</v>
      </c>
      <c r="C1026" s="11">
        <v>25802000</v>
      </c>
      <c r="D1026" s="11">
        <v>36015000</v>
      </c>
      <c r="E1026" s="11">
        <v>33885000</v>
      </c>
      <c r="F1026" s="11">
        <v>35121000</v>
      </c>
    </row>
    <row r="1027" spans="1:6">
      <c r="A1027" t="s">
        <v>55</v>
      </c>
      <c r="B1027" s="11">
        <v>0</v>
      </c>
      <c r="C1027" s="11">
        <v>0</v>
      </c>
      <c r="D1027" s="11">
        <v>0</v>
      </c>
      <c r="E1027" s="11">
        <v>0</v>
      </c>
      <c r="F1027" s="11">
        <v>0</v>
      </c>
    </row>
    <row r="1028" spans="1:6">
      <c r="A1028" t="s">
        <v>57</v>
      </c>
      <c r="B1028" s="11">
        <v>2953000</v>
      </c>
      <c r="C1028" s="11">
        <v>7138000</v>
      </c>
      <c r="D1028" s="11">
        <v>6883000</v>
      </c>
      <c r="E1028" s="11">
        <v>6606000</v>
      </c>
      <c r="F1028" s="11">
        <v>8638000</v>
      </c>
    </row>
    <row r="1029" spans="1:6">
      <c r="A1029" t="s">
        <v>58</v>
      </c>
      <c r="B1029" s="11">
        <v>0</v>
      </c>
      <c r="C1029" s="11">
        <v>0</v>
      </c>
      <c r="D1029" s="11">
        <v>0</v>
      </c>
      <c r="E1029" s="11">
        <v>0</v>
      </c>
      <c r="F1029" s="11">
        <v>0</v>
      </c>
    </row>
    <row r="1030" spans="1:6">
      <c r="A1030" t="s">
        <v>59</v>
      </c>
      <c r="B1030" s="11">
        <v>-10191000</v>
      </c>
      <c r="C1030" s="11">
        <v>-15427000</v>
      </c>
      <c r="D1030" s="11">
        <v>-16157000</v>
      </c>
      <c r="E1030" s="11">
        <v>-14444000</v>
      </c>
      <c r="F1030" s="11">
        <v>-12289000</v>
      </c>
    </row>
    <row r="1031" spans="1:6">
      <c r="A1031" t="s">
        <v>60</v>
      </c>
      <c r="B1031" s="11">
        <v>85107000</v>
      </c>
      <c r="C1031" s="11">
        <v>80785000</v>
      </c>
      <c r="D1031" s="11">
        <v>83943000</v>
      </c>
      <c r="E1031" s="11">
        <v>88763000</v>
      </c>
      <c r="F1031" s="11">
        <v>86904000</v>
      </c>
    </row>
    <row r="1032" spans="1:6">
      <c r="A1032" t="s">
        <v>83</v>
      </c>
      <c r="B1032" s="11">
        <v>6124000</v>
      </c>
      <c r="C1032" s="11">
        <v>6102000</v>
      </c>
      <c r="D1032" s="11">
        <v>6048000</v>
      </c>
      <c r="E1032" s="11">
        <v>6116000</v>
      </c>
      <c r="F1032" s="11">
        <v>6152000</v>
      </c>
    </row>
  </sheetData>
  <mergeCells count="3">
    <mergeCell ref="B618:C618"/>
    <mergeCell ref="B694:C694"/>
    <mergeCell ref="B732:C732"/>
  </mergeCells>
  <hyperlinks>
    <hyperlink ref="G48" location="A2" display="back to top"/>
    <hyperlink ref="G86" location="A2" display="back to top"/>
    <hyperlink ref="G124" location="A2" display="back to top"/>
    <hyperlink ref="G162" location="A2" display="back to top"/>
    <hyperlink ref="G200" location="A2" display="back to top"/>
    <hyperlink ref="G238" location="A2" display="back to top"/>
    <hyperlink ref="G276" location="A2" display="back to top"/>
    <hyperlink ref="G314" location="A2" display="back to top"/>
    <hyperlink ref="G352" location="A2" display="back to top"/>
    <hyperlink ref="G390" location="A2" display="back to top"/>
    <hyperlink ref="G428" location="A2" display="back to top"/>
    <hyperlink ref="G466" location="A2" display="back to top"/>
    <hyperlink ref="G504" location="A2" display="back to top"/>
    <hyperlink ref="G542" location="A2" display="back to top"/>
    <hyperlink ref="G580" location="A2" display="back to top"/>
    <hyperlink ref="G618" location="A2" display="back to top"/>
    <hyperlink ref="G656" location="A2" display="back to top"/>
    <hyperlink ref="G694" location="A2" display="back to top"/>
    <hyperlink ref="G732" location="A2" display="back to top"/>
    <hyperlink ref="G770" location="A2" display="back to top"/>
    <hyperlink ref="G808" location="A2" display="back to top"/>
    <hyperlink ref="G846" location="A2" display="back to top"/>
    <hyperlink ref="G884" location="A2" display="back to top"/>
    <hyperlink ref="G922" location="A2" display="back to top"/>
    <hyperlink ref="G960" location="A2" display="back to top"/>
    <hyperlink ref="G998" location="A2" display="back to top"/>
    <hyperlink ref="A3" location="'Case Data'!B10:F44" display="AMERICA ONLINE INC 1999"/>
    <hyperlink ref="A2" location="'Case Data'!B42:F48" display="AMAZON.COM INC 2000"/>
    <hyperlink ref="A4" location="'Case Data'!B694:F728" display="APPLE INC 2009"/>
    <hyperlink ref="A5" location="'Case Data'!B542:F576" display="CABELA'S INC 2008 "/>
    <hyperlink ref="A6" location="'Case Data'!B276:F310" display="CARNIVAL CORP 1998"/>
    <hyperlink ref="A7" location="'Case Data'!B808:F842" display="CARNIVAL CORP/PLC (USA)  2010"/>
    <hyperlink ref="B2" location="'Case Data'!B390:F424" display="COUNTY CINEMA 1998"/>
    <hyperlink ref="B3" location="'Case Data'!B922:F956" display="DOLLAR TREE 2021"/>
    <hyperlink ref="B4" location="'Case Data'!B86:F120" display="FOUR MODELS"/>
    <hyperlink ref="B5" location="'Case Data'!B124:F158" display="INTEL CORP 1999"/>
    <hyperlink ref="B6" location="'Case Data'!B732:F766" display="INTERNATIONAL BUSINESS MACHINES CORP 2009"/>
    <hyperlink ref="B7" location="'Case Data'!B428:F462" display="KOHL'S CORP 2010"/>
    <hyperlink ref="B8" location="'Case Data'!B162:F196" display="NETFLIX INC 2004"/>
    <hyperlink ref="D2" location="'Case Data'!B466:F500" display="NORDSTROM INC 2010"/>
    <hyperlink ref="D4" location="'Case Data'!B504:F538" display="ROSS STORES INC 2010"/>
    <hyperlink ref="D5" location="'Case Data'!B238:F272" display="ROYAL CARIBBEAN CRUISES LTD 1998"/>
    <hyperlink ref="D6" location="'Case Data'!B770:F804" display="ROYAL CARIBBEAN CRUISES LTD 2010"/>
    <hyperlink ref="D7" location="'Case Data'!B314:F348" display="SALTON INC 2000"/>
    <hyperlink ref="D8" location="'Case Data'!B618:F652" display="SIRIUS SATELLITE RADIO INC 2005"/>
    <hyperlink ref="G2" location="'Case Data'!B580:F614" display="Sporting Goods Stores 2008"/>
    <hyperlink ref="G3" location="'Case Data'!B960:F994" display="TARGET 2021"/>
    <hyperlink ref="G4" location="'Case Data'!B846:F880" display="TESLA MOTORS INC 2015"/>
    <hyperlink ref="G5" location="'Case Data'!B656:F690" display="VERIZON COMMUNICATIONS 2008"/>
    <hyperlink ref="G6" location="'Case Data'!B998:F1032" display="WALMART 2021"/>
    <hyperlink ref="G7" location="'Case Data'!B884:F918" display="ZYNGA, INC. 2011"/>
    <hyperlink ref="D3" location="'Case Data'!B200:F234" display="OVERSTOCK.COM INC 2003    "/>
    <hyperlink ref="A8" location="'Case Data'!B352:F386" display="CITY SCREENS 1999"/>
  </hyperlinks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54"/>
  <sheetViews>
    <sheetView workbookViewId="0">
      <selection activeCell="A1" sqref="A1"/>
    </sheetView>
  </sheetViews>
  <sheetFormatPr defaultColWidth="11.5" defaultRowHeight="15.2"/>
  <sheetData>
    <row r="1" ht="16.8" spans="1:9">
      <c r="A1" t="s">
        <v>497</v>
      </c>
      <c r="B1" t="s">
        <v>498</v>
      </c>
      <c r="C1" t="s">
        <v>497</v>
      </c>
      <c r="D1">
        <v>5990</v>
      </c>
      <c r="E1" s="1"/>
      <c r="F1" s="2" t="s">
        <v>499</v>
      </c>
      <c r="G1" s="2" t="s">
        <v>500</v>
      </c>
      <c r="H1" s="2" t="s">
        <v>501</v>
      </c>
      <c r="I1" s="2" t="s">
        <v>502</v>
      </c>
    </row>
    <row r="2" spans="1:9">
      <c r="A2" t="s">
        <v>503</v>
      </c>
      <c r="B2" t="s">
        <v>504</v>
      </c>
      <c r="C2" t="s">
        <v>503</v>
      </c>
      <c r="D2">
        <v>3826</v>
      </c>
      <c r="F2">
        <v>100</v>
      </c>
      <c r="G2" t="s">
        <v>505</v>
      </c>
      <c r="H2" t="s">
        <v>506</v>
      </c>
      <c r="I2" t="s">
        <v>507</v>
      </c>
    </row>
    <row r="3" spans="1:9">
      <c r="A3" t="s">
        <v>508</v>
      </c>
      <c r="B3" t="s">
        <v>509</v>
      </c>
      <c r="C3" t="s">
        <v>508</v>
      </c>
      <c r="D3">
        <v>5912</v>
      </c>
      <c r="E3" s="3"/>
      <c r="F3">
        <v>200</v>
      </c>
      <c r="G3" t="s">
        <v>505</v>
      </c>
      <c r="H3" t="s">
        <v>506</v>
      </c>
      <c r="I3" t="s">
        <v>510</v>
      </c>
    </row>
    <row r="4" spans="1:9">
      <c r="A4" t="s">
        <v>511</v>
      </c>
      <c r="B4" t="s">
        <v>512</v>
      </c>
      <c r="C4" t="s">
        <v>511</v>
      </c>
      <c r="D4">
        <v>8200</v>
      </c>
      <c r="E4" s="4"/>
      <c r="F4">
        <v>700</v>
      </c>
      <c r="G4" t="s">
        <v>505</v>
      </c>
      <c r="H4" t="s">
        <v>506</v>
      </c>
      <c r="I4" t="s">
        <v>513</v>
      </c>
    </row>
    <row r="5" spans="1:9">
      <c r="A5" t="s">
        <v>514</v>
      </c>
      <c r="B5" t="s">
        <v>515</v>
      </c>
      <c r="C5" t="s">
        <v>514</v>
      </c>
      <c r="D5">
        <v>5700</v>
      </c>
      <c r="E5" s="4"/>
      <c r="F5">
        <v>800</v>
      </c>
      <c r="G5" t="s">
        <v>505</v>
      </c>
      <c r="H5" t="s">
        <v>516</v>
      </c>
      <c r="I5" t="s">
        <v>517</v>
      </c>
    </row>
    <row r="6" spans="1:9">
      <c r="A6" t="s">
        <v>518</v>
      </c>
      <c r="B6" t="s">
        <v>519</v>
      </c>
      <c r="C6" t="s">
        <v>518</v>
      </c>
      <c r="D6">
        <v>6036</v>
      </c>
      <c r="E6" s="4"/>
      <c r="F6">
        <v>900</v>
      </c>
      <c r="G6" t="s">
        <v>505</v>
      </c>
      <c r="H6" t="s">
        <v>520</v>
      </c>
      <c r="I6" t="s">
        <v>521</v>
      </c>
    </row>
    <row r="7" spans="1:9">
      <c r="A7" t="s">
        <v>522</v>
      </c>
      <c r="B7" t="s">
        <v>523</v>
      </c>
      <c r="C7" t="s">
        <v>522</v>
      </c>
      <c r="D7">
        <v>8011</v>
      </c>
      <c r="E7" s="4"/>
      <c r="F7">
        <v>1000</v>
      </c>
      <c r="G7" t="s">
        <v>524</v>
      </c>
      <c r="H7" t="s">
        <v>525</v>
      </c>
      <c r="I7" t="s">
        <v>526</v>
      </c>
    </row>
    <row r="8" spans="1:9">
      <c r="A8" t="s">
        <v>527</v>
      </c>
      <c r="B8" t="s">
        <v>528</v>
      </c>
      <c r="C8" t="s">
        <v>527</v>
      </c>
      <c r="D8">
        <v>6022</v>
      </c>
      <c r="E8" s="4"/>
      <c r="F8">
        <v>1040</v>
      </c>
      <c r="G8" t="s">
        <v>524</v>
      </c>
      <c r="H8" t="s">
        <v>529</v>
      </c>
      <c r="I8" t="s">
        <v>530</v>
      </c>
    </row>
    <row r="9" spans="1:9">
      <c r="A9" t="s">
        <v>531</v>
      </c>
      <c r="B9" t="s">
        <v>532</v>
      </c>
      <c r="C9" t="s">
        <v>531</v>
      </c>
      <c r="D9">
        <v>5961</v>
      </c>
      <c r="E9" s="4"/>
      <c r="F9">
        <v>1090</v>
      </c>
      <c r="G9" t="s">
        <v>524</v>
      </c>
      <c r="H9" t="s">
        <v>525</v>
      </c>
      <c r="I9" t="s">
        <v>533</v>
      </c>
    </row>
    <row r="10" spans="1:9">
      <c r="A10" t="s">
        <v>534</v>
      </c>
      <c r="B10" t="s">
        <v>535</v>
      </c>
      <c r="C10" t="s">
        <v>534</v>
      </c>
      <c r="D10">
        <v>2111</v>
      </c>
      <c r="E10" s="4"/>
      <c r="F10">
        <v>1220</v>
      </c>
      <c r="G10" t="s">
        <v>536</v>
      </c>
      <c r="H10" t="s">
        <v>537</v>
      </c>
      <c r="I10" t="s">
        <v>538</v>
      </c>
    </row>
    <row r="11" spans="1:9">
      <c r="A11" t="s">
        <v>539</v>
      </c>
      <c r="B11" t="s">
        <v>540</v>
      </c>
      <c r="C11" t="s">
        <v>539</v>
      </c>
      <c r="D11">
        <v>2834</v>
      </c>
      <c r="E11" s="4"/>
      <c r="F11">
        <v>1221</v>
      </c>
      <c r="G11" t="s">
        <v>536</v>
      </c>
      <c r="H11" t="s">
        <v>537</v>
      </c>
      <c r="I11" t="s">
        <v>541</v>
      </c>
    </row>
    <row r="12" spans="1:9">
      <c r="A12" t="s">
        <v>542</v>
      </c>
      <c r="B12" t="s">
        <v>543</v>
      </c>
      <c r="C12" t="s">
        <v>542</v>
      </c>
      <c r="D12">
        <v>2834</v>
      </c>
      <c r="E12" s="4"/>
      <c r="F12">
        <v>1311</v>
      </c>
      <c r="G12" t="s">
        <v>536</v>
      </c>
      <c r="H12" t="s">
        <v>544</v>
      </c>
      <c r="I12" t="s">
        <v>545</v>
      </c>
    </row>
    <row r="13" spans="1:9">
      <c r="A13" t="s">
        <v>546</v>
      </c>
      <c r="B13" t="s">
        <v>547</v>
      </c>
      <c r="C13" t="s">
        <v>546</v>
      </c>
      <c r="D13">
        <v>7372</v>
      </c>
      <c r="E13" s="4"/>
      <c r="F13">
        <v>1381</v>
      </c>
      <c r="G13" t="s">
        <v>524</v>
      </c>
      <c r="H13" t="s">
        <v>544</v>
      </c>
      <c r="I13" t="s">
        <v>548</v>
      </c>
    </row>
    <row r="14" spans="1:9">
      <c r="A14" t="s">
        <v>549</v>
      </c>
      <c r="B14" t="s">
        <v>550</v>
      </c>
      <c r="C14" t="s">
        <v>549</v>
      </c>
      <c r="D14">
        <v>6199</v>
      </c>
      <c r="E14" s="4"/>
      <c r="F14">
        <v>1382</v>
      </c>
      <c r="G14" t="s">
        <v>524</v>
      </c>
      <c r="H14" t="s">
        <v>544</v>
      </c>
      <c r="I14" t="s">
        <v>551</v>
      </c>
    </row>
    <row r="15" spans="1:9">
      <c r="A15" t="s">
        <v>552</v>
      </c>
      <c r="B15" t="s">
        <v>553</v>
      </c>
      <c r="C15" t="s">
        <v>552</v>
      </c>
      <c r="D15">
        <v>7389</v>
      </c>
      <c r="E15" s="4"/>
      <c r="F15">
        <v>1389</v>
      </c>
      <c r="G15" t="s">
        <v>524</v>
      </c>
      <c r="H15" t="s">
        <v>544</v>
      </c>
      <c r="I15" t="s">
        <v>554</v>
      </c>
    </row>
    <row r="16" spans="1:9">
      <c r="A16" t="s">
        <v>555</v>
      </c>
      <c r="B16" t="s">
        <v>556</v>
      </c>
      <c r="C16" t="s">
        <v>555</v>
      </c>
      <c r="D16">
        <v>7372</v>
      </c>
      <c r="E16" s="4"/>
      <c r="F16">
        <v>1400</v>
      </c>
      <c r="G16" t="s">
        <v>524</v>
      </c>
      <c r="H16" t="s">
        <v>525</v>
      </c>
      <c r="I16" t="s">
        <v>557</v>
      </c>
    </row>
    <row r="17" spans="1:9">
      <c r="A17" t="s">
        <v>558</v>
      </c>
      <c r="B17" t="s">
        <v>559</v>
      </c>
      <c r="C17" t="s">
        <v>558</v>
      </c>
      <c r="D17">
        <v>3841</v>
      </c>
      <c r="E17" s="4"/>
      <c r="F17">
        <v>1520</v>
      </c>
      <c r="G17" t="s">
        <v>524</v>
      </c>
      <c r="H17" t="s">
        <v>560</v>
      </c>
      <c r="I17" t="s">
        <v>561</v>
      </c>
    </row>
    <row r="18" spans="1:9">
      <c r="A18" t="s">
        <v>562</v>
      </c>
      <c r="B18" t="s">
        <v>563</v>
      </c>
      <c r="C18" t="s">
        <v>562</v>
      </c>
      <c r="D18">
        <v>2836</v>
      </c>
      <c r="E18" s="4"/>
      <c r="F18">
        <v>1531</v>
      </c>
      <c r="G18" t="s">
        <v>524</v>
      </c>
      <c r="H18" t="s">
        <v>560</v>
      </c>
      <c r="I18" t="s">
        <v>564</v>
      </c>
    </row>
    <row r="19" spans="1:9">
      <c r="A19" t="s">
        <v>565</v>
      </c>
      <c r="B19" t="s">
        <v>566</v>
      </c>
      <c r="C19" t="s">
        <v>565</v>
      </c>
      <c r="D19">
        <v>2834</v>
      </c>
      <c r="E19" s="4"/>
      <c r="F19">
        <v>1540</v>
      </c>
      <c r="G19" t="s">
        <v>524</v>
      </c>
      <c r="H19" t="s">
        <v>560</v>
      </c>
      <c r="I19" t="s">
        <v>567</v>
      </c>
    </row>
    <row r="20" spans="1:9">
      <c r="A20" t="s">
        <v>568</v>
      </c>
      <c r="B20" t="s">
        <v>569</v>
      </c>
      <c r="C20" t="s">
        <v>568</v>
      </c>
      <c r="D20">
        <v>2833</v>
      </c>
      <c r="E20" s="4"/>
      <c r="F20">
        <v>1600</v>
      </c>
      <c r="G20" t="s">
        <v>524</v>
      </c>
      <c r="H20" t="s">
        <v>560</v>
      </c>
      <c r="I20" t="s">
        <v>570</v>
      </c>
    </row>
    <row r="21" spans="1:9">
      <c r="A21" t="s">
        <v>571</v>
      </c>
      <c r="B21" t="s">
        <v>572</v>
      </c>
      <c r="C21" t="s">
        <v>571</v>
      </c>
      <c r="D21">
        <v>7374</v>
      </c>
      <c r="E21" s="4"/>
      <c r="F21">
        <v>1623</v>
      </c>
      <c r="G21" t="s">
        <v>524</v>
      </c>
      <c r="H21" t="s">
        <v>560</v>
      </c>
      <c r="I21" t="s">
        <v>573</v>
      </c>
    </row>
    <row r="22" spans="1:9">
      <c r="A22" t="s">
        <v>574</v>
      </c>
      <c r="B22" t="s">
        <v>575</v>
      </c>
      <c r="C22" t="s">
        <v>574</v>
      </c>
      <c r="D22">
        <v>3829</v>
      </c>
      <c r="E22" s="4"/>
      <c r="F22">
        <v>1700</v>
      </c>
      <c r="G22" t="s">
        <v>524</v>
      </c>
      <c r="H22" t="s">
        <v>560</v>
      </c>
      <c r="I22" t="s">
        <v>576</v>
      </c>
    </row>
    <row r="23" spans="1:9">
      <c r="A23" t="s">
        <v>577</v>
      </c>
      <c r="B23" t="s">
        <v>578</v>
      </c>
      <c r="C23" t="s">
        <v>577</v>
      </c>
      <c r="D23">
        <v>6199</v>
      </c>
      <c r="E23" s="4"/>
      <c r="F23">
        <v>1731</v>
      </c>
      <c r="G23" t="s">
        <v>524</v>
      </c>
      <c r="H23" t="s">
        <v>560</v>
      </c>
      <c r="I23" t="s">
        <v>579</v>
      </c>
    </row>
    <row r="24" spans="1:9">
      <c r="A24" t="s">
        <v>580</v>
      </c>
      <c r="B24" t="s">
        <v>581</v>
      </c>
      <c r="C24" t="s">
        <v>580</v>
      </c>
      <c r="D24">
        <v>5094</v>
      </c>
      <c r="E24" s="4"/>
      <c r="F24">
        <v>2000</v>
      </c>
      <c r="G24" t="s">
        <v>505</v>
      </c>
      <c r="H24" t="s">
        <v>582</v>
      </c>
      <c r="I24" t="s">
        <v>583</v>
      </c>
    </row>
    <row r="25" spans="1:9">
      <c r="A25" t="s">
        <v>584</v>
      </c>
      <c r="B25" t="s">
        <v>585</v>
      </c>
      <c r="C25" t="s">
        <v>584</v>
      </c>
      <c r="D25">
        <v>5961</v>
      </c>
      <c r="E25" s="4"/>
      <c r="F25">
        <v>2011</v>
      </c>
      <c r="G25" t="s">
        <v>505</v>
      </c>
      <c r="H25" t="s">
        <v>582</v>
      </c>
      <c r="I25" t="s">
        <v>586</v>
      </c>
    </row>
    <row r="26" spans="1:9">
      <c r="A26" t="s">
        <v>587</v>
      </c>
      <c r="B26" t="s">
        <v>588</v>
      </c>
      <c r="C26" t="s">
        <v>587</v>
      </c>
      <c r="D26">
        <v>3576</v>
      </c>
      <c r="E26" s="4"/>
      <c r="F26">
        <v>2013</v>
      </c>
      <c r="G26" t="s">
        <v>505</v>
      </c>
      <c r="H26" t="s">
        <v>582</v>
      </c>
      <c r="I26" t="s">
        <v>589</v>
      </c>
    </row>
    <row r="27" spans="1:9">
      <c r="A27" t="s">
        <v>590</v>
      </c>
      <c r="B27" t="s">
        <v>591</v>
      </c>
      <c r="C27" t="s">
        <v>590</v>
      </c>
      <c r="D27">
        <v>2834</v>
      </c>
      <c r="E27" s="4"/>
      <c r="F27">
        <v>2015</v>
      </c>
      <c r="G27" t="s">
        <v>505</v>
      </c>
      <c r="H27" t="s">
        <v>582</v>
      </c>
      <c r="I27" t="s">
        <v>592</v>
      </c>
    </row>
    <row r="28" spans="1:9">
      <c r="A28" t="s">
        <v>593</v>
      </c>
      <c r="B28" t="s">
        <v>594</v>
      </c>
      <c r="C28" t="s">
        <v>593</v>
      </c>
      <c r="D28">
        <v>3585</v>
      </c>
      <c r="E28" s="4"/>
      <c r="F28">
        <v>2020</v>
      </c>
      <c r="G28" t="s">
        <v>505</v>
      </c>
      <c r="H28" t="s">
        <v>582</v>
      </c>
      <c r="I28" t="s">
        <v>595</v>
      </c>
    </row>
    <row r="29" spans="1:9">
      <c r="A29" t="s">
        <v>596</v>
      </c>
      <c r="B29" t="s">
        <v>597</v>
      </c>
      <c r="C29" t="s">
        <v>596</v>
      </c>
      <c r="D29">
        <v>3720</v>
      </c>
      <c r="F29">
        <v>2024</v>
      </c>
      <c r="G29" t="s">
        <v>505</v>
      </c>
      <c r="H29" t="s">
        <v>582</v>
      </c>
      <c r="I29" t="s">
        <v>598</v>
      </c>
    </row>
    <row r="30" spans="1:9">
      <c r="A30" t="s">
        <v>599</v>
      </c>
      <c r="B30" t="s">
        <v>600</v>
      </c>
      <c r="C30" t="s">
        <v>599</v>
      </c>
      <c r="D30">
        <v>7359</v>
      </c>
      <c r="F30">
        <v>2030</v>
      </c>
      <c r="G30" t="s">
        <v>505</v>
      </c>
      <c r="H30" t="s">
        <v>582</v>
      </c>
      <c r="I30" t="s">
        <v>601</v>
      </c>
    </row>
    <row r="31" spans="1:9">
      <c r="A31" t="s">
        <v>602</v>
      </c>
      <c r="B31" t="s">
        <v>603</v>
      </c>
      <c r="C31" t="s">
        <v>602</v>
      </c>
      <c r="D31">
        <v>3613</v>
      </c>
      <c r="F31">
        <v>2033</v>
      </c>
      <c r="G31" t="s">
        <v>505</v>
      </c>
      <c r="H31" t="s">
        <v>582</v>
      </c>
      <c r="I31" t="s">
        <v>604</v>
      </c>
    </row>
    <row r="32" spans="1:9">
      <c r="A32" t="s">
        <v>605</v>
      </c>
      <c r="B32" t="s">
        <v>606</v>
      </c>
      <c r="C32" t="s">
        <v>605</v>
      </c>
      <c r="D32">
        <v>2834</v>
      </c>
      <c r="F32">
        <v>2040</v>
      </c>
      <c r="G32" t="s">
        <v>505</v>
      </c>
      <c r="H32" t="s">
        <v>582</v>
      </c>
      <c r="I32" t="s">
        <v>607</v>
      </c>
    </row>
    <row r="33" spans="1:9">
      <c r="A33" t="s">
        <v>608</v>
      </c>
      <c r="B33" t="s">
        <v>609</v>
      </c>
      <c r="C33" t="s">
        <v>608</v>
      </c>
      <c r="D33">
        <v>2834</v>
      </c>
      <c r="F33">
        <v>2050</v>
      </c>
      <c r="G33" t="s">
        <v>505</v>
      </c>
      <c r="H33" t="s">
        <v>582</v>
      </c>
      <c r="I33" t="s">
        <v>610</v>
      </c>
    </row>
    <row r="34" spans="1:9">
      <c r="A34" t="s">
        <v>611</v>
      </c>
      <c r="B34" t="s">
        <v>612</v>
      </c>
      <c r="C34" t="s">
        <v>611</v>
      </c>
      <c r="D34">
        <v>2834</v>
      </c>
      <c r="F34">
        <v>2052</v>
      </c>
      <c r="G34" t="s">
        <v>505</v>
      </c>
      <c r="H34" t="s">
        <v>582</v>
      </c>
      <c r="I34" t="s">
        <v>613</v>
      </c>
    </row>
    <row r="35" spans="1:9">
      <c r="A35" t="s">
        <v>614</v>
      </c>
      <c r="B35" t="s">
        <v>615</v>
      </c>
      <c r="C35" t="s">
        <v>614</v>
      </c>
      <c r="D35">
        <v>2834</v>
      </c>
      <c r="F35">
        <v>2060</v>
      </c>
      <c r="G35" t="s">
        <v>505</v>
      </c>
      <c r="H35" t="s">
        <v>582</v>
      </c>
      <c r="I35" t="s">
        <v>616</v>
      </c>
    </row>
    <row r="36" spans="1:9">
      <c r="A36" t="s">
        <v>617</v>
      </c>
      <c r="B36" t="s">
        <v>618</v>
      </c>
      <c r="C36" t="s">
        <v>617</v>
      </c>
      <c r="D36">
        <v>5651</v>
      </c>
      <c r="F36">
        <v>2070</v>
      </c>
      <c r="G36" t="s">
        <v>505</v>
      </c>
      <c r="H36" t="s">
        <v>582</v>
      </c>
      <c r="I36" t="s">
        <v>619</v>
      </c>
    </row>
    <row r="37" spans="1:9">
      <c r="A37" t="s">
        <v>620</v>
      </c>
      <c r="B37" t="s">
        <v>621</v>
      </c>
      <c r="C37" t="s">
        <v>620</v>
      </c>
      <c r="D37">
        <v>3841</v>
      </c>
      <c r="F37">
        <v>2080</v>
      </c>
      <c r="G37" t="s">
        <v>505</v>
      </c>
      <c r="H37" t="s">
        <v>622</v>
      </c>
      <c r="I37" t="s">
        <v>623</v>
      </c>
    </row>
    <row r="38" spans="1:9">
      <c r="A38" t="s">
        <v>624</v>
      </c>
      <c r="B38" t="s">
        <v>625</v>
      </c>
      <c r="C38" t="s">
        <v>624</v>
      </c>
      <c r="D38">
        <v>7340</v>
      </c>
      <c r="F38">
        <v>2082</v>
      </c>
      <c r="G38" t="s">
        <v>505</v>
      </c>
      <c r="H38" t="s">
        <v>622</v>
      </c>
      <c r="I38" t="s">
        <v>626</v>
      </c>
    </row>
    <row r="39" spans="1:9">
      <c r="A39" t="s">
        <v>627</v>
      </c>
      <c r="B39" t="s">
        <v>628</v>
      </c>
      <c r="C39" t="s">
        <v>627</v>
      </c>
      <c r="D39">
        <v>1311</v>
      </c>
      <c r="F39">
        <v>2086</v>
      </c>
      <c r="G39" t="s">
        <v>505</v>
      </c>
      <c r="H39" t="s">
        <v>629</v>
      </c>
      <c r="I39" t="s">
        <v>630</v>
      </c>
    </row>
    <row r="40" spans="1:9">
      <c r="A40" t="s">
        <v>631</v>
      </c>
      <c r="B40" t="s">
        <v>632</v>
      </c>
      <c r="C40" t="s">
        <v>631</v>
      </c>
      <c r="D40">
        <v>8731</v>
      </c>
      <c r="F40">
        <v>2090</v>
      </c>
      <c r="G40" t="s">
        <v>505</v>
      </c>
      <c r="H40" t="s">
        <v>582</v>
      </c>
      <c r="I40" t="s">
        <v>633</v>
      </c>
    </row>
    <row r="41" spans="1:9">
      <c r="A41" t="s">
        <v>634</v>
      </c>
      <c r="B41" t="s">
        <v>635</v>
      </c>
      <c r="C41" t="s">
        <v>634</v>
      </c>
      <c r="D41">
        <v>2834</v>
      </c>
      <c r="F41">
        <v>2092</v>
      </c>
      <c r="G41" t="s">
        <v>505</v>
      </c>
      <c r="H41" t="s">
        <v>582</v>
      </c>
      <c r="I41" t="s">
        <v>636</v>
      </c>
    </row>
    <row r="42" spans="1:9">
      <c r="A42" t="s">
        <v>637</v>
      </c>
      <c r="B42" t="s">
        <v>638</v>
      </c>
      <c r="C42" t="s">
        <v>637</v>
      </c>
      <c r="D42">
        <v>6794</v>
      </c>
      <c r="F42">
        <v>2100</v>
      </c>
      <c r="G42" t="s">
        <v>505</v>
      </c>
      <c r="H42" t="s">
        <v>639</v>
      </c>
      <c r="I42" t="s">
        <v>639</v>
      </c>
    </row>
    <row r="43" spans="1:9">
      <c r="A43" t="s">
        <v>640</v>
      </c>
      <c r="B43" t="s">
        <v>641</v>
      </c>
      <c r="C43" t="s">
        <v>640</v>
      </c>
      <c r="D43">
        <v>5940</v>
      </c>
      <c r="F43">
        <v>2111</v>
      </c>
      <c r="G43" t="s">
        <v>505</v>
      </c>
      <c r="H43" t="s">
        <v>639</v>
      </c>
      <c r="I43" t="s">
        <v>642</v>
      </c>
    </row>
    <row r="44" spans="1:9">
      <c r="A44" t="s">
        <v>643</v>
      </c>
      <c r="B44" t="s">
        <v>644</v>
      </c>
      <c r="C44" t="s">
        <v>643</v>
      </c>
      <c r="D44">
        <v>8093</v>
      </c>
      <c r="F44">
        <v>2200</v>
      </c>
      <c r="G44" t="s">
        <v>505</v>
      </c>
      <c r="H44" t="s">
        <v>645</v>
      </c>
      <c r="I44" t="s">
        <v>646</v>
      </c>
    </row>
    <row r="45" spans="1:9">
      <c r="A45" t="s">
        <v>647</v>
      </c>
      <c r="B45" t="s">
        <v>648</v>
      </c>
      <c r="C45" t="s">
        <v>647</v>
      </c>
      <c r="D45">
        <v>2834</v>
      </c>
      <c r="F45">
        <v>2211</v>
      </c>
      <c r="G45" t="s">
        <v>505</v>
      </c>
      <c r="H45" t="s">
        <v>645</v>
      </c>
      <c r="I45" t="s">
        <v>649</v>
      </c>
    </row>
    <row r="46" spans="1:9">
      <c r="A46" t="s">
        <v>650</v>
      </c>
      <c r="B46" t="s">
        <v>651</v>
      </c>
      <c r="C46" t="s">
        <v>650</v>
      </c>
      <c r="D46">
        <v>6798</v>
      </c>
      <c r="F46">
        <v>2221</v>
      </c>
      <c r="G46" t="s">
        <v>505</v>
      </c>
      <c r="H46" t="s">
        <v>645</v>
      </c>
      <c r="I46" t="s">
        <v>652</v>
      </c>
    </row>
    <row r="47" spans="1:9">
      <c r="A47" t="s">
        <v>653</v>
      </c>
      <c r="B47" t="s">
        <v>654</v>
      </c>
      <c r="C47" t="s">
        <v>653</v>
      </c>
      <c r="D47">
        <v>7900</v>
      </c>
      <c r="F47">
        <v>2250</v>
      </c>
      <c r="G47" t="s">
        <v>505</v>
      </c>
      <c r="H47" t="s">
        <v>645</v>
      </c>
      <c r="I47" t="s">
        <v>655</v>
      </c>
    </row>
    <row r="48" spans="1:9">
      <c r="A48" t="s">
        <v>656</v>
      </c>
      <c r="B48" t="s">
        <v>657</v>
      </c>
      <c r="C48" t="s">
        <v>656</v>
      </c>
      <c r="D48">
        <v>3826</v>
      </c>
      <c r="F48">
        <v>2253</v>
      </c>
      <c r="G48" t="s">
        <v>505</v>
      </c>
      <c r="H48" t="s">
        <v>645</v>
      </c>
      <c r="I48" t="s">
        <v>658</v>
      </c>
    </row>
    <row r="49" spans="1:9">
      <c r="A49" t="s">
        <v>659</v>
      </c>
      <c r="B49" t="s">
        <v>660</v>
      </c>
      <c r="C49" t="s">
        <v>659</v>
      </c>
      <c r="D49">
        <v>7389</v>
      </c>
      <c r="F49">
        <v>2273</v>
      </c>
      <c r="G49" t="s">
        <v>505</v>
      </c>
      <c r="H49" t="s">
        <v>645</v>
      </c>
      <c r="I49" t="s">
        <v>661</v>
      </c>
    </row>
    <row r="50" spans="1:9">
      <c r="A50" t="s">
        <v>662</v>
      </c>
      <c r="B50" t="s">
        <v>663</v>
      </c>
      <c r="C50" t="s">
        <v>662</v>
      </c>
      <c r="D50">
        <v>2780</v>
      </c>
      <c r="F50">
        <v>2300</v>
      </c>
      <c r="G50" t="s">
        <v>505</v>
      </c>
      <c r="H50" t="s">
        <v>664</v>
      </c>
      <c r="I50" t="s">
        <v>665</v>
      </c>
    </row>
    <row r="51" spans="1:9">
      <c r="A51" t="s">
        <v>666</v>
      </c>
      <c r="B51" t="s">
        <v>667</v>
      </c>
      <c r="C51" t="s">
        <v>666</v>
      </c>
      <c r="D51">
        <v>7389</v>
      </c>
      <c r="F51">
        <v>2320</v>
      </c>
      <c r="G51" t="s">
        <v>505</v>
      </c>
      <c r="H51" t="s">
        <v>664</v>
      </c>
      <c r="I51" t="s">
        <v>668</v>
      </c>
    </row>
    <row r="52" spans="1:9">
      <c r="A52" t="s">
        <v>669</v>
      </c>
      <c r="B52" t="s">
        <v>670</v>
      </c>
      <c r="C52" t="s">
        <v>669</v>
      </c>
      <c r="D52">
        <v>3841</v>
      </c>
      <c r="F52">
        <v>2330</v>
      </c>
      <c r="G52" t="s">
        <v>505</v>
      </c>
      <c r="H52" t="s">
        <v>664</v>
      </c>
      <c r="I52" t="s">
        <v>671</v>
      </c>
    </row>
    <row r="53" spans="1:9">
      <c r="A53" t="s">
        <v>672</v>
      </c>
      <c r="B53" t="s">
        <v>673</v>
      </c>
      <c r="C53" t="s">
        <v>672</v>
      </c>
      <c r="D53">
        <v>2834</v>
      </c>
      <c r="F53">
        <v>2340</v>
      </c>
      <c r="G53" t="s">
        <v>505</v>
      </c>
      <c r="H53" t="s">
        <v>664</v>
      </c>
      <c r="I53" t="s">
        <v>674</v>
      </c>
    </row>
    <row r="54" spans="1:9">
      <c r="A54" t="s">
        <v>675</v>
      </c>
      <c r="B54" t="s">
        <v>676</v>
      </c>
      <c r="C54" t="s">
        <v>675</v>
      </c>
      <c r="D54">
        <v>7372</v>
      </c>
      <c r="F54">
        <v>2390</v>
      </c>
      <c r="G54" t="s">
        <v>505</v>
      </c>
      <c r="H54" t="s">
        <v>664</v>
      </c>
      <c r="I54" t="s">
        <v>677</v>
      </c>
    </row>
    <row r="55" spans="1:9">
      <c r="A55" t="s">
        <v>678</v>
      </c>
      <c r="B55" t="s">
        <v>679</v>
      </c>
      <c r="C55" t="s">
        <v>678</v>
      </c>
      <c r="D55">
        <v>2834</v>
      </c>
      <c r="F55">
        <v>2400</v>
      </c>
      <c r="G55" t="s">
        <v>524</v>
      </c>
      <c r="H55" t="s">
        <v>516</v>
      </c>
      <c r="I55" t="s">
        <v>680</v>
      </c>
    </row>
    <row r="56" spans="1:9">
      <c r="A56" t="s">
        <v>681</v>
      </c>
      <c r="B56" t="s">
        <v>682</v>
      </c>
      <c r="C56" t="s">
        <v>681</v>
      </c>
      <c r="D56">
        <v>3559</v>
      </c>
      <c r="F56">
        <v>2421</v>
      </c>
      <c r="G56" t="s">
        <v>524</v>
      </c>
      <c r="H56" t="s">
        <v>516</v>
      </c>
      <c r="I56" t="s">
        <v>683</v>
      </c>
    </row>
    <row r="57" spans="1:9">
      <c r="A57" t="s">
        <v>684</v>
      </c>
      <c r="B57" t="s">
        <v>685</v>
      </c>
      <c r="C57" t="s">
        <v>684</v>
      </c>
      <c r="D57">
        <v>3420</v>
      </c>
      <c r="F57">
        <v>2430</v>
      </c>
      <c r="G57" t="s">
        <v>524</v>
      </c>
      <c r="H57" t="s">
        <v>516</v>
      </c>
      <c r="I57" t="s">
        <v>686</v>
      </c>
    </row>
    <row r="58" spans="1:9">
      <c r="A58" t="s">
        <v>687</v>
      </c>
      <c r="B58" t="s">
        <v>688</v>
      </c>
      <c r="C58" t="s">
        <v>687</v>
      </c>
      <c r="D58">
        <v>6022</v>
      </c>
      <c r="F58">
        <v>2451</v>
      </c>
      <c r="G58" t="s">
        <v>524</v>
      </c>
      <c r="H58" t="s">
        <v>516</v>
      </c>
      <c r="I58" t="s">
        <v>689</v>
      </c>
    </row>
    <row r="59" spans="1:9">
      <c r="A59" t="s">
        <v>690</v>
      </c>
      <c r="B59" t="s">
        <v>691</v>
      </c>
      <c r="C59" t="s">
        <v>690</v>
      </c>
      <c r="D59">
        <v>5900</v>
      </c>
      <c r="F59">
        <v>2452</v>
      </c>
      <c r="G59" t="s">
        <v>524</v>
      </c>
      <c r="H59" t="s">
        <v>516</v>
      </c>
      <c r="I59" t="s">
        <v>692</v>
      </c>
    </row>
    <row r="60" spans="1:9">
      <c r="A60" t="s">
        <v>693</v>
      </c>
      <c r="B60" t="s">
        <v>694</v>
      </c>
      <c r="C60" t="s">
        <v>693</v>
      </c>
      <c r="D60">
        <v>6798</v>
      </c>
      <c r="F60">
        <v>2510</v>
      </c>
      <c r="G60" t="s">
        <v>695</v>
      </c>
      <c r="H60" t="s">
        <v>696</v>
      </c>
      <c r="I60" t="s">
        <v>697</v>
      </c>
    </row>
    <row r="61" spans="1:9">
      <c r="A61" t="s">
        <v>698</v>
      </c>
      <c r="B61" t="s">
        <v>699</v>
      </c>
      <c r="C61" t="s">
        <v>698</v>
      </c>
      <c r="D61">
        <v>2834</v>
      </c>
      <c r="F61">
        <v>2511</v>
      </c>
      <c r="G61" t="s">
        <v>695</v>
      </c>
      <c r="H61" t="s">
        <v>696</v>
      </c>
      <c r="I61" t="s">
        <v>700</v>
      </c>
    </row>
    <row r="62" spans="1:9">
      <c r="A62" t="s">
        <v>701</v>
      </c>
      <c r="B62" t="s">
        <v>702</v>
      </c>
      <c r="C62" t="s">
        <v>701</v>
      </c>
      <c r="D62">
        <v>7372</v>
      </c>
      <c r="F62">
        <v>2520</v>
      </c>
      <c r="G62" t="s">
        <v>703</v>
      </c>
      <c r="H62" t="s">
        <v>704</v>
      </c>
      <c r="I62" t="s">
        <v>705</v>
      </c>
    </row>
    <row r="63" spans="1:9">
      <c r="A63" t="s">
        <v>706</v>
      </c>
      <c r="B63" t="s">
        <v>707</v>
      </c>
      <c r="C63" t="s">
        <v>706</v>
      </c>
      <c r="D63">
        <v>3640</v>
      </c>
      <c r="F63">
        <v>2522</v>
      </c>
      <c r="G63" t="s">
        <v>703</v>
      </c>
      <c r="H63" t="s">
        <v>704</v>
      </c>
      <c r="I63" t="s">
        <v>708</v>
      </c>
    </row>
    <row r="64" spans="1:9">
      <c r="A64" t="s">
        <v>709</v>
      </c>
      <c r="B64" t="s">
        <v>710</v>
      </c>
      <c r="C64" t="s">
        <v>709</v>
      </c>
      <c r="D64">
        <v>3949</v>
      </c>
      <c r="F64">
        <v>2531</v>
      </c>
      <c r="G64" t="s">
        <v>703</v>
      </c>
      <c r="H64" t="s">
        <v>704</v>
      </c>
      <c r="I64" t="s">
        <v>711</v>
      </c>
    </row>
    <row r="65" spans="1:9">
      <c r="A65" t="s">
        <v>712</v>
      </c>
      <c r="B65" t="s">
        <v>713</v>
      </c>
      <c r="C65" t="s">
        <v>712</v>
      </c>
      <c r="D65">
        <v>3841</v>
      </c>
      <c r="F65">
        <v>2540</v>
      </c>
      <c r="G65" t="s">
        <v>703</v>
      </c>
      <c r="H65" t="s">
        <v>704</v>
      </c>
      <c r="I65" t="s">
        <v>714</v>
      </c>
    </row>
    <row r="66" spans="1:9">
      <c r="A66" t="s">
        <v>715</v>
      </c>
      <c r="B66" t="s">
        <v>716</v>
      </c>
      <c r="C66" t="s">
        <v>715</v>
      </c>
      <c r="D66">
        <v>7389</v>
      </c>
      <c r="F66">
        <v>2590</v>
      </c>
      <c r="G66" t="s">
        <v>695</v>
      </c>
      <c r="H66" t="s">
        <v>696</v>
      </c>
      <c r="I66" t="s">
        <v>717</v>
      </c>
    </row>
    <row r="67" spans="1:9">
      <c r="A67" t="s">
        <v>718</v>
      </c>
      <c r="B67" t="s">
        <v>719</v>
      </c>
      <c r="C67" t="s">
        <v>718</v>
      </c>
      <c r="D67">
        <v>2834</v>
      </c>
      <c r="F67">
        <v>2600</v>
      </c>
      <c r="G67" t="s">
        <v>703</v>
      </c>
      <c r="H67" t="s">
        <v>704</v>
      </c>
      <c r="I67" t="s">
        <v>720</v>
      </c>
    </row>
    <row r="68" spans="1:9">
      <c r="A68" t="s">
        <v>721</v>
      </c>
      <c r="B68" t="s">
        <v>722</v>
      </c>
      <c r="C68" t="s">
        <v>721</v>
      </c>
      <c r="D68">
        <v>2834</v>
      </c>
      <c r="F68">
        <v>2611</v>
      </c>
      <c r="G68" t="s">
        <v>703</v>
      </c>
      <c r="H68" t="s">
        <v>704</v>
      </c>
      <c r="I68" t="s">
        <v>723</v>
      </c>
    </row>
    <row r="69" spans="1:9">
      <c r="A69" t="s">
        <v>724</v>
      </c>
      <c r="B69" t="s">
        <v>725</v>
      </c>
      <c r="C69" t="s">
        <v>724</v>
      </c>
      <c r="D69">
        <v>5172</v>
      </c>
      <c r="F69">
        <v>2621</v>
      </c>
      <c r="G69" t="s">
        <v>703</v>
      </c>
      <c r="H69" t="s">
        <v>704</v>
      </c>
      <c r="I69" t="s">
        <v>726</v>
      </c>
    </row>
    <row r="70" spans="1:9">
      <c r="A70" t="s">
        <v>727</v>
      </c>
      <c r="B70" t="s">
        <v>728</v>
      </c>
      <c r="C70" t="s">
        <v>727</v>
      </c>
      <c r="D70">
        <v>8082</v>
      </c>
      <c r="F70">
        <v>2631</v>
      </c>
      <c r="G70" t="s">
        <v>703</v>
      </c>
      <c r="H70" t="s">
        <v>704</v>
      </c>
      <c r="I70" t="s">
        <v>729</v>
      </c>
    </row>
    <row r="71" spans="1:9">
      <c r="A71" t="s">
        <v>730</v>
      </c>
      <c r="B71" t="s">
        <v>731</v>
      </c>
      <c r="C71" t="s">
        <v>730</v>
      </c>
      <c r="D71">
        <v>2836</v>
      </c>
      <c r="F71">
        <v>2650</v>
      </c>
      <c r="G71" t="s">
        <v>703</v>
      </c>
      <c r="H71" t="s">
        <v>732</v>
      </c>
      <c r="I71" t="s">
        <v>733</v>
      </c>
    </row>
    <row r="72" spans="1:9">
      <c r="A72" t="s">
        <v>734</v>
      </c>
      <c r="B72" t="s">
        <v>735</v>
      </c>
      <c r="C72" t="s">
        <v>734</v>
      </c>
      <c r="D72">
        <v>2836</v>
      </c>
      <c r="F72">
        <v>2670</v>
      </c>
      <c r="G72" t="s">
        <v>703</v>
      </c>
      <c r="H72" t="s">
        <v>704</v>
      </c>
      <c r="I72" t="s">
        <v>736</v>
      </c>
    </row>
    <row r="73" spans="1:9">
      <c r="A73" t="s">
        <v>737</v>
      </c>
      <c r="B73" t="s">
        <v>738</v>
      </c>
      <c r="C73" t="s">
        <v>737</v>
      </c>
      <c r="D73">
        <v>7330</v>
      </c>
      <c r="F73">
        <v>2673</v>
      </c>
      <c r="G73" t="s">
        <v>703</v>
      </c>
      <c r="H73" t="s">
        <v>704</v>
      </c>
      <c r="I73" t="s">
        <v>739</v>
      </c>
    </row>
    <row r="74" spans="1:9">
      <c r="A74" t="s">
        <v>740</v>
      </c>
      <c r="B74" t="s">
        <v>741</v>
      </c>
      <c r="C74" t="s">
        <v>740</v>
      </c>
      <c r="D74">
        <v>8082</v>
      </c>
      <c r="F74">
        <v>2711</v>
      </c>
      <c r="G74" t="s">
        <v>505</v>
      </c>
      <c r="H74" t="s">
        <v>742</v>
      </c>
      <c r="I74" t="s">
        <v>743</v>
      </c>
    </row>
    <row r="75" spans="1:9">
      <c r="A75" t="s">
        <v>744</v>
      </c>
      <c r="B75" t="s">
        <v>745</v>
      </c>
      <c r="C75" t="s">
        <v>744</v>
      </c>
      <c r="D75">
        <v>5000</v>
      </c>
      <c r="F75">
        <v>2721</v>
      </c>
      <c r="G75" t="s">
        <v>505</v>
      </c>
      <c r="H75" t="s">
        <v>742</v>
      </c>
      <c r="I75" t="s">
        <v>746</v>
      </c>
    </row>
    <row r="76" spans="1:9">
      <c r="A76" t="s">
        <v>747</v>
      </c>
      <c r="B76" t="s">
        <v>748</v>
      </c>
      <c r="C76" t="s">
        <v>747</v>
      </c>
      <c r="D76">
        <v>3714</v>
      </c>
      <c r="F76">
        <v>2731</v>
      </c>
      <c r="G76" t="s">
        <v>505</v>
      </c>
      <c r="H76" t="s">
        <v>742</v>
      </c>
      <c r="I76" t="s">
        <v>749</v>
      </c>
    </row>
    <row r="77" spans="1:9">
      <c r="A77" t="s">
        <v>750</v>
      </c>
      <c r="B77" t="s">
        <v>751</v>
      </c>
      <c r="C77" t="s">
        <v>750</v>
      </c>
      <c r="D77">
        <v>2836</v>
      </c>
      <c r="F77">
        <v>2732</v>
      </c>
      <c r="G77" t="s">
        <v>505</v>
      </c>
      <c r="H77" t="s">
        <v>742</v>
      </c>
      <c r="I77" t="s">
        <v>752</v>
      </c>
    </row>
    <row r="78" spans="1:9">
      <c r="A78" t="s">
        <v>753</v>
      </c>
      <c r="B78" t="s">
        <v>754</v>
      </c>
      <c r="C78" t="s">
        <v>753</v>
      </c>
      <c r="D78">
        <v>7372</v>
      </c>
      <c r="F78">
        <v>2741</v>
      </c>
      <c r="G78" t="s">
        <v>505</v>
      </c>
      <c r="H78" t="s">
        <v>742</v>
      </c>
      <c r="I78" t="s">
        <v>755</v>
      </c>
    </row>
    <row r="79" spans="1:9">
      <c r="A79" t="s">
        <v>756</v>
      </c>
      <c r="B79" t="s">
        <v>757</v>
      </c>
      <c r="C79" t="s">
        <v>756</v>
      </c>
      <c r="D79">
        <v>7381</v>
      </c>
      <c r="F79">
        <v>2750</v>
      </c>
      <c r="G79" t="s">
        <v>703</v>
      </c>
      <c r="H79" t="s">
        <v>758</v>
      </c>
      <c r="I79" t="s">
        <v>759</v>
      </c>
    </row>
    <row r="80" spans="1:9">
      <c r="A80" t="s">
        <v>760</v>
      </c>
      <c r="B80" t="s">
        <v>761</v>
      </c>
      <c r="C80" t="s">
        <v>760</v>
      </c>
      <c r="D80">
        <v>8200</v>
      </c>
      <c r="F80">
        <v>2761</v>
      </c>
      <c r="G80" t="s">
        <v>703</v>
      </c>
      <c r="H80" t="s">
        <v>704</v>
      </c>
      <c r="I80" t="s">
        <v>762</v>
      </c>
    </row>
    <row r="81" spans="1:9">
      <c r="A81" t="s">
        <v>763</v>
      </c>
      <c r="B81" t="s">
        <v>764</v>
      </c>
      <c r="C81" t="s">
        <v>763</v>
      </c>
      <c r="D81">
        <v>7370</v>
      </c>
      <c r="F81">
        <v>2771</v>
      </c>
      <c r="G81" t="s">
        <v>505</v>
      </c>
      <c r="H81" t="s">
        <v>742</v>
      </c>
      <c r="I81" t="s">
        <v>765</v>
      </c>
    </row>
    <row r="82" spans="1:9">
      <c r="A82" t="s">
        <v>766</v>
      </c>
      <c r="B82" t="s">
        <v>767</v>
      </c>
      <c r="C82" t="s">
        <v>766</v>
      </c>
      <c r="D82">
        <v>3661</v>
      </c>
      <c r="F82">
        <v>2780</v>
      </c>
      <c r="G82" t="s">
        <v>505</v>
      </c>
      <c r="H82" t="s">
        <v>742</v>
      </c>
      <c r="I82" t="s">
        <v>768</v>
      </c>
    </row>
    <row r="83" spans="1:9">
      <c r="A83" t="s">
        <v>769</v>
      </c>
      <c r="B83" t="s">
        <v>770</v>
      </c>
      <c r="C83" t="s">
        <v>769</v>
      </c>
      <c r="D83">
        <v>5531</v>
      </c>
      <c r="F83">
        <v>2790</v>
      </c>
      <c r="G83" t="s">
        <v>505</v>
      </c>
      <c r="H83" t="s">
        <v>742</v>
      </c>
      <c r="I83" t="s">
        <v>771</v>
      </c>
    </row>
    <row r="84" spans="1:9">
      <c r="A84" t="s">
        <v>772</v>
      </c>
      <c r="B84" t="s">
        <v>773</v>
      </c>
      <c r="C84" t="s">
        <v>772</v>
      </c>
      <c r="D84">
        <v>3086</v>
      </c>
      <c r="F84">
        <v>2800</v>
      </c>
      <c r="G84" t="s">
        <v>774</v>
      </c>
      <c r="H84" t="s">
        <v>775</v>
      </c>
      <c r="I84" t="s">
        <v>776</v>
      </c>
    </row>
    <row r="85" spans="1:9">
      <c r="A85" t="s">
        <v>777</v>
      </c>
      <c r="B85" t="s">
        <v>778</v>
      </c>
      <c r="C85" t="s">
        <v>777</v>
      </c>
      <c r="D85">
        <v>2890</v>
      </c>
      <c r="F85">
        <v>2810</v>
      </c>
      <c r="G85" t="s">
        <v>774</v>
      </c>
      <c r="H85" t="s">
        <v>775</v>
      </c>
      <c r="I85" t="s">
        <v>779</v>
      </c>
    </row>
    <row r="86" spans="1:9">
      <c r="A86" t="s">
        <v>780</v>
      </c>
      <c r="B86" t="s">
        <v>781</v>
      </c>
      <c r="C86" t="s">
        <v>780</v>
      </c>
      <c r="D86">
        <v>3679</v>
      </c>
      <c r="F86">
        <v>2820</v>
      </c>
      <c r="G86" t="s">
        <v>774</v>
      </c>
      <c r="H86" t="s">
        <v>775</v>
      </c>
      <c r="I86" t="s">
        <v>782</v>
      </c>
    </row>
    <row r="87" spans="1:9">
      <c r="A87" t="s">
        <v>783</v>
      </c>
      <c r="B87" t="s">
        <v>784</v>
      </c>
      <c r="C87" t="s">
        <v>783</v>
      </c>
      <c r="D87">
        <v>3674</v>
      </c>
      <c r="F87">
        <v>2821</v>
      </c>
      <c r="G87" t="s">
        <v>774</v>
      </c>
      <c r="H87" t="s">
        <v>775</v>
      </c>
      <c r="I87" t="s">
        <v>785</v>
      </c>
    </row>
    <row r="88" spans="1:9">
      <c r="A88" t="s">
        <v>786</v>
      </c>
      <c r="B88" t="s">
        <v>787</v>
      </c>
      <c r="C88" t="s">
        <v>786</v>
      </c>
      <c r="D88">
        <v>2821</v>
      </c>
      <c r="F88">
        <v>2833</v>
      </c>
      <c r="G88" t="s">
        <v>788</v>
      </c>
      <c r="H88" t="s">
        <v>789</v>
      </c>
      <c r="I88" t="s">
        <v>790</v>
      </c>
    </row>
    <row r="89" spans="1:9">
      <c r="A89" t="s">
        <v>791</v>
      </c>
      <c r="B89" t="s">
        <v>792</v>
      </c>
      <c r="C89" t="s">
        <v>791</v>
      </c>
      <c r="D89">
        <v>7389</v>
      </c>
      <c r="F89">
        <v>2834</v>
      </c>
      <c r="G89" t="s">
        <v>788</v>
      </c>
      <c r="H89" t="s">
        <v>789</v>
      </c>
      <c r="I89" t="s">
        <v>793</v>
      </c>
    </row>
    <row r="90" spans="1:9">
      <c r="A90" t="s">
        <v>794</v>
      </c>
      <c r="B90" t="s">
        <v>795</v>
      </c>
      <c r="C90" t="s">
        <v>794</v>
      </c>
      <c r="D90">
        <v>8711</v>
      </c>
      <c r="F90">
        <v>2835</v>
      </c>
      <c r="G90" t="s">
        <v>788</v>
      </c>
      <c r="H90" t="s">
        <v>789</v>
      </c>
      <c r="I90" t="s">
        <v>796</v>
      </c>
    </row>
    <row r="91" spans="1:9">
      <c r="A91" t="s">
        <v>797</v>
      </c>
      <c r="B91" t="s">
        <v>798</v>
      </c>
      <c r="C91" t="s">
        <v>797</v>
      </c>
      <c r="D91">
        <v>3825</v>
      </c>
      <c r="F91">
        <v>2836</v>
      </c>
      <c r="G91" t="s">
        <v>788</v>
      </c>
      <c r="H91" t="s">
        <v>789</v>
      </c>
      <c r="I91" t="s">
        <v>799</v>
      </c>
    </row>
    <row r="92" spans="1:9">
      <c r="A92" t="s">
        <v>800</v>
      </c>
      <c r="B92" t="s">
        <v>801</v>
      </c>
      <c r="C92" t="s">
        <v>800</v>
      </c>
      <c r="D92">
        <v>2860</v>
      </c>
      <c r="F92">
        <v>2840</v>
      </c>
      <c r="G92" t="s">
        <v>774</v>
      </c>
      <c r="H92" t="s">
        <v>696</v>
      </c>
      <c r="I92" t="s">
        <v>802</v>
      </c>
    </row>
    <row r="93" spans="1:9">
      <c r="A93" t="s">
        <v>803</v>
      </c>
      <c r="B93" t="s">
        <v>804</v>
      </c>
      <c r="C93" t="s">
        <v>803</v>
      </c>
      <c r="D93">
        <v>7359</v>
      </c>
      <c r="F93">
        <v>2842</v>
      </c>
      <c r="G93" t="s">
        <v>774</v>
      </c>
      <c r="H93" t="s">
        <v>696</v>
      </c>
      <c r="I93" t="s">
        <v>805</v>
      </c>
    </row>
    <row r="94" spans="1:9">
      <c r="A94" t="s">
        <v>806</v>
      </c>
      <c r="B94" t="s">
        <v>807</v>
      </c>
      <c r="C94" t="s">
        <v>806</v>
      </c>
      <c r="D94">
        <v>2836</v>
      </c>
      <c r="F94">
        <v>2844</v>
      </c>
      <c r="G94" t="s">
        <v>774</v>
      </c>
      <c r="H94" t="s">
        <v>696</v>
      </c>
      <c r="I94" t="s">
        <v>808</v>
      </c>
    </row>
    <row r="95" spans="1:9">
      <c r="A95" t="s">
        <v>809</v>
      </c>
      <c r="B95" t="s">
        <v>810</v>
      </c>
      <c r="C95" t="s">
        <v>809</v>
      </c>
      <c r="D95">
        <v>3760</v>
      </c>
      <c r="F95">
        <v>2851</v>
      </c>
      <c r="G95" t="s">
        <v>774</v>
      </c>
      <c r="H95" t="s">
        <v>775</v>
      </c>
      <c r="I95" t="s">
        <v>811</v>
      </c>
    </row>
    <row r="96" spans="1:9">
      <c r="A96" t="s">
        <v>812</v>
      </c>
      <c r="B96" t="s">
        <v>813</v>
      </c>
      <c r="C96" t="s">
        <v>812</v>
      </c>
      <c r="D96">
        <v>3721</v>
      </c>
      <c r="F96">
        <v>2860</v>
      </c>
      <c r="G96" t="s">
        <v>774</v>
      </c>
      <c r="H96" t="s">
        <v>775</v>
      </c>
      <c r="I96" t="s">
        <v>814</v>
      </c>
    </row>
    <row r="97" spans="1:9">
      <c r="A97" t="s">
        <v>815</v>
      </c>
      <c r="B97" t="s">
        <v>816</v>
      </c>
      <c r="C97" t="s">
        <v>815</v>
      </c>
      <c r="D97">
        <v>5080</v>
      </c>
      <c r="F97">
        <v>2870</v>
      </c>
      <c r="G97" t="s">
        <v>774</v>
      </c>
      <c r="H97" t="s">
        <v>775</v>
      </c>
      <c r="I97" t="s">
        <v>817</v>
      </c>
    </row>
    <row r="98" spans="1:9">
      <c r="A98" t="s">
        <v>818</v>
      </c>
      <c r="B98" t="s">
        <v>819</v>
      </c>
      <c r="C98" t="s">
        <v>818</v>
      </c>
      <c r="D98">
        <v>4991</v>
      </c>
      <c r="F98">
        <v>2890</v>
      </c>
      <c r="G98" t="s">
        <v>774</v>
      </c>
      <c r="H98" t="s">
        <v>775</v>
      </c>
      <c r="I98" t="s">
        <v>820</v>
      </c>
    </row>
    <row r="99" spans="1:9">
      <c r="A99" t="s">
        <v>821</v>
      </c>
      <c r="B99" t="s">
        <v>822</v>
      </c>
      <c r="C99" t="s">
        <v>821</v>
      </c>
      <c r="D99">
        <v>3841</v>
      </c>
      <c r="F99">
        <v>2891</v>
      </c>
      <c r="G99" t="s">
        <v>774</v>
      </c>
      <c r="H99" t="s">
        <v>775</v>
      </c>
      <c r="I99" t="s">
        <v>823</v>
      </c>
    </row>
    <row r="100" spans="1:9">
      <c r="A100" t="s">
        <v>824</v>
      </c>
      <c r="B100" t="s">
        <v>825</v>
      </c>
      <c r="C100" t="s">
        <v>824</v>
      </c>
      <c r="D100">
        <v>3714</v>
      </c>
      <c r="F100">
        <v>2911</v>
      </c>
      <c r="G100" t="s">
        <v>536</v>
      </c>
      <c r="H100" t="s">
        <v>544</v>
      </c>
      <c r="I100" t="s">
        <v>826</v>
      </c>
    </row>
    <row r="101" spans="1:9">
      <c r="A101" t="s">
        <v>827</v>
      </c>
      <c r="B101" t="s">
        <v>828</v>
      </c>
      <c r="C101" t="s">
        <v>827</v>
      </c>
      <c r="D101">
        <v>3714</v>
      </c>
      <c r="F101">
        <v>2950</v>
      </c>
      <c r="G101" t="s">
        <v>536</v>
      </c>
      <c r="H101" t="s">
        <v>516</v>
      </c>
      <c r="I101" t="s">
        <v>829</v>
      </c>
    </row>
    <row r="102" spans="1:9">
      <c r="A102" t="s">
        <v>830</v>
      </c>
      <c r="B102" t="s">
        <v>831</v>
      </c>
      <c r="C102" t="s">
        <v>830</v>
      </c>
      <c r="D102">
        <v>6282</v>
      </c>
      <c r="F102">
        <v>2990</v>
      </c>
      <c r="G102" t="s">
        <v>536</v>
      </c>
      <c r="H102" t="s">
        <v>544</v>
      </c>
      <c r="I102" t="s">
        <v>832</v>
      </c>
    </row>
    <row r="103" spans="1:9">
      <c r="A103" t="s">
        <v>833</v>
      </c>
      <c r="B103" t="s">
        <v>834</v>
      </c>
      <c r="C103" t="s">
        <v>833</v>
      </c>
      <c r="D103">
        <v>6036</v>
      </c>
      <c r="F103">
        <v>3011</v>
      </c>
      <c r="G103" t="s">
        <v>703</v>
      </c>
      <c r="H103" t="s">
        <v>835</v>
      </c>
      <c r="I103" t="s">
        <v>836</v>
      </c>
    </row>
    <row r="104" spans="1:9">
      <c r="A104" t="s">
        <v>837</v>
      </c>
      <c r="B104" t="s">
        <v>838</v>
      </c>
      <c r="C104" t="s">
        <v>837</v>
      </c>
      <c r="D104">
        <v>7389</v>
      </c>
      <c r="F104">
        <v>3021</v>
      </c>
      <c r="G104" t="s">
        <v>703</v>
      </c>
      <c r="H104" t="s">
        <v>664</v>
      </c>
      <c r="I104" t="s">
        <v>839</v>
      </c>
    </row>
    <row r="105" spans="1:9">
      <c r="A105" t="s">
        <v>840</v>
      </c>
      <c r="B105" t="s">
        <v>841</v>
      </c>
      <c r="C105" t="s">
        <v>840</v>
      </c>
      <c r="D105">
        <v>6321</v>
      </c>
      <c r="F105">
        <v>3050</v>
      </c>
      <c r="G105" t="s">
        <v>703</v>
      </c>
      <c r="H105" t="s">
        <v>842</v>
      </c>
      <c r="I105" t="s">
        <v>843</v>
      </c>
    </row>
    <row r="106" spans="1:9">
      <c r="A106" t="s">
        <v>844</v>
      </c>
      <c r="B106" t="s">
        <v>845</v>
      </c>
      <c r="C106" t="s">
        <v>844</v>
      </c>
      <c r="D106">
        <v>6798</v>
      </c>
      <c r="F106">
        <v>3060</v>
      </c>
      <c r="G106" t="s">
        <v>703</v>
      </c>
      <c r="H106" t="s">
        <v>842</v>
      </c>
      <c r="I106" t="s">
        <v>846</v>
      </c>
    </row>
    <row r="107" spans="1:9">
      <c r="A107" t="s">
        <v>847</v>
      </c>
      <c r="B107" t="s">
        <v>848</v>
      </c>
      <c r="C107" t="s">
        <v>847</v>
      </c>
      <c r="D107">
        <v>3523</v>
      </c>
      <c r="F107">
        <v>3080</v>
      </c>
      <c r="G107" t="s">
        <v>703</v>
      </c>
      <c r="H107" t="s">
        <v>842</v>
      </c>
      <c r="I107" t="s">
        <v>849</v>
      </c>
    </row>
    <row r="108" spans="1:9">
      <c r="A108" t="s">
        <v>850</v>
      </c>
      <c r="B108" t="s">
        <v>851</v>
      </c>
      <c r="C108" t="s">
        <v>850</v>
      </c>
      <c r="D108">
        <v>3721</v>
      </c>
      <c r="F108">
        <v>3081</v>
      </c>
      <c r="G108" t="s">
        <v>703</v>
      </c>
      <c r="H108" t="s">
        <v>842</v>
      </c>
      <c r="I108" t="s">
        <v>852</v>
      </c>
    </row>
    <row r="109" spans="1:9">
      <c r="A109" t="s">
        <v>853</v>
      </c>
      <c r="B109" t="s">
        <v>854</v>
      </c>
      <c r="C109" t="s">
        <v>853</v>
      </c>
      <c r="D109">
        <v>2836</v>
      </c>
      <c r="F109">
        <v>3086</v>
      </c>
      <c r="G109" t="s">
        <v>703</v>
      </c>
      <c r="H109" t="s">
        <v>842</v>
      </c>
      <c r="I109" t="s">
        <v>855</v>
      </c>
    </row>
    <row r="110" spans="1:9">
      <c r="A110" t="s">
        <v>856</v>
      </c>
      <c r="B110" t="s">
        <v>857</v>
      </c>
      <c r="C110" t="s">
        <v>856</v>
      </c>
      <c r="D110">
        <v>2834</v>
      </c>
      <c r="F110">
        <v>3089</v>
      </c>
      <c r="G110" t="s">
        <v>703</v>
      </c>
      <c r="H110" t="s">
        <v>842</v>
      </c>
      <c r="I110" t="s">
        <v>858</v>
      </c>
    </row>
    <row r="111" spans="1:9">
      <c r="A111" t="s">
        <v>859</v>
      </c>
      <c r="B111" t="s">
        <v>860</v>
      </c>
      <c r="C111" t="s">
        <v>859</v>
      </c>
      <c r="D111">
        <v>3826</v>
      </c>
      <c r="F111">
        <v>3100</v>
      </c>
      <c r="G111" t="s">
        <v>505</v>
      </c>
      <c r="H111" t="s">
        <v>664</v>
      </c>
      <c r="I111" t="s">
        <v>861</v>
      </c>
    </row>
    <row r="112" spans="1:9">
      <c r="A112" t="s">
        <v>862</v>
      </c>
      <c r="B112" t="s">
        <v>863</v>
      </c>
      <c r="C112" t="s">
        <v>862</v>
      </c>
      <c r="D112">
        <v>8742</v>
      </c>
      <c r="F112">
        <v>3140</v>
      </c>
      <c r="G112" t="s">
        <v>505</v>
      </c>
      <c r="H112" t="s">
        <v>664</v>
      </c>
      <c r="I112" t="s">
        <v>864</v>
      </c>
    </row>
    <row r="113" spans="1:9">
      <c r="A113" t="s">
        <v>865</v>
      </c>
      <c r="B113" t="s">
        <v>866</v>
      </c>
      <c r="C113" t="s">
        <v>865</v>
      </c>
      <c r="D113">
        <v>7350</v>
      </c>
      <c r="F113">
        <v>3211</v>
      </c>
      <c r="G113" t="s">
        <v>703</v>
      </c>
      <c r="H113" t="s">
        <v>516</v>
      </c>
      <c r="I113" t="s">
        <v>867</v>
      </c>
    </row>
    <row r="114" spans="1:9">
      <c r="A114" t="s">
        <v>868</v>
      </c>
      <c r="B114" t="s">
        <v>869</v>
      </c>
      <c r="C114" t="s">
        <v>868</v>
      </c>
      <c r="D114">
        <v>8090</v>
      </c>
      <c r="F114">
        <v>3220</v>
      </c>
      <c r="G114" t="s">
        <v>703</v>
      </c>
      <c r="H114" t="s">
        <v>732</v>
      </c>
      <c r="I114" t="s">
        <v>870</v>
      </c>
    </row>
    <row r="115" spans="1:9">
      <c r="A115" t="s">
        <v>871</v>
      </c>
      <c r="B115" t="s">
        <v>872</v>
      </c>
      <c r="C115" t="s">
        <v>871</v>
      </c>
      <c r="D115">
        <v>7373</v>
      </c>
      <c r="F115">
        <v>3221</v>
      </c>
      <c r="G115" t="s">
        <v>703</v>
      </c>
      <c r="H115" t="s">
        <v>732</v>
      </c>
      <c r="I115" t="s">
        <v>873</v>
      </c>
    </row>
    <row r="116" spans="1:9">
      <c r="A116" t="s">
        <v>874</v>
      </c>
      <c r="B116" t="s">
        <v>875</v>
      </c>
      <c r="C116" t="s">
        <v>874</v>
      </c>
      <c r="D116">
        <v>2834</v>
      </c>
      <c r="F116">
        <v>3231</v>
      </c>
      <c r="G116" t="s">
        <v>703</v>
      </c>
      <c r="H116" t="s">
        <v>696</v>
      </c>
      <c r="I116" t="s">
        <v>876</v>
      </c>
    </row>
    <row r="117" spans="1:9">
      <c r="A117" t="s">
        <v>877</v>
      </c>
      <c r="B117" t="s">
        <v>878</v>
      </c>
      <c r="C117" t="s">
        <v>877</v>
      </c>
      <c r="D117">
        <v>6798</v>
      </c>
      <c r="F117">
        <v>3241</v>
      </c>
      <c r="G117" t="s">
        <v>703</v>
      </c>
      <c r="H117" t="s">
        <v>516</v>
      </c>
      <c r="I117" t="s">
        <v>879</v>
      </c>
    </row>
    <row r="118" spans="1:9">
      <c r="A118" t="s">
        <v>880</v>
      </c>
      <c r="B118" t="s">
        <v>881</v>
      </c>
      <c r="C118" t="s">
        <v>880</v>
      </c>
      <c r="D118">
        <v>7372</v>
      </c>
      <c r="F118">
        <v>3250</v>
      </c>
      <c r="G118" t="s">
        <v>703</v>
      </c>
      <c r="H118" t="s">
        <v>516</v>
      </c>
      <c r="I118" t="s">
        <v>882</v>
      </c>
    </row>
    <row r="119" spans="1:9">
      <c r="A119" t="s">
        <v>883</v>
      </c>
      <c r="B119" t="s">
        <v>884</v>
      </c>
      <c r="C119" t="s">
        <v>883</v>
      </c>
      <c r="D119">
        <v>6798</v>
      </c>
      <c r="F119">
        <v>3260</v>
      </c>
      <c r="G119" t="s">
        <v>703</v>
      </c>
      <c r="H119" t="s">
        <v>696</v>
      </c>
      <c r="I119" t="s">
        <v>885</v>
      </c>
    </row>
    <row r="120" spans="1:9">
      <c r="A120" t="s">
        <v>886</v>
      </c>
      <c r="B120" t="s">
        <v>887</v>
      </c>
      <c r="C120" t="s">
        <v>886</v>
      </c>
      <c r="D120">
        <v>700</v>
      </c>
      <c r="F120">
        <v>3270</v>
      </c>
      <c r="G120" t="s">
        <v>703</v>
      </c>
      <c r="H120" t="s">
        <v>516</v>
      </c>
      <c r="I120" t="s">
        <v>888</v>
      </c>
    </row>
    <row r="121" spans="1:9">
      <c r="A121" t="s">
        <v>889</v>
      </c>
      <c r="B121" t="s">
        <v>890</v>
      </c>
      <c r="C121" t="s">
        <v>889</v>
      </c>
      <c r="D121">
        <v>2870</v>
      </c>
      <c r="F121">
        <v>3272</v>
      </c>
      <c r="G121" t="s">
        <v>703</v>
      </c>
      <c r="H121" t="s">
        <v>516</v>
      </c>
      <c r="I121" t="s">
        <v>891</v>
      </c>
    </row>
    <row r="122" spans="1:9">
      <c r="A122" t="s">
        <v>892</v>
      </c>
      <c r="B122" t="s">
        <v>893</v>
      </c>
      <c r="C122" t="s">
        <v>892</v>
      </c>
      <c r="D122">
        <v>2836</v>
      </c>
      <c r="F122">
        <v>3281</v>
      </c>
      <c r="G122" t="s">
        <v>703</v>
      </c>
      <c r="H122" t="s">
        <v>516</v>
      </c>
      <c r="I122" t="s">
        <v>894</v>
      </c>
    </row>
    <row r="123" spans="1:9">
      <c r="A123" t="s">
        <v>895</v>
      </c>
      <c r="B123" t="s">
        <v>896</v>
      </c>
      <c r="C123" t="s">
        <v>895</v>
      </c>
      <c r="D123">
        <v>3728</v>
      </c>
      <c r="F123">
        <v>3290</v>
      </c>
      <c r="G123" t="s">
        <v>703</v>
      </c>
      <c r="H123" t="s">
        <v>516</v>
      </c>
      <c r="I123" t="s">
        <v>897</v>
      </c>
    </row>
    <row r="124" spans="1:9">
      <c r="A124" t="s">
        <v>898</v>
      </c>
      <c r="B124" t="s">
        <v>899</v>
      </c>
      <c r="C124" t="s">
        <v>898</v>
      </c>
      <c r="D124">
        <v>7359</v>
      </c>
      <c r="F124">
        <v>3310</v>
      </c>
      <c r="G124" t="s">
        <v>703</v>
      </c>
      <c r="H124" t="s">
        <v>900</v>
      </c>
      <c r="I124" t="s">
        <v>901</v>
      </c>
    </row>
    <row r="125" spans="1:9">
      <c r="A125" t="s">
        <v>902</v>
      </c>
      <c r="B125" t="s">
        <v>903</v>
      </c>
      <c r="C125" t="s">
        <v>902</v>
      </c>
      <c r="D125">
        <v>2810</v>
      </c>
      <c r="F125">
        <v>3312</v>
      </c>
      <c r="G125" t="s">
        <v>703</v>
      </c>
      <c r="H125" t="s">
        <v>900</v>
      </c>
      <c r="I125" t="s">
        <v>904</v>
      </c>
    </row>
    <row r="126" spans="1:9">
      <c r="A126" t="s">
        <v>905</v>
      </c>
      <c r="B126" t="s">
        <v>906</v>
      </c>
      <c r="C126" t="s">
        <v>905</v>
      </c>
      <c r="D126">
        <v>4513</v>
      </c>
      <c r="F126">
        <v>3317</v>
      </c>
      <c r="G126" t="s">
        <v>703</v>
      </c>
      <c r="H126" t="s">
        <v>900</v>
      </c>
      <c r="I126" t="s">
        <v>907</v>
      </c>
    </row>
    <row r="127" spans="1:9">
      <c r="A127" t="s">
        <v>908</v>
      </c>
      <c r="B127" t="s">
        <v>909</v>
      </c>
      <c r="C127" t="s">
        <v>908</v>
      </c>
      <c r="D127">
        <v>4513</v>
      </c>
      <c r="F127">
        <v>3320</v>
      </c>
      <c r="G127" t="s">
        <v>703</v>
      </c>
      <c r="H127" t="s">
        <v>900</v>
      </c>
      <c r="I127" t="s">
        <v>910</v>
      </c>
    </row>
    <row r="128" spans="1:9">
      <c r="A128" t="s">
        <v>911</v>
      </c>
      <c r="B128" t="s">
        <v>912</v>
      </c>
      <c r="C128" t="s">
        <v>911</v>
      </c>
      <c r="D128">
        <v>7340</v>
      </c>
      <c r="F128">
        <v>3330</v>
      </c>
      <c r="G128" t="s">
        <v>703</v>
      </c>
      <c r="H128" t="s">
        <v>900</v>
      </c>
      <c r="I128" t="s">
        <v>913</v>
      </c>
    </row>
    <row r="129" spans="1:9">
      <c r="A129" t="s">
        <v>914</v>
      </c>
      <c r="B129" t="s">
        <v>915</v>
      </c>
      <c r="C129" t="s">
        <v>914</v>
      </c>
      <c r="D129">
        <v>3663</v>
      </c>
      <c r="F129">
        <v>3334</v>
      </c>
      <c r="G129" t="s">
        <v>703</v>
      </c>
      <c r="H129" t="s">
        <v>900</v>
      </c>
      <c r="I129" t="s">
        <v>916</v>
      </c>
    </row>
    <row r="130" spans="1:9">
      <c r="A130" t="s">
        <v>917</v>
      </c>
      <c r="B130" t="s">
        <v>918</v>
      </c>
      <c r="C130" t="s">
        <v>917</v>
      </c>
      <c r="D130">
        <v>7311</v>
      </c>
      <c r="F130">
        <v>3341</v>
      </c>
      <c r="G130" t="s">
        <v>703</v>
      </c>
      <c r="H130" t="s">
        <v>900</v>
      </c>
      <c r="I130" t="s">
        <v>919</v>
      </c>
    </row>
    <row r="131" spans="1:9">
      <c r="A131" t="s">
        <v>920</v>
      </c>
      <c r="B131" t="s">
        <v>921</v>
      </c>
      <c r="C131" t="s">
        <v>920</v>
      </c>
      <c r="D131">
        <v>8011</v>
      </c>
      <c r="F131">
        <v>3350</v>
      </c>
      <c r="G131" t="s">
        <v>703</v>
      </c>
      <c r="H131" t="s">
        <v>900</v>
      </c>
      <c r="I131" t="s">
        <v>922</v>
      </c>
    </row>
    <row r="132" spans="1:9">
      <c r="A132" t="s">
        <v>923</v>
      </c>
      <c r="B132" t="s">
        <v>924</v>
      </c>
      <c r="C132" t="s">
        <v>923</v>
      </c>
      <c r="D132">
        <v>3663</v>
      </c>
      <c r="F132">
        <v>3357</v>
      </c>
      <c r="G132" t="s">
        <v>703</v>
      </c>
      <c r="H132" t="s">
        <v>900</v>
      </c>
      <c r="I132" t="s">
        <v>925</v>
      </c>
    </row>
    <row r="133" spans="1:9">
      <c r="A133" t="s">
        <v>926</v>
      </c>
      <c r="B133" t="s">
        <v>927</v>
      </c>
      <c r="C133" t="s">
        <v>926</v>
      </c>
      <c r="D133">
        <v>7389</v>
      </c>
      <c r="F133">
        <v>3360</v>
      </c>
      <c r="G133" t="s">
        <v>703</v>
      </c>
      <c r="H133" t="s">
        <v>900</v>
      </c>
      <c r="I133" t="s">
        <v>928</v>
      </c>
    </row>
    <row r="134" spans="1:9">
      <c r="A134" t="s">
        <v>929</v>
      </c>
      <c r="B134" t="s">
        <v>930</v>
      </c>
      <c r="C134" t="s">
        <v>929</v>
      </c>
      <c r="D134">
        <v>2834</v>
      </c>
      <c r="F134">
        <v>3390</v>
      </c>
      <c r="G134" t="s">
        <v>703</v>
      </c>
      <c r="H134" t="s">
        <v>900</v>
      </c>
      <c r="I134" t="s">
        <v>931</v>
      </c>
    </row>
    <row r="135" spans="1:9">
      <c r="A135" t="s">
        <v>932</v>
      </c>
      <c r="B135" t="s">
        <v>933</v>
      </c>
      <c r="C135" t="s">
        <v>932</v>
      </c>
      <c r="D135">
        <v>3661</v>
      </c>
      <c r="F135">
        <v>3411</v>
      </c>
      <c r="G135" t="s">
        <v>703</v>
      </c>
      <c r="H135" t="s">
        <v>732</v>
      </c>
      <c r="I135" t="s">
        <v>934</v>
      </c>
    </row>
    <row r="136" spans="1:9">
      <c r="A136" t="s">
        <v>935</v>
      </c>
      <c r="B136" t="s">
        <v>936</v>
      </c>
      <c r="C136" t="s">
        <v>935</v>
      </c>
      <c r="D136">
        <v>3826</v>
      </c>
      <c r="F136">
        <v>3412</v>
      </c>
      <c r="G136" t="s">
        <v>703</v>
      </c>
      <c r="H136" t="s">
        <v>732</v>
      </c>
      <c r="I136" t="s">
        <v>937</v>
      </c>
    </row>
    <row r="137" spans="1:9">
      <c r="A137" t="s">
        <v>938</v>
      </c>
      <c r="B137" t="s">
        <v>939</v>
      </c>
      <c r="C137" t="s">
        <v>938</v>
      </c>
      <c r="D137">
        <v>8071</v>
      </c>
      <c r="F137">
        <v>3420</v>
      </c>
      <c r="G137" t="s">
        <v>703</v>
      </c>
      <c r="H137" t="s">
        <v>516</v>
      </c>
      <c r="I137" t="s">
        <v>940</v>
      </c>
    </row>
    <row r="138" spans="1:9">
      <c r="A138" t="s">
        <v>941</v>
      </c>
      <c r="B138" t="s">
        <v>942</v>
      </c>
      <c r="C138" t="s">
        <v>941</v>
      </c>
      <c r="D138">
        <v>3523</v>
      </c>
      <c r="F138">
        <v>3430</v>
      </c>
      <c r="G138" t="s">
        <v>703</v>
      </c>
      <c r="H138" t="s">
        <v>516</v>
      </c>
      <c r="I138" t="s">
        <v>943</v>
      </c>
    </row>
    <row r="139" spans="1:9">
      <c r="A139" t="s">
        <v>944</v>
      </c>
      <c r="B139" t="s">
        <v>945</v>
      </c>
      <c r="C139" t="s">
        <v>944</v>
      </c>
      <c r="D139">
        <v>7372</v>
      </c>
      <c r="F139">
        <v>3433</v>
      </c>
      <c r="G139" t="s">
        <v>703</v>
      </c>
      <c r="H139" t="s">
        <v>516</v>
      </c>
      <c r="I139" t="s">
        <v>946</v>
      </c>
    </row>
    <row r="140" spans="1:9">
      <c r="A140" t="s">
        <v>947</v>
      </c>
      <c r="B140" t="s">
        <v>948</v>
      </c>
      <c r="C140" t="s">
        <v>947</v>
      </c>
      <c r="D140">
        <v>4512</v>
      </c>
      <c r="F140">
        <v>3440</v>
      </c>
      <c r="G140" t="s">
        <v>703</v>
      </c>
      <c r="H140" t="s">
        <v>516</v>
      </c>
      <c r="I140" t="s">
        <v>949</v>
      </c>
    </row>
    <row r="141" spans="1:9">
      <c r="A141" t="s">
        <v>950</v>
      </c>
      <c r="B141" t="s">
        <v>951</v>
      </c>
      <c r="C141" t="s">
        <v>950</v>
      </c>
      <c r="D141">
        <v>2221</v>
      </c>
      <c r="F141">
        <v>3442</v>
      </c>
      <c r="G141" t="s">
        <v>703</v>
      </c>
      <c r="H141" t="s">
        <v>516</v>
      </c>
      <c r="I141" t="s">
        <v>952</v>
      </c>
    </row>
    <row r="142" spans="1:9">
      <c r="A142" t="s">
        <v>953</v>
      </c>
      <c r="B142" t="s">
        <v>954</v>
      </c>
      <c r="C142" t="s">
        <v>953</v>
      </c>
      <c r="D142">
        <v>2821</v>
      </c>
      <c r="F142">
        <v>3443</v>
      </c>
      <c r="G142" t="s">
        <v>703</v>
      </c>
      <c r="H142" t="s">
        <v>955</v>
      </c>
      <c r="I142" t="s">
        <v>956</v>
      </c>
    </row>
    <row r="143" spans="1:9">
      <c r="A143" t="s">
        <v>957</v>
      </c>
      <c r="B143" t="s">
        <v>958</v>
      </c>
      <c r="C143" t="s">
        <v>957</v>
      </c>
      <c r="D143">
        <v>5411</v>
      </c>
      <c r="F143">
        <v>3444</v>
      </c>
      <c r="G143" t="s">
        <v>703</v>
      </c>
      <c r="H143" t="s">
        <v>955</v>
      </c>
      <c r="I143" t="s">
        <v>959</v>
      </c>
    </row>
    <row r="144" spans="1:9">
      <c r="A144" t="s">
        <v>960</v>
      </c>
      <c r="B144" t="s">
        <v>961</v>
      </c>
      <c r="C144" t="s">
        <v>960</v>
      </c>
      <c r="D144">
        <v>2834</v>
      </c>
      <c r="F144">
        <v>3448</v>
      </c>
      <c r="G144" t="s">
        <v>703</v>
      </c>
      <c r="H144" t="s">
        <v>516</v>
      </c>
      <c r="I144" t="s">
        <v>962</v>
      </c>
    </row>
    <row r="145" spans="1:9">
      <c r="A145" t="s">
        <v>963</v>
      </c>
      <c r="B145" t="s">
        <v>964</v>
      </c>
      <c r="C145" t="s">
        <v>963</v>
      </c>
      <c r="D145">
        <v>3334</v>
      </c>
      <c r="F145">
        <v>3451</v>
      </c>
      <c r="G145" t="s">
        <v>703</v>
      </c>
      <c r="H145" t="s">
        <v>516</v>
      </c>
      <c r="I145" t="s">
        <v>965</v>
      </c>
    </row>
    <row r="146" spans="1:9">
      <c r="A146" t="s">
        <v>966</v>
      </c>
      <c r="B146" t="s">
        <v>967</v>
      </c>
      <c r="C146" t="s">
        <v>966</v>
      </c>
      <c r="D146">
        <v>2836</v>
      </c>
      <c r="F146">
        <v>3452</v>
      </c>
      <c r="G146" t="s">
        <v>703</v>
      </c>
      <c r="H146" t="s">
        <v>516</v>
      </c>
      <c r="I146" t="s">
        <v>968</v>
      </c>
    </row>
    <row r="147" spans="1:9">
      <c r="A147" t="s">
        <v>969</v>
      </c>
      <c r="B147" t="s">
        <v>970</v>
      </c>
      <c r="C147" t="s">
        <v>969</v>
      </c>
      <c r="D147">
        <v>6021</v>
      </c>
      <c r="F147">
        <v>3460</v>
      </c>
      <c r="G147" t="s">
        <v>703</v>
      </c>
      <c r="H147" t="s">
        <v>955</v>
      </c>
      <c r="I147" t="s">
        <v>971</v>
      </c>
    </row>
    <row r="148" spans="1:9">
      <c r="A148" t="s">
        <v>972</v>
      </c>
      <c r="B148" t="s">
        <v>973</v>
      </c>
      <c r="C148" t="s">
        <v>972</v>
      </c>
      <c r="D148">
        <v>6798</v>
      </c>
      <c r="F148">
        <v>3470</v>
      </c>
      <c r="G148" t="s">
        <v>703</v>
      </c>
      <c r="H148" t="s">
        <v>955</v>
      </c>
      <c r="I148" t="s">
        <v>974</v>
      </c>
    </row>
    <row r="149" spans="1:9">
      <c r="A149" t="s">
        <v>975</v>
      </c>
      <c r="B149" t="s">
        <v>976</v>
      </c>
      <c r="C149" t="s">
        <v>975</v>
      </c>
      <c r="D149">
        <v>6798</v>
      </c>
      <c r="F149">
        <v>3480</v>
      </c>
      <c r="G149" t="s">
        <v>703</v>
      </c>
      <c r="H149" t="s">
        <v>977</v>
      </c>
      <c r="I149" t="s">
        <v>978</v>
      </c>
    </row>
    <row r="150" spans="1:9">
      <c r="A150" t="s">
        <v>979</v>
      </c>
      <c r="B150" t="s">
        <v>980</v>
      </c>
      <c r="C150" t="s">
        <v>979</v>
      </c>
      <c r="D150">
        <v>6798</v>
      </c>
      <c r="F150">
        <v>3490</v>
      </c>
      <c r="G150" t="s">
        <v>703</v>
      </c>
      <c r="H150" t="s">
        <v>516</v>
      </c>
      <c r="I150" t="s">
        <v>981</v>
      </c>
    </row>
    <row r="151" spans="1:9">
      <c r="A151" t="s">
        <v>982</v>
      </c>
      <c r="B151" t="s">
        <v>983</v>
      </c>
      <c r="C151" t="s">
        <v>982</v>
      </c>
      <c r="D151">
        <v>4911</v>
      </c>
      <c r="F151">
        <v>3510</v>
      </c>
      <c r="G151" t="s">
        <v>703</v>
      </c>
      <c r="H151" t="s">
        <v>984</v>
      </c>
      <c r="I151" t="s">
        <v>985</v>
      </c>
    </row>
    <row r="152" spans="1:9">
      <c r="A152" t="s">
        <v>986</v>
      </c>
      <c r="B152" t="s">
        <v>987</v>
      </c>
      <c r="C152" t="s">
        <v>986</v>
      </c>
      <c r="D152">
        <v>7389</v>
      </c>
      <c r="F152">
        <v>3523</v>
      </c>
      <c r="G152" t="s">
        <v>703</v>
      </c>
      <c r="H152" t="s">
        <v>984</v>
      </c>
      <c r="I152" t="s">
        <v>988</v>
      </c>
    </row>
    <row r="153" spans="1:9">
      <c r="A153" t="s">
        <v>989</v>
      </c>
      <c r="B153" t="s">
        <v>990</v>
      </c>
      <c r="C153" t="s">
        <v>989</v>
      </c>
      <c r="D153">
        <v>100</v>
      </c>
      <c r="F153">
        <v>3524</v>
      </c>
      <c r="G153" t="s">
        <v>703</v>
      </c>
      <c r="H153" t="s">
        <v>984</v>
      </c>
      <c r="I153" t="s">
        <v>991</v>
      </c>
    </row>
    <row r="154" spans="1:9">
      <c r="A154" t="s">
        <v>992</v>
      </c>
      <c r="B154" t="s">
        <v>993</v>
      </c>
      <c r="C154" t="s">
        <v>992</v>
      </c>
      <c r="D154">
        <v>3842</v>
      </c>
      <c r="F154">
        <v>3530</v>
      </c>
      <c r="G154" t="s">
        <v>703</v>
      </c>
      <c r="H154" t="s">
        <v>984</v>
      </c>
      <c r="I154" t="s">
        <v>994</v>
      </c>
    </row>
    <row r="155" spans="1:9">
      <c r="A155" t="s">
        <v>995</v>
      </c>
      <c r="B155" t="s">
        <v>996</v>
      </c>
      <c r="C155" t="s">
        <v>995</v>
      </c>
      <c r="D155">
        <v>6324</v>
      </c>
      <c r="F155">
        <v>3531</v>
      </c>
      <c r="G155" t="s">
        <v>703</v>
      </c>
      <c r="H155" t="s">
        <v>984</v>
      </c>
      <c r="I155" t="s">
        <v>997</v>
      </c>
    </row>
    <row r="156" spans="1:9">
      <c r="A156" t="s">
        <v>998</v>
      </c>
      <c r="B156" t="s">
        <v>999</v>
      </c>
      <c r="C156" t="s">
        <v>998</v>
      </c>
      <c r="D156">
        <v>2834</v>
      </c>
      <c r="F156">
        <v>3532</v>
      </c>
      <c r="G156" t="s">
        <v>703</v>
      </c>
      <c r="H156" t="s">
        <v>984</v>
      </c>
      <c r="I156" t="s">
        <v>1000</v>
      </c>
    </row>
    <row r="157" spans="1:9">
      <c r="A157" t="s">
        <v>1001</v>
      </c>
      <c r="B157" t="s">
        <v>1002</v>
      </c>
      <c r="C157" t="s">
        <v>1001</v>
      </c>
      <c r="D157">
        <v>7389</v>
      </c>
      <c r="F157">
        <v>3533</v>
      </c>
      <c r="G157" t="s">
        <v>703</v>
      </c>
      <c r="H157" t="s">
        <v>984</v>
      </c>
      <c r="I157" t="s">
        <v>1003</v>
      </c>
    </row>
    <row r="158" spans="1:9">
      <c r="A158" t="s">
        <v>1004</v>
      </c>
      <c r="B158" t="s">
        <v>1005</v>
      </c>
      <c r="C158" t="s">
        <v>1004</v>
      </c>
      <c r="D158">
        <v>5140</v>
      </c>
      <c r="F158">
        <v>3537</v>
      </c>
      <c r="G158" t="s">
        <v>703</v>
      </c>
      <c r="H158" t="s">
        <v>835</v>
      </c>
      <c r="I158" t="s">
        <v>1006</v>
      </c>
    </row>
    <row r="159" spans="1:9">
      <c r="A159" t="s">
        <v>1007</v>
      </c>
      <c r="B159" t="s">
        <v>1008</v>
      </c>
      <c r="C159" t="s">
        <v>1007</v>
      </c>
      <c r="D159">
        <v>7372</v>
      </c>
      <c r="F159">
        <v>3540</v>
      </c>
      <c r="G159" t="s">
        <v>703</v>
      </c>
      <c r="H159" t="s">
        <v>984</v>
      </c>
      <c r="I159" t="s">
        <v>1009</v>
      </c>
    </row>
    <row r="160" spans="1:9">
      <c r="A160" t="s">
        <v>1010</v>
      </c>
      <c r="B160" t="s">
        <v>1011</v>
      </c>
      <c r="C160" t="s">
        <v>1010</v>
      </c>
      <c r="D160">
        <v>2834</v>
      </c>
      <c r="F160">
        <v>3541</v>
      </c>
      <c r="G160" t="s">
        <v>703</v>
      </c>
      <c r="H160" t="s">
        <v>984</v>
      </c>
      <c r="I160" t="s">
        <v>1012</v>
      </c>
    </row>
    <row r="161" spans="1:9">
      <c r="A161" t="s">
        <v>1013</v>
      </c>
      <c r="B161" t="s">
        <v>1014</v>
      </c>
      <c r="C161" t="s">
        <v>1013</v>
      </c>
      <c r="D161">
        <v>2300</v>
      </c>
      <c r="F161">
        <v>3550</v>
      </c>
      <c r="G161" t="s">
        <v>703</v>
      </c>
      <c r="H161" t="s">
        <v>984</v>
      </c>
      <c r="I161" t="s">
        <v>1015</v>
      </c>
    </row>
    <row r="162" spans="1:9">
      <c r="A162" t="s">
        <v>1016</v>
      </c>
      <c r="B162" t="s">
        <v>1017</v>
      </c>
      <c r="C162" t="s">
        <v>1016</v>
      </c>
      <c r="D162">
        <v>6331</v>
      </c>
      <c r="F162">
        <v>3555</v>
      </c>
      <c r="G162" t="s">
        <v>703</v>
      </c>
      <c r="H162" t="s">
        <v>984</v>
      </c>
      <c r="I162" t="s">
        <v>1018</v>
      </c>
    </row>
    <row r="163" spans="1:9">
      <c r="A163" t="s">
        <v>1019</v>
      </c>
      <c r="B163" t="s">
        <v>1020</v>
      </c>
      <c r="C163" t="s">
        <v>1019</v>
      </c>
      <c r="D163">
        <v>3317</v>
      </c>
      <c r="F163">
        <v>3559</v>
      </c>
      <c r="G163" t="s">
        <v>703</v>
      </c>
      <c r="H163" t="s">
        <v>984</v>
      </c>
      <c r="I163" t="s">
        <v>1021</v>
      </c>
    </row>
    <row r="164" spans="1:9">
      <c r="A164" t="s">
        <v>1022</v>
      </c>
      <c r="B164" t="s">
        <v>1023</v>
      </c>
      <c r="C164" t="s">
        <v>1022</v>
      </c>
      <c r="D164">
        <v>6022</v>
      </c>
      <c r="F164">
        <v>3560</v>
      </c>
      <c r="G164" t="s">
        <v>703</v>
      </c>
      <c r="H164" t="s">
        <v>984</v>
      </c>
      <c r="I164" t="s">
        <v>1024</v>
      </c>
    </row>
    <row r="165" spans="1:9">
      <c r="A165" t="s">
        <v>1025</v>
      </c>
      <c r="B165" t="s">
        <v>1026</v>
      </c>
      <c r="C165" t="s">
        <v>1025</v>
      </c>
      <c r="D165">
        <v>4512</v>
      </c>
      <c r="F165">
        <v>3561</v>
      </c>
      <c r="G165" t="s">
        <v>703</v>
      </c>
      <c r="H165" t="s">
        <v>984</v>
      </c>
      <c r="I165" t="s">
        <v>1027</v>
      </c>
    </row>
    <row r="166" spans="1:9">
      <c r="A166" t="s">
        <v>1028</v>
      </c>
      <c r="B166" t="s">
        <v>1029</v>
      </c>
      <c r="C166" t="s">
        <v>1028</v>
      </c>
      <c r="D166">
        <v>7381</v>
      </c>
      <c r="F166">
        <v>3562</v>
      </c>
      <c r="G166" t="s">
        <v>703</v>
      </c>
      <c r="H166" t="s">
        <v>984</v>
      </c>
      <c r="I166" t="s">
        <v>1030</v>
      </c>
    </row>
    <row r="167" spans="1:9">
      <c r="A167" t="s">
        <v>1031</v>
      </c>
      <c r="B167" t="s">
        <v>1032</v>
      </c>
      <c r="C167" t="s">
        <v>1031</v>
      </c>
      <c r="D167">
        <v>3674</v>
      </c>
      <c r="F167">
        <v>3564</v>
      </c>
      <c r="G167" t="s">
        <v>703</v>
      </c>
      <c r="H167" t="s">
        <v>984</v>
      </c>
      <c r="I167" t="s">
        <v>1033</v>
      </c>
    </row>
    <row r="168" spans="1:9">
      <c r="A168" t="s">
        <v>1034</v>
      </c>
      <c r="B168" t="s">
        <v>1035</v>
      </c>
      <c r="C168" t="s">
        <v>1034</v>
      </c>
      <c r="D168">
        <v>4931</v>
      </c>
      <c r="F168">
        <v>3567</v>
      </c>
      <c r="G168" t="s">
        <v>703</v>
      </c>
      <c r="H168" t="s">
        <v>984</v>
      </c>
      <c r="I168" t="s">
        <v>1036</v>
      </c>
    </row>
    <row r="169" spans="1:9">
      <c r="A169" t="s">
        <v>1037</v>
      </c>
      <c r="B169" t="s">
        <v>1038</v>
      </c>
      <c r="C169" t="s">
        <v>1037</v>
      </c>
      <c r="D169">
        <v>1221</v>
      </c>
      <c r="F169">
        <v>3569</v>
      </c>
      <c r="G169" t="s">
        <v>703</v>
      </c>
      <c r="H169" t="s">
        <v>984</v>
      </c>
      <c r="I169" t="s">
        <v>1039</v>
      </c>
    </row>
    <row r="170" spans="1:9">
      <c r="A170" t="s">
        <v>1040</v>
      </c>
      <c r="B170" t="s">
        <v>1041</v>
      </c>
      <c r="C170" t="s">
        <v>1040</v>
      </c>
      <c r="D170">
        <v>4931</v>
      </c>
      <c r="F170">
        <v>3570</v>
      </c>
      <c r="G170" t="s">
        <v>1042</v>
      </c>
      <c r="H170" t="s">
        <v>1043</v>
      </c>
      <c r="I170" t="s">
        <v>1044</v>
      </c>
    </row>
    <row r="171" spans="1:9">
      <c r="A171" t="s">
        <v>1045</v>
      </c>
      <c r="B171" t="s">
        <v>1046</v>
      </c>
      <c r="C171" t="s">
        <v>1045</v>
      </c>
      <c r="D171">
        <v>7900</v>
      </c>
      <c r="F171">
        <v>3571</v>
      </c>
      <c r="G171" t="s">
        <v>1042</v>
      </c>
      <c r="H171" t="s">
        <v>1043</v>
      </c>
      <c r="I171" t="s">
        <v>1047</v>
      </c>
    </row>
    <row r="172" spans="1:9">
      <c r="A172" t="s">
        <v>1048</v>
      </c>
      <c r="B172" t="s">
        <v>1049</v>
      </c>
      <c r="C172" t="s">
        <v>1048</v>
      </c>
      <c r="D172">
        <v>3825</v>
      </c>
      <c r="F172">
        <v>3572</v>
      </c>
      <c r="G172" t="s">
        <v>1042</v>
      </c>
      <c r="H172" t="s">
        <v>1043</v>
      </c>
      <c r="I172" t="s">
        <v>1050</v>
      </c>
    </row>
    <row r="173" spans="1:9">
      <c r="A173" t="s">
        <v>1051</v>
      </c>
      <c r="B173" t="s">
        <v>1052</v>
      </c>
      <c r="C173" t="s">
        <v>1051</v>
      </c>
      <c r="D173">
        <v>3714</v>
      </c>
      <c r="F173">
        <v>3575</v>
      </c>
      <c r="G173" t="s">
        <v>1042</v>
      </c>
      <c r="H173" t="s">
        <v>1043</v>
      </c>
      <c r="I173" t="s">
        <v>1053</v>
      </c>
    </row>
    <row r="174" spans="1:9">
      <c r="A174" t="s">
        <v>1054</v>
      </c>
      <c r="B174" t="s">
        <v>1055</v>
      </c>
      <c r="C174" t="s">
        <v>1054</v>
      </c>
      <c r="D174">
        <v>3576</v>
      </c>
      <c r="F174">
        <v>3576</v>
      </c>
      <c r="G174" t="s">
        <v>1042</v>
      </c>
      <c r="H174" t="s">
        <v>1043</v>
      </c>
      <c r="I174" t="s">
        <v>1056</v>
      </c>
    </row>
    <row r="175" spans="1:9">
      <c r="A175" t="s">
        <v>1057</v>
      </c>
      <c r="B175" t="s">
        <v>1058</v>
      </c>
      <c r="C175" t="s">
        <v>1057</v>
      </c>
      <c r="D175">
        <v>7373</v>
      </c>
      <c r="F175">
        <v>3577</v>
      </c>
      <c r="G175" t="s">
        <v>1042</v>
      </c>
      <c r="H175" t="s">
        <v>1043</v>
      </c>
      <c r="I175" t="s">
        <v>1059</v>
      </c>
    </row>
    <row r="176" spans="1:9">
      <c r="A176" t="s">
        <v>1060</v>
      </c>
      <c r="B176" t="s">
        <v>1061</v>
      </c>
      <c r="C176" t="s">
        <v>1060</v>
      </c>
      <c r="D176">
        <v>6331</v>
      </c>
      <c r="F176">
        <v>3578</v>
      </c>
      <c r="G176" t="s">
        <v>1042</v>
      </c>
      <c r="H176" t="s">
        <v>1043</v>
      </c>
      <c r="I176" t="s">
        <v>1062</v>
      </c>
    </row>
    <row r="177" spans="1:9">
      <c r="A177" t="s">
        <v>1063</v>
      </c>
      <c r="B177" t="s">
        <v>1064</v>
      </c>
      <c r="C177" t="s">
        <v>1063</v>
      </c>
      <c r="D177">
        <v>6022</v>
      </c>
      <c r="F177">
        <v>3579</v>
      </c>
      <c r="G177" t="s">
        <v>1042</v>
      </c>
      <c r="H177" t="s">
        <v>1043</v>
      </c>
      <c r="I177" t="s">
        <v>1065</v>
      </c>
    </row>
    <row r="178" spans="1:9">
      <c r="A178" t="s">
        <v>1066</v>
      </c>
      <c r="B178" t="s">
        <v>1067</v>
      </c>
      <c r="C178" t="s">
        <v>1066</v>
      </c>
      <c r="D178">
        <v>2834</v>
      </c>
      <c r="F178">
        <v>3580</v>
      </c>
      <c r="G178" t="s">
        <v>703</v>
      </c>
      <c r="H178" t="s">
        <v>984</v>
      </c>
      <c r="I178" t="s">
        <v>1068</v>
      </c>
    </row>
    <row r="179" spans="1:9">
      <c r="A179" t="s">
        <v>1069</v>
      </c>
      <c r="B179" t="s">
        <v>1070</v>
      </c>
      <c r="C179" t="s">
        <v>1069</v>
      </c>
      <c r="D179">
        <v>3674</v>
      </c>
      <c r="F179">
        <v>3585</v>
      </c>
      <c r="G179" t="s">
        <v>703</v>
      </c>
      <c r="H179" t="s">
        <v>984</v>
      </c>
      <c r="I179" t="s">
        <v>1071</v>
      </c>
    </row>
    <row r="180" spans="1:9">
      <c r="A180" t="s">
        <v>1072</v>
      </c>
      <c r="B180" t="s">
        <v>1073</v>
      </c>
      <c r="C180" t="s">
        <v>1072</v>
      </c>
      <c r="D180">
        <v>1221</v>
      </c>
      <c r="F180">
        <v>3590</v>
      </c>
      <c r="G180" t="s">
        <v>703</v>
      </c>
      <c r="H180" t="s">
        <v>984</v>
      </c>
      <c r="I180" t="s">
        <v>1074</v>
      </c>
    </row>
    <row r="181" spans="1:9">
      <c r="A181" t="s">
        <v>1075</v>
      </c>
      <c r="B181" t="s">
        <v>1076</v>
      </c>
      <c r="C181" t="s">
        <v>1075</v>
      </c>
      <c r="D181">
        <v>3842</v>
      </c>
      <c r="F181">
        <v>3600</v>
      </c>
      <c r="G181" t="s">
        <v>703</v>
      </c>
      <c r="H181" t="s">
        <v>1077</v>
      </c>
      <c r="I181" t="s">
        <v>1078</v>
      </c>
    </row>
    <row r="182" spans="1:9">
      <c r="A182" t="s">
        <v>1079</v>
      </c>
      <c r="B182" t="s">
        <v>1080</v>
      </c>
      <c r="C182" t="s">
        <v>1079</v>
      </c>
      <c r="D182">
        <v>2835</v>
      </c>
      <c r="F182">
        <v>3612</v>
      </c>
      <c r="G182" t="s">
        <v>703</v>
      </c>
      <c r="H182" t="s">
        <v>1077</v>
      </c>
      <c r="I182" t="s">
        <v>1081</v>
      </c>
    </row>
    <row r="183" spans="1:9">
      <c r="A183" t="s">
        <v>1082</v>
      </c>
      <c r="B183" t="s">
        <v>1083</v>
      </c>
      <c r="C183" t="s">
        <v>1082</v>
      </c>
      <c r="D183">
        <v>7370</v>
      </c>
      <c r="F183">
        <v>3613</v>
      </c>
      <c r="G183" t="s">
        <v>703</v>
      </c>
      <c r="H183" t="s">
        <v>1077</v>
      </c>
      <c r="I183" t="s">
        <v>1084</v>
      </c>
    </row>
    <row r="184" spans="1:9">
      <c r="A184" t="s">
        <v>1085</v>
      </c>
      <c r="B184" t="s">
        <v>1086</v>
      </c>
      <c r="C184" t="s">
        <v>1085</v>
      </c>
      <c r="D184">
        <v>3841</v>
      </c>
      <c r="F184">
        <v>3620</v>
      </c>
      <c r="G184" t="s">
        <v>703</v>
      </c>
      <c r="H184" t="s">
        <v>1077</v>
      </c>
      <c r="I184" t="s">
        <v>1087</v>
      </c>
    </row>
    <row r="185" spans="1:9">
      <c r="A185" t="s">
        <v>1088</v>
      </c>
      <c r="B185" t="s">
        <v>1089</v>
      </c>
      <c r="C185" t="s">
        <v>1088</v>
      </c>
      <c r="D185">
        <v>3669</v>
      </c>
      <c r="F185">
        <v>3621</v>
      </c>
      <c r="G185" t="s">
        <v>703</v>
      </c>
      <c r="H185" t="s">
        <v>1077</v>
      </c>
      <c r="I185" t="s">
        <v>1090</v>
      </c>
    </row>
    <row r="186" spans="1:9">
      <c r="A186" t="s">
        <v>1091</v>
      </c>
      <c r="B186" t="s">
        <v>1092</v>
      </c>
      <c r="C186" t="s">
        <v>1091</v>
      </c>
      <c r="D186">
        <v>2834</v>
      </c>
      <c r="F186">
        <v>3630</v>
      </c>
      <c r="G186" t="s">
        <v>695</v>
      </c>
      <c r="H186" t="s">
        <v>696</v>
      </c>
      <c r="I186" t="s">
        <v>1093</v>
      </c>
    </row>
    <row r="187" spans="1:9">
      <c r="A187" t="s">
        <v>1094</v>
      </c>
      <c r="B187" t="s">
        <v>1095</v>
      </c>
      <c r="C187" t="s">
        <v>1094</v>
      </c>
      <c r="D187">
        <v>6798</v>
      </c>
      <c r="F187">
        <v>3634</v>
      </c>
      <c r="G187" t="s">
        <v>695</v>
      </c>
      <c r="H187" t="s">
        <v>696</v>
      </c>
      <c r="I187" t="s">
        <v>1096</v>
      </c>
    </row>
    <row r="188" spans="1:9">
      <c r="A188" t="s">
        <v>1097</v>
      </c>
      <c r="B188" t="s">
        <v>1098</v>
      </c>
      <c r="C188" t="s">
        <v>1097</v>
      </c>
      <c r="D188">
        <v>6500</v>
      </c>
      <c r="F188">
        <v>3640</v>
      </c>
      <c r="G188" t="s">
        <v>695</v>
      </c>
      <c r="H188" t="s">
        <v>1077</v>
      </c>
      <c r="I188" t="s">
        <v>1099</v>
      </c>
    </row>
    <row r="189" spans="1:9">
      <c r="A189" t="s">
        <v>1100</v>
      </c>
      <c r="B189" t="s">
        <v>1101</v>
      </c>
      <c r="C189" t="s">
        <v>1100</v>
      </c>
      <c r="D189">
        <v>5084</v>
      </c>
      <c r="F189">
        <v>3651</v>
      </c>
      <c r="G189" t="s">
        <v>695</v>
      </c>
      <c r="H189" t="s">
        <v>520</v>
      </c>
      <c r="I189" t="s">
        <v>1102</v>
      </c>
    </row>
    <row r="190" spans="1:9">
      <c r="A190" t="s">
        <v>1103</v>
      </c>
      <c r="B190" t="s">
        <v>1104</v>
      </c>
      <c r="C190" t="s">
        <v>1103</v>
      </c>
      <c r="D190">
        <v>7372</v>
      </c>
      <c r="F190">
        <v>3652</v>
      </c>
      <c r="G190" t="s">
        <v>695</v>
      </c>
      <c r="H190" t="s">
        <v>520</v>
      </c>
      <c r="I190" t="s">
        <v>1105</v>
      </c>
    </row>
    <row r="191" spans="1:9">
      <c r="A191" t="s">
        <v>1106</v>
      </c>
      <c r="B191" t="s">
        <v>1107</v>
      </c>
      <c r="C191" t="s">
        <v>1106</v>
      </c>
      <c r="D191">
        <v>7372</v>
      </c>
      <c r="F191">
        <v>3661</v>
      </c>
      <c r="G191" t="s">
        <v>1042</v>
      </c>
      <c r="H191" t="s">
        <v>1108</v>
      </c>
      <c r="I191" t="s">
        <v>1109</v>
      </c>
    </row>
    <row r="192" spans="1:9">
      <c r="A192" t="s">
        <v>1110</v>
      </c>
      <c r="B192" t="s">
        <v>1111</v>
      </c>
      <c r="C192" t="s">
        <v>1110</v>
      </c>
      <c r="D192">
        <v>4841</v>
      </c>
      <c r="F192">
        <v>3663</v>
      </c>
      <c r="G192" t="s">
        <v>1042</v>
      </c>
      <c r="H192" t="s">
        <v>1108</v>
      </c>
      <c r="I192" t="s">
        <v>1112</v>
      </c>
    </row>
    <row r="193" spans="1:9">
      <c r="A193" t="s">
        <v>1113</v>
      </c>
      <c r="B193" t="s">
        <v>1114</v>
      </c>
      <c r="C193" t="s">
        <v>1113</v>
      </c>
      <c r="D193">
        <v>2834</v>
      </c>
      <c r="F193">
        <v>3669</v>
      </c>
      <c r="G193" t="s">
        <v>1042</v>
      </c>
      <c r="H193" t="s">
        <v>1108</v>
      </c>
      <c r="I193" t="s">
        <v>1115</v>
      </c>
    </row>
    <row r="194" spans="1:9">
      <c r="A194" t="s">
        <v>1116</v>
      </c>
      <c r="B194" t="s">
        <v>1117</v>
      </c>
      <c r="C194" t="s">
        <v>1116</v>
      </c>
      <c r="D194">
        <v>7380</v>
      </c>
      <c r="F194">
        <v>3670</v>
      </c>
      <c r="G194" t="s">
        <v>1042</v>
      </c>
      <c r="H194" t="s">
        <v>1108</v>
      </c>
      <c r="I194" t="s">
        <v>1118</v>
      </c>
    </row>
    <row r="195" spans="1:9">
      <c r="A195" t="s">
        <v>1119</v>
      </c>
      <c r="B195" t="s">
        <v>1120</v>
      </c>
      <c r="C195" t="s">
        <v>1119</v>
      </c>
      <c r="D195">
        <v>2860</v>
      </c>
      <c r="F195">
        <v>3672</v>
      </c>
      <c r="G195" t="s">
        <v>1042</v>
      </c>
      <c r="H195" t="s">
        <v>1108</v>
      </c>
      <c r="I195" t="s">
        <v>1121</v>
      </c>
    </row>
    <row r="196" spans="1:9">
      <c r="A196" t="s">
        <v>1122</v>
      </c>
      <c r="B196" t="s">
        <v>1123</v>
      </c>
      <c r="C196" t="s">
        <v>1122</v>
      </c>
      <c r="D196">
        <v>3569</v>
      </c>
      <c r="F196">
        <v>3674</v>
      </c>
      <c r="G196" t="s">
        <v>1042</v>
      </c>
      <c r="H196" t="s">
        <v>1108</v>
      </c>
      <c r="I196" t="s">
        <v>1124</v>
      </c>
    </row>
    <row r="197" spans="1:9">
      <c r="A197" t="s">
        <v>1125</v>
      </c>
      <c r="B197" t="s">
        <v>1126</v>
      </c>
      <c r="C197" t="s">
        <v>1125</v>
      </c>
      <c r="D197">
        <v>2111</v>
      </c>
      <c r="F197">
        <v>3677</v>
      </c>
      <c r="G197" t="s">
        <v>1042</v>
      </c>
      <c r="H197" t="s">
        <v>1108</v>
      </c>
      <c r="I197" t="s">
        <v>1127</v>
      </c>
    </row>
    <row r="198" spans="1:9">
      <c r="A198" t="s">
        <v>1128</v>
      </c>
      <c r="B198" t="s">
        <v>1129</v>
      </c>
      <c r="C198" t="s">
        <v>1128</v>
      </c>
      <c r="D198">
        <v>4911</v>
      </c>
      <c r="F198">
        <v>3678</v>
      </c>
      <c r="G198" t="s">
        <v>1042</v>
      </c>
      <c r="H198" t="s">
        <v>1108</v>
      </c>
      <c r="I198" t="s">
        <v>1130</v>
      </c>
    </row>
    <row r="199" spans="1:9">
      <c r="A199" t="s">
        <v>1131</v>
      </c>
      <c r="B199" t="s">
        <v>1132</v>
      </c>
      <c r="C199" t="s">
        <v>1131</v>
      </c>
      <c r="D199">
        <v>2834</v>
      </c>
      <c r="F199">
        <v>3679</v>
      </c>
      <c r="G199" t="s">
        <v>1042</v>
      </c>
      <c r="H199" t="s">
        <v>1108</v>
      </c>
      <c r="I199" t="s">
        <v>1133</v>
      </c>
    </row>
    <row r="200" spans="1:9">
      <c r="A200" t="s">
        <v>1134</v>
      </c>
      <c r="B200" t="s">
        <v>1135</v>
      </c>
      <c r="C200" t="s">
        <v>1134</v>
      </c>
      <c r="D200">
        <v>6022</v>
      </c>
      <c r="F200">
        <v>3690</v>
      </c>
      <c r="G200" t="s">
        <v>1042</v>
      </c>
      <c r="H200" t="s">
        <v>1077</v>
      </c>
      <c r="I200" t="s">
        <v>1136</v>
      </c>
    </row>
    <row r="201" spans="1:9">
      <c r="A201" t="s">
        <v>1137</v>
      </c>
      <c r="B201" t="s">
        <v>1138</v>
      </c>
      <c r="C201" t="s">
        <v>1137</v>
      </c>
      <c r="D201">
        <v>2834</v>
      </c>
      <c r="F201">
        <v>3695</v>
      </c>
      <c r="G201" t="s">
        <v>1042</v>
      </c>
      <c r="H201" t="s">
        <v>1043</v>
      </c>
      <c r="I201" t="s">
        <v>1139</v>
      </c>
    </row>
    <row r="202" spans="1:9">
      <c r="A202" t="s">
        <v>1140</v>
      </c>
      <c r="B202" t="s">
        <v>450</v>
      </c>
      <c r="C202" t="s">
        <v>1140</v>
      </c>
      <c r="D202">
        <v>5961</v>
      </c>
      <c r="F202">
        <v>3711</v>
      </c>
      <c r="G202" t="s">
        <v>695</v>
      </c>
      <c r="H202" t="s">
        <v>835</v>
      </c>
      <c r="I202" t="s">
        <v>1141</v>
      </c>
    </row>
    <row r="203" spans="1:9">
      <c r="A203" t="s">
        <v>1142</v>
      </c>
      <c r="B203" t="s">
        <v>1143</v>
      </c>
      <c r="C203" t="s">
        <v>1142</v>
      </c>
      <c r="D203">
        <v>6351</v>
      </c>
      <c r="F203">
        <v>3713</v>
      </c>
      <c r="G203" t="s">
        <v>703</v>
      </c>
      <c r="H203" t="s">
        <v>835</v>
      </c>
      <c r="I203" t="s">
        <v>1144</v>
      </c>
    </row>
    <row r="204" spans="1:9">
      <c r="A204" t="s">
        <v>1145</v>
      </c>
      <c r="B204" t="s">
        <v>1146</v>
      </c>
      <c r="C204" t="s">
        <v>1145</v>
      </c>
      <c r="D204">
        <v>3674</v>
      </c>
      <c r="F204">
        <v>3714</v>
      </c>
      <c r="G204" t="s">
        <v>695</v>
      </c>
      <c r="H204" t="s">
        <v>835</v>
      </c>
      <c r="I204" t="s">
        <v>1147</v>
      </c>
    </row>
    <row r="205" spans="1:9">
      <c r="A205" t="s">
        <v>1148</v>
      </c>
      <c r="B205" t="s">
        <v>1149</v>
      </c>
      <c r="C205" t="s">
        <v>1148</v>
      </c>
      <c r="D205">
        <v>2836</v>
      </c>
      <c r="F205">
        <v>3715</v>
      </c>
      <c r="G205" t="s">
        <v>703</v>
      </c>
      <c r="H205" t="s">
        <v>835</v>
      </c>
      <c r="I205" t="s">
        <v>1150</v>
      </c>
    </row>
    <row r="206" spans="1:9">
      <c r="A206" t="s">
        <v>1151</v>
      </c>
      <c r="B206" t="s">
        <v>1152</v>
      </c>
      <c r="C206" t="s">
        <v>1151</v>
      </c>
      <c r="D206">
        <v>7830</v>
      </c>
      <c r="F206">
        <v>3716</v>
      </c>
      <c r="G206" t="s">
        <v>695</v>
      </c>
      <c r="H206" t="s">
        <v>835</v>
      </c>
      <c r="I206" t="s">
        <v>1153</v>
      </c>
    </row>
    <row r="207" spans="1:9">
      <c r="A207" t="s">
        <v>1154</v>
      </c>
      <c r="B207" t="s">
        <v>1155</v>
      </c>
      <c r="C207" t="s">
        <v>1154</v>
      </c>
      <c r="D207">
        <v>4841</v>
      </c>
      <c r="F207">
        <v>3720</v>
      </c>
      <c r="G207" t="s">
        <v>703</v>
      </c>
      <c r="H207" t="s">
        <v>1156</v>
      </c>
      <c r="I207" t="s">
        <v>1157</v>
      </c>
    </row>
    <row r="208" spans="1:9">
      <c r="A208" t="s">
        <v>1158</v>
      </c>
      <c r="B208" t="s">
        <v>1159</v>
      </c>
      <c r="C208" t="s">
        <v>1158</v>
      </c>
      <c r="D208">
        <v>5141</v>
      </c>
      <c r="F208">
        <v>3721</v>
      </c>
      <c r="G208" t="s">
        <v>703</v>
      </c>
      <c r="H208" t="s">
        <v>1156</v>
      </c>
      <c r="I208" t="s">
        <v>1156</v>
      </c>
    </row>
    <row r="209" spans="1:9">
      <c r="A209" t="s">
        <v>1160</v>
      </c>
      <c r="B209" t="s">
        <v>1161</v>
      </c>
      <c r="C209" t="s">
        <v>1160</v>
      </c>
      <c r="D209">
        <v>3990</v>
      </c>
      <c r="F209">
        <v>3724</v>
      </c>
      <c r="G209" t="s">
        <v>703</v>
      </c>
      <c r="H209" t="s">
        <v>1156</v>
      </c>
      <c r="I209" t="s">
        <v>1162</v>
      </c>
    </row>
    <row r="210" spans="1:9">
      <c r="A210" t="s">
        <v>1163</v>
      </c>
      <c r="B210" t="s">
        <v>1164</v>
      </c>
      <c r="C210" t="s">
        <v>1163</v>
      </c>
      <c r="D210">
        <v>7371</v>
      </c>
      <c r="F210">
        <v>3728</v>
      </c>
      <c r="G210" t="s">
        <v>703</v>
      </c>
      <c r="H210" t="s">
        <v>1156</v>
      </c>
      <c r="I210" t="s">
        <v>1165</v>
      </c>
    </row>
    <row r="211" spans="1:9">
      <c r="A211" t="s">
        <v>1166</v>
      </c>
      <c r="B211" t="s">
        <v>1167</v>
      </c>
      <c r="C211" t="s">
        <v>1166</v>
      </c>
      <c r="D211">
        <v>6021</v>
      </c>
      <c r="F211">
        <v>3730</v>
      </c>
      <c r="G211" t="s">
        <v>703</v>
      </c>
      <c r="H211" t="s">
        <v>1168</v>
      </c>
      <c r="I211" t="s">
        <v>1169</v>
      </c>
    </row>
    <row r="212" spans="1:9">
      <c r="A212" t="s">
        <v>1170</v>
      </c>
      <c r="B212" t="s">
        <v>1171</v>
      </c>
      <c r="C212" t="s">
        <v>1170</v>
      </c>
      <c r="D212">
        <v>7510</v>
      </c>
      <c r="F212">
        <v>3743</v>
      </c>
      <c r="G212" t="s">
        <v>703</v>
      </c>
      <c r="H212" t="s">
        <v>1168</v>
      </c>
      <c r="I212" t="s">
        <v>1172</v>
      </c>
    </row>
    <row r="213" spans="1:9">
      <c r="A213" t="s">
        <v>1173</v>
      </c>
      <c r="B213" t="s">
        <v>1174</v>
      </c>
      <c r="C213" t="s">
        <v>1173</v>
      </c>
      <c r="D213">
        <v>4931</v>
      </c>
      <c r="F213">
        <v>3751</v>
      </c>
      <c r="G213" t="s">
        <v>695</v>
      </c>
      <c r="H213" t="s">
        <v>696</v>
      </c>
      <c r="I213" t="s">
        <v>1175</v>
      </c>
    </row>
    <row r="214" spans="1:9">
      <c r="A214" t="s">
        <v>1176</v>
      </c>
      <c r="B214" t="s">
        <v>1177</v>
      </c>
      <c r="C214" t="s">
        <v>1176</v>
      </c>
      <c r="D214">
        <v>1700</v>
      </c>
      <c r="F214">
        <v>3760</v>
      </c>
      <c r="G214" t="s">
        <v>703</v>
      </c>
      <c r="H214" t="s">
        <v>977</v>
      </c>
      <c r="I214" t="s">
        <v>1178</v>
      </c>
    </row>
    <row r="215" spans="1:9">
      <c r="A215" t="s">
        <v>1179</v>
      </c>
      <c r="B215" t="s">
        <v>1180</v>
      </c>
      <c r="C215" t="s">
        <v>1179</v>
      </c>
      <c r="D215">
        <v>6199</v>
      </c>
      <c r="F215">
        <v>3790</v>
      </c>
      <c r="G215" t="s">
        <v>703</v>
      </c>
      <c r="H215" t="s">
        <v>835</v>
      </c>
      <c r="I215" t="s">
        <v>1181</v>
      </c>
    </row>
    <row r="216" spans="1:9">
      <c r="A216" t="s">
        <v>1182</v>
      </c>
      <c r="B216" t="s">
        <v>1183</v>
      </c>
      <c r="C216" t="s">
        <v>1182</v>
      </c>
      <c r="D216">
        <v>4512</v>
      </c>
      <c r="F216">
        <v>3812</v>
      </c>
      <c r="G216" t="s">
        <v>1042</v>
      </c>
      <c r="H216" t="s">
        <v>1108</v>
      </c>
      <c r="I216" t="s">
        <v>1184</v>
      </c>
    </row>
    <row r="217" spans="1:9">
      <c r="A217" t="s">
        <v>1185</v>
      </c>
      <c r="B217" t="s">
        <v>1186</v>
      </c>
      <c r="C217" t="s">
        <v>1185</v>
      </c>
      <c r="D217">
        <v>6798</v>
      </c>
      <c r="F217">
        <v>3821</v>
      </c>
      <c r="G217" t="s">
        <v>1042</v>
      </c>
      <c r="H217" t="s">
        <v>1187</v>
      </c>
      <c r="I217" t="s">
        <v>1188</v>
      </c>
    </row>
    <row r="218" spans="1:9">
      <c r="A218" t="s">
        <v>1189</v>
      </c>
      <c r="B218" t="s">
        <v>1190</v>
      </c>
      <c r="C218" t="s">
        <v>1189</v>
      </c>
      <c r="D218">
        <v>3714</v>
      </c>
      <c r="F218">
        <v>3822</v>
      </c>
      <c r="G218" t="s">
        <v>1042</v>
      </c>
      <c r="H218" t="s">
        <v>1187</v>
      </c>
      <c r="I218" t="s">
        <v>1191</v>
      </c>
    </row>
    <row r="219" spans="1:9">
      <c r="A219" t="s">
        <v>1192</v>
      </c>
      <c r="B219" t="s">
        <v>1193</v>
      </c>
      <c r="C219" t="s">
        <v>1192</v>
      </c>
      <c r="D219">
        <v>6798</v>
      </c>
      <c r="F219">
        <v>3823</v>
      </c>
      <c r="G219" t="s">
        <v>1042</v>
      </c>
      <c r="H219" t="s">
        <v>1187</v>
      </c>
      <c r="I219" t="s">
        <v>1194</v>
      </c>
    </row>
    <row r="220" spans="1:9">
      <c r="A220" t="s">
        <v>1195</v>
      </c>
      <c r="B220" t="s">
        <v>1196</v>
      </c>
      <c r="C220" t="s">
        <v>1195</v>
      </c>
      <c r="D220">
        <v>5651</v>
      </c>
      <c r="F220">
        <v>3824</v>
      </c>
      <c r="G220" t="s">
        <v>1042</v>
      </c>
      <c r="H220" t="s">
        <v>1187</v>
      </c>
      <c r="I220" t="s">
        <v>1197</v>
      </c>
    </row>
    <row r="221" spans="1:9">
      <c r="A221" t="s">
        <v>1198</v>
      </c>
      <c r="B221" t="s">
        <v>1199</v>
      </c>
      <c r="C221" t="s">
        <v>1198</v>
      </c>
      <c r="D221">
        <v>4911</v>
      </c>
      <c r="F221">
        <v>3825</v>
      </c>
      <c r="G221" t="s">
        <v>1042</v>
      </c>
      <c r="H221" t="s">
        <v>1187</v>
      </c>
      <c r="I221" t="s">
        <v>1200</v>
      </c>
    </row>
    <row r="222" spans="1:9">
      <c r="A222" t="s">
        <v>1201</v>
      </c>
      <c r="B222" t="s">
        <v>1202</v>
      </c>
      <c r="C222" t="s">
        <v>1201</v>
      </c>
      <c r="D222">
        <v>6311</v>
      </c>
      <c r="F222">
        <v>3826</v>
      </c>
      <c r="G222" t="s">
        <v>1042</v>
      </c>
      <c r="H222" t="s">
        <v>1187</v>
      </c>
      <c r="I222" t="s">
        <v>1203</v>
      </c>
    </row>
    <row r="223" spans="1:9">
      <c r="A223" t="s">
        <v>1204</v>
      </c>
      <c r="B223" t="s">
        <v>1205</v>
      </c>
      <c r="C223" t="s">
        <v>1204</v>
      </c>
      <c r="D223">
        <v>6199</v>
      </c>
      <c r="F223">
        <v>3827</v>
      </c>
      <c r="G223" t="s">
        <v>1042</v>
      </c>
      <c r="H223" t="s">
        <v>1187</v>
      </c>
      <c r="I223" t="s">
        <v>1206</v>
      </c>
    </row>
    <row r="224" spans="1:9">
      <c r="A224" t="s">
        <v>1207</v>
      </c>
      <c r="B224" t="s">
        <v>1208</v>
      </c>
      <c r="C224" t="s">
        <v>1207</v>
      </c>
      <c r="D224">
        <v>6331</v>
      </c>
      <c r="F224">
        <v>3829</v>
      </c>
      <c r="G224" t="s">
        <v>1042</v>
      </c>
      <c r="H224" t="s">
        <v>1187</v>
      </c>
      <c r="I224" t="s">
        <v>1209</v>
      </c>
    </row>
    <row r="225" spans="1:9">
      <c r="A225" t="s">
        <v>1210</v>
      </c>
      <c r="B225" t="s">
        <v>1211</v>
      </c>
      <c r="C225" t="s">
        <v>1210</v>
      </c>
      <c r="D225">
        <v>6798</v>
      </c>
      <c r="F225">
        <v>3841</v>
      </c>
      <c r="G225" t="s">
        <v>788</v>
      </c>
      <c r="H225" t="s">
        <v>1212</v>
      </c>
      <c r="I225" t="s">
        <v>1213</v>
      </c>
    </row>
    <row r="226" spans="1:9">
      <c r="A226" t="s">
        <v>1214</v>
      </c>
      <c r="B226" t="s">
        <v>1215</v>
      </c>
      <c r="C226" t="s">
        <v>1214</v>
      </c>
      <c r="D226">
        <v>6331</v>
      </c>
      <c r="F226">
        <v>3842</v>
      </c>
      <c r="G226" t="s">
        <v>788</v>
      </c>
      <c r="H226" t="s">
        <v>1212</v>
      </c>
      <c r="I226" t="s">
        <v>1216</v>
      </c>
    </row>
    <row r="227" spans="1:9">
      <c r="A227" t="s">
        <v>1217</v>
      </c>
      <c r="B227" t="s">
        <v>1218</v>
      </c>
      <c r="C227" t="s">
        <v>1217</v>
      </c>
      <c r="D227">
        <v>6021</v>
      </c>
      <c r="F227">
        <v>3843</v>
      </c>
      <c r="G227" t="s">
        <v>788</v>
      </c>
      <c r="H227" t="s">
        <v>1212</v>
      </c>
      <c r="I227" t="s">
        <v>1219</v>
      </c>
    </row>
    <row r="228" spans="1:9">
      <c r="A228" t="s">
        <v>1220</v>
      </c>
      <c r="B228" t="s">
        <v>1221</v>
      </c>
      <c r="C228" t="s">
        <v>1220</v>
      </c>
      <c r="D228">
        <v>3949</v>
      </c>
      <c r="F228">
        <v>3844</v>
      </c>
      <c r="G228" t="s">
        <v>788</v>
      </c>
      <c r="H228" t="s">
        <v>1212</v>
      </c>
      <c r="I228" t="s">
        <v>1222</v>
      </c>
    </row>
    <row r="229" spans="1:9">
      <c r="A229" t="s">
        <v>1223</v>
      </c>
      <c r="B229" t="s">
        <v>1224</v>
      </c>
      <c r="C229" t="s">
        <v>1223</v>
      </c>
      <c r="D229">
        <v>8200</v>
      </c>
      <c r="F229">
        <v>3845</v>
      </c>
      <c r="G229" t="s">
        <v>788</v>
      </c>
      <c r="H229" t="s">
        <v>1212</v>
      </c>
      <c r="I229" t="s">
        <v>1225</v>
      </c>
    </row>
    <row r="230" spans="1:9">
      <c r="A230" t="s">
        <v>1226</v>
      </c>
      <c r="B230" t="s">
        <v>1227</v>
      </c>
      <c r="C230" t="s">
        <v>1226</v>
      </c>
      <c r="D230">
        <v>6510</v>
      </c>
      <c r="F230">
        <v>3851</v>
      </c>
      <c r="G230" t="s">
        <v>788</v>
      </c>
      <c r="H230" t="s">
        <v>1212</v>
      </c>
      <c r="I230" t="s">
        <v>1228</v>
      </c>
    </row>
    <row r="231" spans="1:9">
      <c r="A231" t="s">
        <v>1229</v>
      </c>
      <c r="B231" t="s">
        <v>1230</v>
      </c>
      <c r="C231" t="s">
        <v>1229</v>
      </c>
      <c r="D231">
        <v>1220</v>
      </c>
      <c r="F231">
        <v>3861</v>
      </c>
      <c r="G231" t="s">
        <v>703</v>
      </c>
      <c r="H231" t="s">
        <v>696</v>
      </c>
      <c r="I231" t="s">
        <v>1231</v>
      </c>
    </row>
    <row r="232" spans="1:9">
      <c r="A232" t="s">
        <v>1232</v>
      </c>
      <c r="B232" t="s">
        <v>1233</v>
      </c>
      <c r="C232" t="s">
        <v>1232</v>
      </c>
      <c r="D232">
        <v>8071</v>
      </c>
      <c r="F232">
        <v>3873</v>
      </c>
      <c r="G232" t="s">
        <v>703</v>
      </c>
      <c r="H232" t="s">
        <v>696</v>
      </c>
      <c r="I232" t="s">
        <v>1234</v>
      </c>
    </row>
    <row r="233" spans="1:9">
      <c r="A233" t="s">
        <v>1235</v>
      </c>
      <c r="B233" t="s">
        <v>1236</v>
      </c>
      <c r="C233" t="s">
        <v>1235</v>
      </c>
      <c r="D233">
        <v>7372</v>
      </c>
      <c r="F233">
        <v>3910</v>
      </c>
      <c r="G233" t="s">
        <v>695</v>
      </c>
      <c r="H233" t="s">
        <v>696</v>
      </c>
      <c r="I233" t="s">
        <v>1237</v>
      </c>
    </row>
    <row r="234" spans="1:9">
      <c r="A234" t="s">
        <v>1238</v>
      </c>
      <c r="B234" t="s">
        <v>1239</v>
      </c>
      <c r="C234" t="s">
        <v>1238</v>
      </c>
      <c r="D234">
        <v>4941</v>
      </c>
      <c r="F234">
        <v>3911</v>
      </c>
      <c r="G234" t="s">
        <v>695</v>
      </c>
      <c r="H234" t="s">
        <v>696</v>
      </c>
      <c r="I234" t="s">
        <v>1240</v>
      </c>
    </row>
    <row r="235" spans="1:9">
      <c r="A235" t="s">
        <v>1241</v>
      </c>
      <c r="B235" t="s">
        <v>1242</v>
      </c>
      <c r="C235" t="s">
        <v>1241</v>
      </c>
      <c r="D235">
        <v>3621</v>
      </c>
      <c r="F235">
        <v>3931</v>
      </c>
      <c r="G235" t="s">
        <v>695</v>
      </c>
      <c r="H235" t="s">
        <v>520</v>
      </c>
      <c r="I235" t="s">
        <v>1243</v>
      </c>
    </row>
    <row r="236" spans="1:9">
      <c r="A236" t="s">
        <v>1244</v>
      </c>
      <c r="B236" t="s">
        <v>1245</v>
      </c>
      <c r="C236" t="s">
        <v>1244</v>
      </c>
      <c r="D236">
        <v>6798</v>
      </c>
      <c r="F236">
        <v>3942</v>
      </c>
      <c r="G236" t="s">
        <v>505</v>
      </c>
      <c r="H236" t="s">
        <v>520</v>
      </c>
      <c r="I236" t="s">
        <v>1246</v>
      </c>
    </row>
    <row r="237" spans="1:9">
      <c r="A237" t="s">
        <v>1247</v>
      </c>
      <c r="B237" t="s">
        <v>1248</v>
      </c>
      <c r="C237" t="s">
        <v>1247</v>
      </c>
      <c r="D237">
        <v>2870</v>
      </c>
      <c r="F237">
        <v>3944</v>
      </c>
      <c r="G237" t="s">
        <v>505</v>
      </c>
      <c r="H237" t="s">
        <v>520</v>
      </c>
      <c r="I237" t="s">
        <v>1249</v>
      </c>
    </row>
    <row r="238" spans="1:9">
      <c r="A238" t="s">
        <v>1250</v>
      </c>
      <c r="B238" t="s">
        <v>1251</v>
      </c>
      <c r="C238" t="s">
        <v>1250</v>
      </c>
      <c r="D238">
        <v>4941</v>
      </c>
      <c r="F238">
        <v>3949</v>
      </c>
      <c r="G238" t="s">
        <v>505</v>
      </c>
      <c r="H238" t="s">
        <v>520</v>
      </c>
      <c r="I238" t="s">
        <v>1252</v>
      </c>
    </row>
    <row r="239" spans="1:9">
      <c r="A239" t="s">
        <v>1253</v>
      </c>
      <c r="B239" t="s">
        <v>1254</v>
      </c>
      <c r="C239" t="s">
        <v>1253</v>
      </c>
      <c r="D239">
        <v>7389</v>
      </c>
      <c r="F239">
        <v>3950</v>
      </c>
      <c r="G239" t="s">
        <v>505</v>
      </c>
      <c r="H239" t="s">
        <v>704</v>
      </c>
      <c r="I239" t="s">
        <v>1255</v>
      </c>
    </row>
    <row r="240" spans="1:9">
      <c r="A240" t="s">
        <v>1256</v>
      </c>
      <c r="B240" t="s">
        <v>1257</v>
      </c>
      <c r="C240" t="s">
        <v>1256</v>
      </c>
      <c r="D240">
        <v>2430</v>
      </c>
      <c r="F240">
        <v>3960</v>
      </c>
      <c r="G240" t="s">
        <v>505</v>
      </c>
      <c r="H240" t="s">
        <v>696</v>
      </c>
      <c r="I240" t="s">
        <v>1258</v>
      </c>
    </row>
    <row r="241" spans="1:9">
      <c r="A241" t="s">
        <v>1259</v>
      </c>
      <c r="B241" t="s">
        <v>1260</v>
      </c>
      <c r="C241" t="s">
        <v>1259</v>
      </c>
      <c r="D241">
        <v>8742</v>
      </c>
      <c r="F241">
        <v>3990</v>
      </c>
      <c r="G241" t="s">
        <v>695</v>
      </c>
      <c r="H241" t="s">
        <v>1261</v>
      </c>
      <c r="I241" t="s">
        <v>1262</v>
      </c>
    </row>
    <row r="242" spans="1:9">
      <c r="A242" t="s">
        <v>1263</v>
      </c>
      <c r="B242" t="s">
        <v>1264</v>
      </c>
      <c r="C242" t="s">
        <v>1263</v>
      </c>
      <c r="D242">
        <v>5500</v>
      </c>
      <c r="F242">
        <v>4011</v>
      </c>
      <c r="G242" t="s">
        <v>524</v>
      </c>
      <c r="H242" t="s">
        <v>1265</v>
      </c>
      <c r="I242" t="s">
        <v>1266</v>
      </c>
    </row>
    <row r="243" spans="1:9">
      <c r="A243" t="s">
        <v>1267</v>
      </c>
      <c r="B243" t="s">
        <v>1268</v>
      </c>
      <c r="C243" t="s">
        <v>1267</v>
      </c>
      <c r="D243">
        <v>6798</v>
      </c>
      <c r="F243">
        <v>4013</v>
      </c>
      <c r="G243" t="s">
        <v>524</v>
      </c>
      <c r="H243" t="s">
        <v>1265</v>
      </c>
      <c r="I243" t="s">
        <v>1269</v>
      </c>
    </row>
    <row r="244" spans="1:9">
      <c r="A244" t="s">
        <v>1270</v>
      </c>
      <c r="B244" t="s">
        <v>1271</v>
      </c>
      <c r="C244" t="s">
        <v>1270</v>
      </c>
      <c r="D244">
        <v>6282</v>
      </c>
      <c r="F244">
        <v>4100</v>
      </c>
      <c r="G244" t="s">
        <v>524</v>
      </c>
      <c r="H244" t="s">
        <v>1265</v>
      </c>
      <c r="I244" t="s">
        <v>1272</v>
      </c>
    </row>
    <row r="245" spans="1:9">
      <c r="A245" t="s">
        <v>1273</v>
      </c>
      <c r="B245" t="s">
        <v>1274</v>
      </c>
      <c r="C245" t="s">
        <v>1273</v>
      </c>
      <c r="D245">
        <v>6022</v>
      </c>
      <c r="F245">
        <v>4210</v>
      </c>
      <c r="G245" t="s">
        <v>524</v>
      </c>
      <c r="H245" t="s">
        <v>1265</v>
      </c>
      <c r="I245" t="s">
        <v>1275</v>
      </c>
    </row>
    <row r="246" spans="1:9">
      <c r="A246" t="s">
        <v>1276</v>
      </c>
      <c r="B246" t="s">
        <v>1277</v>
      </c>
      <c r="C246" t="s">
        <v>1276</v>
      </c>
      <c r="D246">
        <v>6331</v>
      </c>
      <c r="F246">
        <v>4213</v>
      </c>
      <c r="G246" t="s">
        <v>524</v>
      </c>
      <c r="H246" t="s">
        <v>1265</v>
      </c>
      <c r="I246" t="s">
        <v>1278</v>
      </c>
    </row>
    <row r="247" spans="1:9">
      <c r="A247" t="s">
        <v>1279</v>
      </c>
      <c r="B247" t="s">
        <v>1280</v>
      </c>
      <c r="C247" t="s">
        <v>1279</v>
      </c>
      <c r="D247">
        <v>6021</v>
      </c>
      <c r="F247">
        <v>4220</v>
      </c>
      <c r="G247" t="s">
        <v>524</v>
      </c>
      <c r="H247" t="s">
        <v>758</v>
      </c>
      <c r="I247" t="s">
        <v>1281</v>
      </c>
    </row>
    <row r="248" spans="1:9">
      <c r="A248" t="s">
        <v>1282</v>
      </c>
      <c r="B248" t="s">
        <v>1283</v>
      </c>
      <c r="C248" t="s">
        <v>1282</v>
      </c>
      <c r="D248">
        <v>5122</v>
      </c>
      <c r="F248">
        <v>4231</v>
      </c>
      <c r="G248" t="s">
        <v>524</v>
      </c>
      <c r="H248" t="s">
        <v>1265</v>
      </c>
      <c r="I248" t="s">
        <v>1284</v>
      </c>
    </row>
    <row r="249" spans="1:9">
      <c r="A249" t="s">
        <v>1285</v>
      </c>
      <c r="B249" t="s">
        <v>1286</v>
      </c>
      <c r="C249" t="s">
        <v>1285</v>
      </c>
      <c r="D249">
        <v>6021</v>
      </c>
      <c r="F249">
        <v>4400</v>
      </c>
      <c r="G249" t="s">
        <v>524</v>
      </c>
      <c r="H249" t="s">
        <v>1265</v>
      </c>
      <c r="I249" t="s">
        <v>1287</v>
      </c>
    </row>
    <row r="250" spans="1:9">
      <c r="A250" t="s">
        <v>1288</v>
      </c>
      <c r="B250" t="s">
        <v>1289</v>
      </c>
      <c r="C250" t="s">
        <v>1288</v>
      </c>
      <c r="D250">
        <v>3823</v>
      </c>
      <c r="F250">
        <v>4412</v>
      </c>
      <c r="G250" t="s">
        <v>524</v>
      </c>
      <c r="H250" t="s">
        <v>1265</v>
      </c>
      <c r="I250" t="s">
        <v>1290</v>
      </c>
    </row>
    <row r="251" spans="1:9">
      <c r="A251" t="s">
        <v>1291</v>
      </c>
      <c r="B251" t="s">
        <v>1292</v>
      </c>
      <c r="C251" t="s">
        <v>1291</v>
      </c>
      <c r="D251">
        <v>2836</v>
      </c>
      <c r="F251">
        <v>4512</v>
      </c>
      <c r="G251" t="s">
        <v>524</v>
      </c>
      <c r="H251" t="s">
        <v>1265</v>
      </c>
      <c r="I251" t="s">
        <v>1293</v>
      </c>
    </row>
    <row r="252" spans="1:9">
      <c r="A252" t="s">
        <v>1294</v>
      </c>
      <c r="B252" t="s">
        <v>1295</v>
      </c>
      <c r="C252" t="s">
        <v>1294</v>
      </c>
      <c r="D252">
        <v>2834</v>
      </c>
      <c r="F252">
        <v>4513</v>
      </c>
      <c r="G252" t="s">
        <v>524</v>
      </c>
      <c r="H252" t="s">
        <v>1265</v>
      </c>
      <c r="I252" t="s">
        <v>1296</v>
      </c>
    </row>
    <row r="253" spans="1:9">
      <c r="A253" t="s">
        <v>1297</v>
      </c>
      <c r="B253" t="s">
        <v>1298</v>
      </c>
      <c r="C253" t="s">
        <v>1297</v>
      </c>
      <c r="D253">
        <v>3674</v>
      </c>
      <c r="F253">
        <v>4522</v>
      </c>
      <c r="G253" t="s">
        <v>524</v>
      </c>
      <c r="H253" t="s">
        <v>1265</v>
      </c>
      <c r="I253" t="s">
        <v>1299</v>
      </c>
    </row>
    <row r="254" spans="1:9">
      <c r="A254" t="s">
        <v>1300</v>
      </c>
      <c r="B254" t="s">
        <v>1301</v>
      </c>
      <c r="C254" t="s">
        <v>1300</v>
      </c>
      <c r="D254">
        <v>3480</v>
      </c>
      <c r="F254">
        <v>4581</v>
      </c>
      <c r="G254" t="s">
        <v>524</v>
      </c>
      <c r="H254" t="s">
        <v>1265</v>
      </c>
      <c r="I254" t="s">
        <v>1302</v>
      </c>
    </row>
    <row r="255" spans="1:9">
      <c r="A255" t="s">
        <v>1303</v>
      </c>
      <c r="B255" t="s">
        <v>1304</v>
      </c>
      <c r="C255" t="s">
        <v>1303</v>
      </c>
      <c r="D255">
        <v>7363</v>
      </c>
      <c r="F255">
        <v>4610</v>
      </c>
      <c r="G255" t="s">
        <v>524</v>
      </c>
      <c r="H255" t="s">
        <v>1265</v>
      </c>
      <c r="I255" t="s">
        <v>1305</v>
      </c>
    </row>
    <row r="256" spans="1:9">
      <c r="A256" t="s">
        <v>1306</v>
      </c>
      <c r="B256" t="s">
        <v>1307</v>
      </c>
      <c r="C256" t="s">
        <v>1306</v>
      </c>
      <c r="D256">
        <v>2834</v>
      </c>
      <c r="F256">
        <v>4700</v>
      </c>
      <c r="G256" t="s">
        <v>524</v>
      </c>
      <c r="H256" t="s">
        <v>1265</v>
      </c>
      <c r="I256" t="s">
        <v>1308</v>
      </c>
    </row>
    <row r="257" spans="1:9">
      <c r="A257" t="s">
        <v>1309</v>
      </c>
      <c r="B257" t="s">
        <v>1310</v>
      </c>
      <c r="C257" t="s">
        <v>1309</v>
      </c>
      <c r="D257">
        <v>3561</v>
      </c>
      <c r="F257">
        <v>4731</v>
      </c>
      <c r="G257" t="s">
        <v>524</v>
      </c>
      <c r="H257" t="s">
        <v>1265</v>
      </c>
      <c r="I257" t="s">
        <v>1311</v>
      </c>
    </row>
    <row r="258" spans="1:9">
      <c r="A258" t="s">
        <v>1312</v>
      </c>
      <c r="B258" t="s">
        <v>1313</v>
      </c>
      <c r="C258" t="s">
        <v>1312</v>
      </c>
      <c r="D258">
        <v>2834</v>
      </c>
      <c r="F258">
        <v>4812</v>
      </c>
      <c r="G258" t="s">
        <v>1314</v>
      </c>
      <c r="H258" t="s">
        <v>1315</v>
      </c>
      <c r="I258" t="s">
        <v>1316</v>
      </c>
    </row>
    <row r="259" spans="1:9">
      <c r="A259" t="s">
        <v>1317</v>
      </c>
      <c r="B259" t="s">
        <v>1318</v>
      </c>
      <c r="C259" t="s">
        <v>1317</v>
      </c>
      <c r="D259">
        <v>3678</v>
      </c>
      <c r="F259">
        <v>4813</v>
      </c>
      <c r="G259" t="s">
        <v>1314</v>
      </c>
      <c r="H259" t="s">
        <v>1315</v>
      </c>
      <c r="I259" t="s">
        <v>1319</v>
      </c>
    </row>
    <row r="260" spans="1:9">
      <c r="A260" t="s">
        <v>1320</v>
      </c>
      <c r="B260" t="s">
        <v>1321</v>
      </c>
      <c r="C260" t="s">
        <v>1320</v>
      </c>
      <c r="D260">
        <v>1311</v>
      </c>
      <c r="F260">
        <v>4822</v>
      </c>
      <c r="G260" t="s">
        <v>1314</v>
      </c>
      <c r="H260" t="s">
        <v>1315</v>
      </c>
      <c r="I260" t="s">
        <v>1322</v>
      </c>
    </row>
    <row r="261" spans="1:9">
      <c r="A261" t="s">
        <v>1323</v>
      </c>
      <c r="B261" t="s">
        <v>1324</v>
      </c>
      <c r="C261" t="s">
        <v>1323</v>
      </c>
      <c r="D261">
        <v>7372</v>
      </c>
      <c r="F261">
        <v>4832</v>
      </c>
      <c r="G261" t="s">
        <v>1314</v>
      </c>
      <c r="H261" t="s">
        <v>1315</v>
      </c>
      <c r="I261" t="s">
        <v>1325</v>
      </c>
    </row>
    <row r="262" spans="1:9">
      <c r="A262" t="s">
        <v>1326</v>
      </c>
      <c r="B262" t="s">
        <v>1327</v>
      </c>
      <c r="C262" t="s">
        <v>1326</v>
      </c>
      <c r="D262">
        <v>2721</v>
      </c>
      <c r="F262">
        <v>4833</v>
      </c>
      <c r="G262" t="s">
        <v>1314</v>
      </c>
      <c r="H262" t="s">
        <v>1315</v>
      </c>
      <c r="I262" t="s">
        <v>1328</v>
      </c>
    </row>
    <row r="263" spans="1:9">
      <c r="A263" t="s">
        <v>1329</v>
      </c>
      <c r="B263" t="s">
        <v>1330</v>
      </c>
      <c r="C263" t="s">
        <v>1329</v>
      </c>
      <c r="D263">
        <v>3559</v>
      </c>
      <c r="F263">
        <v>4841</v>
      </c>
      <c r="G263" t="s">
        <v>1314</v>
      </c>
      <c r="H263" t="s">
        <v>1315</v>
      </c>
      <c r="I263" t="s">
        <v>1331</v>
      </c>
    </row>
    <row r="264" spans="1:9">
      <c r="A264" t="s">
        <v>1332</v>
      </c>
      <c r="B264" t="s">
        <v>1333</v>
      </c>
      <c r="C264" t="s">
        <v>1332</v>
      </c>
      <c r="D264">
        <v>2860</v>
      </c>
      <c r="F264">
        <v>4899</v>
      </c>
      <c r="G264" t="s">
        <v>1314</v>
      </c>
      <c r="H264" t="s">
        <v>1315</v>
      </c>
      <c r="I264" t="s">
        <v>1334</v>
      </c>
    </row>
    <row r="265" spans="1:9">
      <c r="A265" t="s">
        <v>1335</v>
      </c>
      <c r="B265" t="s">
        <v>1336</v>
      </c>
      <c r="C265" t="s">
        <v>1335</v>
      </c>
      <c r="D265">
        <v>3674</v>
      </c>
      <c r="F265">
        <v>4900</v>
      </c>
      <c r="G265" t="s">
        <v>1337</v>
      </c>
      <c r="H265" t="s">
        <v>1337</v>
      </c>
      <c r="I265" t="s">
        <v>1338</v>
      </c>
    </row>
    <row r="266" spans="1:9">
      <c r="A266" t="s">
        <v>1339</v>
      </c>
      <c r="B266" t="s">
        <v>1340</v>
      </c>
      <c r="C266" t="s">
        <v>1339</v>
      </c>
      <c r="D266">
        <v>2834</v>
      </c>
      <c r="F266">
        <v>4911</v>
      </c>
      <c r="G266" t="s">
        <v>1337</v>
      </c>
      <c r="H266" t="s">
        <v>1337</v>
      </c>
      <c r="I266" t="s">
        <v>1341</v>
      </c>
    </row>
    <row r="267" spans="1:9">
      <c r="A267" t="s">
        <v>1342</v>
      </c>
      <c r="B267" t="s">
        <v>1343</v>
      </c>
      <c r="C267" t="s">
        <v>1342</v>
      </c>
      <c r="D267">
        <v>8731</v>
      </c>
      <c r="F267">
        <v>4922</v>
      </c>
      <c r="G267" t="s">
        <v>1337</v>
      </c>
      <c r="H267" t="s">
        <v>1337</v>
      </c>
      <c r="I267" t="s">
        <v>1344</v>
      </c>
    </row>
    <row r="268" spans="1:9">
      <c r="A268" t="s">
        <v>1345</v>
      </c>
      <c r="B268" t="s">
        <v>1346</v>
      </c>
      <c r="C268" t="s">
        <v>1345</v>
      </c>
      <c r="D268">
        <v>5150</v>
      </c>
      <c r="F268">
        <v>4923</v>
      </c>
      <c r="G268" t="s">
        <v>1337</v>
      </c>
      <c r="H268" t="s">
        <v>1337</v>
      </c>
      <c r="I268" t="s">
        <v>1347</v>
      </c>
    </row>
    <row r="269" spans="1:9">
      <c r="A269" t="s">
        <v>1348</v>
      </c>
      <c r="B269" t="s">
        <v>1349</v>
      </c>
      <c r="C269" t="s">
        <v>1348</v>
      </c>
      <c r="D269">
        <v>6500</v>
      </c>
      <c r="F269">
        <v>4924</v>
      </c>
      <c r="G269" t="s">
        <v>1337</v>
      </c>
      <c r="H269" t="s">
        <v>1337</v>
      </c>
      <c r="I269" t="s">
        <v>1350</v>
      </c>
    </row>
    <row r="270" spans="1:9">
      <c r="A270" t="s">
        <v>1351</v>
      </c>
      <c r="B270" t="s">
        <v>1352</v>
      </c>
      <c r="C270" t="s">
        <v>1351</v>
      </c>
      <c r="D270">
        <v>7310</v>
      </c>
      <c r="F270">
        <v>4931</v>
      </c>
      <c r="G270" t="s">
        <v>1337</v>
      </c>
      <c r="H270" t="s">
        <v>1337</v>
      </c>
      <c r="I270" t="s">
        <v>1353</v>
      </c>
    </row>
    <row r="271" spans="1:9">
      <c r="A271" t="s">
        <v>1354</v>
      </c>
      <c r="B271" t="s">
        <v>1355</v>
      </c>
      <c r="C271" t="s">
        <v>1354</v>
      </c>
      <c r="D271">
        <v>3841</v>
      </c>
      <c r="F271">
        <v>4932</v>
      </c>
      <c r="G271" t="s">
        <v>1337</v>
      </c>
      <c r="H271" t="s">
        <v>1337</v>
      </c>
      <c r="I271" t="s">
        <v>1356</v>
      </c>
    </row>
    <row r="272" spans="1:9">
      <c r="A272" t="s">
        <v>1357</v>
      </c>
      <c r="B272" t="s">
        <v>1358</v>
      </c>
      <c r="C272" t="s">
        <v>1357</v>
      </c>
      <c r="D272">
        <v>2834</v>
      </c>
      <c r="F272">
        <v>4941</v>
      </c>
      <c r="G272" t="s">
        <v>1337</v>
      </c>
      <c r="H272" t="s">
        <v>1337</v>
      </c>
      <c r="I272" t="s">
        <v>1359</v>
      </c>
    </row>
    <row r="273" spans="1:9">
      <c r="A273" t="s">
        <v>1360</v>
      </c>
      <c r="B273" t="s">
        <v>1361</v>
      </c>
      <c r="C273" t="s">
        <v>1360</v>
      </c>
      <c r="D273">
        <v>2834</v>
      </c>
      <c r="F273">
        <v>4950</v>
      </c>
      <c r="G273" t="s">
        <v>524</v>
      </c>
      <c r="H273" t="s">
        <v>1261</v>
      </c>
      <c r="I273" t="s">
        <v>1362</v>
      </c>
    </row>
    <row r="274" spans="1:9">
      <c r="A274" t="s">
        <v>1363</v>
      </c>
      <c r="B274" t="s">
        <v>1364</v>
      </c>
      <c r="C274" t="s">
        <v>1363</v>
      </c>
      <c r="D274">
        <v>3841</v>
      </c>
      <c r="F274">
        <v>4953</v>
      </c>
      <c r="G274" t="s">
        <v>524</v>
      </c>
      <c r="H274" t="s">
        <v>1261</v>
      </c>
      <c r="I274" t="s">
        <v>1365</v>
      </c>
    </row>
    <row r="275" spans="1:9">
      <c r="A275" t="s">
        <v>1366</v>
      </c>
      <c r="B275" t="s">
        <v>1367</v>
      </c>
      <c r="C275" t="s">
        <v>1366</v>
      </c>
      <c r="D275">
        <v>6798</v>
      </c>
      <c r="F275">
        <v>4955</v>
      </c>
      <c r="G275" t="s">
        <v>524</v>
      </c>
      <c r="H275" t="s">
        <v>1261</v>
      </c>
      <c r="I275" t="s">
        <v>1368</v>
      </c>
    </row>
    <row r="276" spans="1:9">
      <c r="A276" t="s">
        <v>1369</v>
      </c>
      <c r="B276" t="s">
        <v>1370</v>
      </c>
      <c r="C276" t="s">
        <v>1369</v>
      </c>
      <c r="D276">
        <v>7372</v>
      </c>
      <c r="F276">
        <v>4961</v>
      </c>
      <c r="G276" t="s">
        <v>524</v>
      </c>
      <c r="H276" t="s">
        <v>1261</v>
      </c>
      <c r="I276" t="s">
        <v>1371</v>
      </c>
    </row>
    <row r="277" spans="1:9">
      <c r="A277" t="s">
        <v>1372</v>
      </c>
      <c r="B277" t="s">
        <v>1373</v>
      </c>
      <c r="C277" t="s">
        <v>1372</v>
      </c>
      <c r="D277">
        <v>4813</v>
      </c>
      <c r="F277">
        <v>4991</v>
      </c>
      <c r="G277" t="s">
        <v>524</v>
      </c>
      <c r="H277" t="s">
        <v>1261</v>
      </c>
      <c r="I277" t="s">
        <v>1374</v>
      </c>
    </row>
    <row r="278" spans="1:9">
      <c r="A278" t="s">
        <v>1375</v>
      </c>
      <c r="B278" t="s">
        <v>1376</v>
      </c>
      <c r="C278" t="s">
        <v>1375</v>
      </c>
      <c r="D278">
        <v>4922</v>
      </c>
      <c r="F278">
        <v>5000</v>
      </c>
      <c r="G278" t="s">
        <v>1377</v>
      </c>
      <c r="H278" t="s">
        <v>1378</v>
      </c>
      <c r="I278" t="s">
        <v>1379</v>
      </c>
    </row>
    <row r="279" spans="1:9">
      <c r="A279" t="s">
        <v>1380</v>
      </c>
      <c r="B279" t="s">
        <v>1381</v>
      </c>
      <c r="C279" t="s">
        <v>1380</v>
      </c>
      <c r="D279">
        <v>1311</v>
      </c>
      <c r="F279">
        <v>5010</v>
      </c>
      <c r="G279" t="s">
        <v>1377</v>
      </c>
      <c r="H279" t="s">
        <v>1378</v>
      </c>
      <c r="I279" t="s">
        <v>1382</v>
      </c>
    </row>
    <row r="280" spans="1:9">
      <c r="A280" t="s">
        <v>1383</v>
      </c>
      <c r="B280" t="s">
        <v>1384</v>
      </c>
      <c r="C280" t="s">
        <v>1383</v>
      </c>
      <c r="D280">
        <v>6411</v>
      </c>
      <c r="F280">
        <v>5013</v>
      </c>
      <c r="G280" t="s">
        <v>1377</v>
      </c>
      <c r="H280" t="s">
        <v>1378</v>
      </c>
      <c r="I280" t="s">
        <v>1385</v>
      </c>
    </row>
    <row r="281" spans="1:9">
      <c r="A281" t="s">
        <v>1386</v>
      </c>
      <c r="B281" t="s">
        <v>1387</v>
      </c>
      <c r="C281" t="s">
        <v>1386</v>
      </c>
      <c r="D281">
        <v>6798</v>
      </c>
      <c r="F281">
        <v>5020</v>
      </c>
      <c r="G281" t="s">
        <v>1377</v>
      </c>
      <c r="H281" t="s">
        <v>1378</v>
      </c>
      <c r="I281" t="s">
        <v>1388</v>
      </c>
    </row>
    <row r="282" spans="1:9">
      <c r="A282" t="s">
        <v>1389</v>
      </c>
      <c r="B282" t="s">
        <v>1390</v>
      </c>
      <c r="C282" t="s">
        <v>1389</v>
      </c>
      <c r="D282">
        <v>6798</v>
      </c>
      <c r="F282">
        <v>5030</v>
      </c>
      <c r="G282" t="s">
        <v>1377</v>
      </c>
      <c r="H282" t="s">
        <v>1378</v>
      </c>
      <c r="I282" t="s">
        <v>1391</v>
      </c>
    </row>
    <row r="283" spans="1:9">
      <c r="A283" t="s">
        <v>1392</v>
      </c>
      <c r="B283" t="s">
        <v>1393</v>
      </c>
      <c r="C283" t="s">
        <v>1392</v>
      </c>
      <c r="D283">
        <v>2834</v>
      </c>
      <c r="F283">
        <v>5031</v>
      </c>
      <c r="G283" t="s">
        <v>1377</v>
      </c>
      <c r="H283" t="s">
        <v>1378</v>
      </c>
      <c r="I283" t="s">
        <v>1394</v>
      </c>
    </row>
    <row r="284" spans="1:9">
      <c r="A284" t="s">
        <v>1395</v>
      </c>
      <c r="B284" t="s">
        <v>1396</v>
      </c>
      <c r="C284" t="s">
        <v>1395</v>
      </c>
      <c r="D284">
        <v>1700</v>
      </c>
      <c r="F284">
        <v>5040</v>
      </c>
      <c r="G284" t="s">
        <v>1377</v>
      </c>
      <c r="H284" t="s">
        <v>1378</v>
      </c>
      <c r="I284" t="s">
        <v>1397</v>
      </c>
    </row>
    <row r="285" spans="1:9">
      <c r="A285" t="s">
        <v>1398</v>
      </c>
      <c r="B285" t="s">
        <v>1399</v>
      </c>
      <c r="C285" t="s">
        <v>1398</v>
      </c>
      <c r="D285">
        <v>3231</v>
      </c>
      <c r="F285">
        <v>5045</v>
      </c>
      <c r="G285" t="s">
        <v>1377</v>
      </c>
      <c r="H285" t="s">
        <v>1378</v>
      </c>
      <c r="I285" t="s">
        <v>1400</v>
      </c>
    </row>
    <row r="286" spans="1:9">
      <c r="A286" t="s">
        <v>1401</v>
      </c>
      <c r="B286" t="s">
        <v>1402</v>
      </c>
      <c r="C286" t="s">
        <v>1401</v>
      </c>
      <c r="D286">
        <v>6798</v>
      </c>
      <c r="F286">
        <v>5047</v>
      </c>
      <c r="G286" t="s">
        <v>1377</v>
      </c>
      <c r="H286" t="s">
        <v>1378</v>
      </c>
      <c r="I286" t="s">
        <v>1403</v>
      </c>
    </row>
    <row r="287" spans="1:9">
      <c r="A287" t="s">
        <v>1404</v>
      </c>
      <c r="B287" t="s">
        <v>1405</v>
      </c>
      <c r="C287" t="s">
        <v>1404</v>
      </c>
      <c r="D287">
        <v>3841</v>
      </c>
      <c r="F287">
        <v>5050</v>
      </c>
      <c r="G287" t="s">
        <v>1377</v>
      </c>
      <c r="H287" t="s">
        <v>1378</v>
      </c>
      <c r="I287" t="s">
        <v>1406</v>
      </c>
    </row>
    <row r="288" spans="1:9">
      <c r="A288" t="s">
        <v>1407</v>
      </c>
      <c r="B288" t="s">
        <v>1408</v>
      </c>
      <c r="C288" t="s">
        <v>1407</v>
      </c>
      <c r="D288">
        <v>8742</v>
      </c>
      <c r="F288">
        <v>5051</v>
      </c>
      <c r="G288" t="s">
        <v>1377</v>
      </c>
      <c r="H288" t="s">
        <v>1378</v>
      </c>
      <c r="I288" t="s">
        <v>1409</v>
      </c>
    </row>
    <row r="289" spans="1:9">
      <c r="A289" t="s">
        <v>1410</v>
      </c>
      <c r="B289" t="s">
        <v>1411</v>
      </c>
      <c r="C289" t="s">
        <v>1410</v>
      </c>
      <c r="D289">
        <v>7372</v>
      </c>
      <c r="F289">
        <v>5063</v>
      </c>
      <c r="G289" t="s">
        <v>1377</v>
      </c>
      <c r="H289" t="s">
        <v>1378</v>
      </c>
      <c r="I289" t="s">
        <v>1412</v>
      </c>
    </row>
    <row r="290" spans="1:9">
      <c r="A290" t="s">
        <v>1413</v>
      </c>
      <c r="B290" t="s">
        <v>1414</v>
      </c>
      <c r="C290" t="s">
        <v>1413</v>
      </c>
      <c r="D290">
        <v>7372</v>
      </c>
      <c r="F290">
        <v>5064</v>
      </c>
      <c r="G290" t="s">
        <v>1377</v>
      </c>
      <c r="H290" t="s">
        <v>1378</v>
      </c>
      <c r="I290" t="s">
        <v>1415</v>
      </c>
    </row>
    <row r="291" spans="1:9">
      <c r="A291" t="s">
        <v>1416</v>
      </c>
      <c r="B291" t="s">
        <v>1417</v>
      </c>
      <c r="C291" t="s">
        <v>1416</v>
      </c>
      <c r="D291">
        <v>7372</v>
      </c>
      <c r="F291">
        <v>5065</v>
      </c>
      <c r="G291" t="s">
        <v>1377</v>
      </c>
      <c r="H291" t="s">
        <v>1378</v>
      </c>
      <c r="I291" t="s">
        <v>1418</v>
      </c>
    </row>
    <row r="292" spans="1:9">
      <c r="A292" t="s">
        <v>1419</v>
      </c>
      <c r="B292" t="s">
        <v>1420</v>
      </c>
      <c r="C292" t="s">
        <v>1419</v>
      </c>
      <c r="D292">
        <v>6798</v>
      </c>
      <c r="F292">
        <v>5070</v>
      </c>
      <c r="G292" t="s">
        <v>1377</v>
      </c>
      <c r="H292" t="s">
        <v>1378</v>
      </c>
      <c r="I292" t="s">
        <v>1421</v>
      </c>
    </row>
    <row r="293" spans="1:9">
      <c r="A293" t="s">
        <v>483</v>
      </c>
      <c r="B293" t="s">
        <v>484</v>
      </c>
      <c r="C293" t="s">
        <v>483</v>
      </c>
      <c r="D293">
        <v>3571</v>
      </c>
      <c r="F293">
        <v>5072</v>
      </c>
      <c r="G293" t="s">
        <v>1377</v>
      </c>
      <c r="H293" t="s">
        <v>1378</v>
      </c>
      <c r="I293" t="s">
        <v>1422</v>
      </c>
    </row>
    <row r="294" spans="1:9">
      <c r="A294" t="s">
        <v>1423</v>
      </c>
      <c r="B294" t="s">
        <v>1424</v>
      </c>
      <c r="C294" t="s">
        <v>1423</v>
      </c>
      <c r="D294">
        <v>2836</v>
      </c>
      <c r="F294">
        <v>5080</v>
      </c>
      <c r="G294" t="s">
        <v>1377</v>
      </c>
      <c r="H294" t="s">
        <v>1378</v>
      </c>
      <c r="I294" t="s">
        <v>1425</v>
      </c>
    </row>
    <row r="295" spans="1:9">
      <c r="A295" t="s">
        <v>1426</v>
      </c>
      <c r="B295" t="s">
        <v>1427</v>
      </c>
      <c r="C295" t="s">
        <v>1426</v>
      </c>
      <c r="D295">
        <v>5080</v>
      </c>
      <c r="F295">
        <v>5082</v>
      </c>
      <c r="G295" t="s">
        <v>1377</v>
      </c>
      <c r="H295" t="s">
        <v>1378</v>
      </c>
      <c r="I295" t="s">
        <v>1428</v>
      </c>
    </row>
    <row r="296" spans="1:9">
      <c r="A296" t="s">
        <v>1429</v>
      </c>
      <c r="B296" t="s">
        <v>1430</v>
      </c>
      <c r="C296" t="s">
        <v>1429</v>
      </c>
      <c r="D296">
        <v>3674</v>
      </c>
      <c r="F296">
        <v>5084</v>
      </c>
      <c r="G296" t="s">
        <v>1377</v>
      </c>
      <c r="H296" t="s">
        <v>1378</v>
      </c>
      <c r="I296" t="s">
        <v>1431</v>
      </c>
    </row>
    <row r="297" spans="1:9">
      <c r="A297" t="s">
        <v>1432</v>
      </c>
      <c r="B297" t="s">
        <v>1433</v>
      </c>
      <c r="C297" t="s">
        <v>1432</v>
      </c>
      <c r="D297">
        <v>3674</v>
      </c>
      <c r="F297">
        <v>5090</v>
      </c>
      <c r="G297" t="s">
        <v>1377</v>
      </c>
      <c r="H297" t="s">
        <v>1378</v>
      </c>
      <c r="I297" t="s">
        <v>1434</v>
      </c>
    </row>
    <row r="298" spans="1:9">
      <c r="A298" t="s">
        <v>1435</v>
      </c>
      <c r="B298" t="s">
        <v>1436</v>
      </c>
      <c r="C298" t="s">
        <v>1435</v>
      </c>
      <c r="D298">
        <v>3640</v>
      </c>
      <c r="F298">
        <v>5094</v>
      </c>
      <c r="G298" t="s">
        <v>1377</v>
      </c>
      <c r="H298" t="s">
        <v>1378</v>
      </c>
      <c r="I298" t="s">
        <v>1437</v>
      </c>
    </row>
    <row r="299" spans="1:9">
      <c r="A299" t="s">
        <v>1438</v>
      </c>
      <c r="B299" t="s">
        <v>1439</v>
      </c>
      <c r="C299" t="s">
        <v>1438</v>
      </c>
      <c r="D299">
        <v>7370</v>
      </c>
      <c r="F299">
        <v>5099</v>
      </c>
      <c r="G299" t="s">
        <v>1377</v>
      </c>
      <c r="H299" t="s">
        <v>1378</v>
      </c>
      <c r="I299" t="s">
        <v>1440</v>
      </c>
    </row>
    <row r="300" spans="1:9">
      <c r="A300" t="s">
        <v>1441</v>
      </c>
      <c r="B300" t="s">
        <v>1442</v>
      </c>
      <c r="C300" t="s">
        <v>1441</v>
      </c>
      <c r="D300">
        <v>3089</v>
      </c>
      <c r="F300">
        <v>5110</v>
      </c>
      <c r="G300" t="s">
        <v>1377</v>
      </c>
      <c r="H300" t="s">
        <v>1378</v>
      </c>
      <c r="I300" t="s">
        <v>1443</v>
      </c>
    </row>
    <row r="301" spans="1:9">
      <c r="A301" t="s">
        <v>1444</v>
      </c>
      <c r="B301" t="s">
        <v>1445</v>
      </c>
      <c r="C301" t="s">
        <v>1444</v>
      </c>
      <c r="D301">
        <v>2834</v>
      </c>
      <c r="F301">
        <v>5122</v>
      </c>
      <c r="G301" t="s">
        <v>1377</v>
      </c>
      <c r="H301" t="s">
        <v>1378</v>
      </c>
      <c r="I301" t="s">
        <v>1446</v>
      </c>
    </row>
    <row r="302" spans="1:9">
      <c r="A302" t="s">
        <v>1447</v>
      </c>
      <c r="B302" t="s">
        <v>1448</v>
      </c>
      <c r="C302" t="s">
        <v>1447</v>
      </c>
      <c r="D302">
        <v>2834</v>
      </c>
      <c r="F302">
        <v>5130</v>
      </c>
      <c r="G302" t="s">
        <v>1377</v>
      </c>
      <c r="H302" t="s">
        <v>1378</v>
      </c>
      <c r="I302" t="s">
        <v>1449</v>
      </c>
    </row>
    <row r="303" spans="1:9">
      <c r="A303" t="s">
        <v>1450</v>
      </c>
      <c r="B303" t="s">
        <v>1451</v>
      </c>
      <c r="C303" t="s">
        <v>1450</v>
      </c>
      <c r="D303">
        <v>3714</v>
      </c>
      <c r="F303">
        <v>5140</v>
      </c>
      <c r="G303" t="s">
        <v>1377</v>
      </c>
      <c r="H303" t="s">
        <v>1378</v>
      </c>
      <c r="I303" t="s">
        <v>1452</v>
      </c>
    </row>
    <row r="304" spans="1:9">
      <c r="A304" t="s">
        <v>1453</v>
      </c>
      <c r="B304" t="s">
        <v>1454</v>
      </c>
      <c r="C304" t="s">
        <v>1453</v>
      </c>
      <c r="D304">
        <v>3841</v>
      </c>
      <c r="F304">
        <v>5141</v>
      </c>
      <c r="G304" t="s">
        <v>1377</v>
      </c>
      <c r="H304" t="s">
        <v>1378</v>
      </c>
      <c r="I304" t="s">
        <v>1455</v>
      </c>
    </row>
    <row r="305" spans="1:9">
      <c r="A305" t="s">
        <v>1456</v>
      </c>
      <c r="B305" t="s">
        <v>1457</v>
      </c>
      <c r="C305" t="s">
        <v>1456</v>
      </c>
      <c r="D305">
        <v>3341</v>
      </c>
      <c r="F305">
        <v>5150</v>
      </c>
      <c r="G305" t="s">
        <v>1377</v>
      </c>
      <c r="H305" t="s">
        <v>1378</v>
      </c>
      <c r="I305" t="s">
        <v>1458</v>
      </c>
    </row>
    <row r="306" spans="1:9">
      <c r="A306" t="s">
        <v>1459</v>
      </c>
      <c r="B306" t="s">
        <v>1460</v>
      </c>
      <c r="C306" t="s">
        <v>1459</v>
      </c>
      <c r="D306">
        <v>900</v>
      </c>
      <c r="F306">
        <v>5160</v>
      </c>
      <c r="G306" t="s">
        <v>1377</v>
      </c>
      <c r="H306" t="s">
        <v>1378</v>
      </c>
      <c r="I306" t="s">
        <v>1461</v>
      </c>
    </row>
    <row r="307" spans="1:9">
      <c r="A307" t="s">
        <v>1462</v>
      </c>
      <c r="B307" t="s">
        <v>1463</v>
      </c>
      <c r="C307" t="s">
        <v>1462</v>
      </c>
      <c r="D307">
        <v>2834</v>
      </c>
      <c r="F307">
        <v>5171</v>
      </c>
      <c r="G307" t="s">
        <v>1377</v>
      </c>
      <c r="H307" t="s">
        <v>1378</v>
      </c>
      <c r="I307" t="s">
        <v>1464</v>
      </c>
    </row>
    <row r="308" spans="1:9">
      <c r="A308" t="s">
        <v>1465</v>
      </c>
      <c r="B308" t="s">
        <v>1466</v>
      </c>
      <c r="C308" t="s">
        <v>1465</v>
      </c>
      <c r="D308">
        <v>5812</v>
      </c>
      <c r="F308">
        <v>5172</v>
      </c>
      <c r="G308" t="s">
        <v>1377</v>
      </c>
      <c r="H308" t="s">
        <v>1378</v>
      </c>
      <c r="I308" t="s">
        <v>1467</v>
      </c>
    </row>
    <row r="309" spans="1:9">
      <c r="A309" t="s">
        <v>1468</v>
      </c>
      <c r="B309" t="s">
        <v>1469</v>
      </c>
      <c r="C309" t="s">
        <v>1468</v>
      </c>
      <c r="D309">
        <v>2834</v>
      </c>
      <c r="F309">
        <v>5180</v>
      </c>
      <c r="G309" t="s">
        <v>1377</v>
      </c>
      <c r="H309" t="s">
        <v>1378</v>
      </c>
      <c r="I309" t="s">
        <v>1470</v>
      </c>
    </row>
    <row r="310" spans="1:9">
      <c r="A310" t="s">
        <v>1471</v>
      </c>
      <c r="B310" t="s">
        <v>1472</v>
      </c>
      <c r="C310" t="s">
        <v>1471</v>
      </c>
      <c r="D310">
        <v>6798</v>
      </c>
      <c r="F310">
        <v>5190</v>
      </c>
      <c r="G310" t="s">
        <v>1377</v>
      </c>
      <c r="H310" t="s">
        <v>1378</v>
      </c>
      <c r="I310" t="s">
        <v>1473</v>
      </c>
    </row>
    <row r="311" spans="1:9">
      <c r="A311" t="s">
        <v>1474</v>
      </c>
      <c r="B311" t="s">
        <v>1475</v>
      </c>
      <c r="C311" t="s">
        <v>1474</v>
      </c>
      <c r="D311">
        <v>2834</v>
      </c>
      <c r="F311">
        <v>5200</v>
      </c>
      <c r="G311" t="s">
        <v>1377</v>
      </c>
      <c r="H311" t="s">
        <v>1476</v>
      </c>
      <c r="I311" t="s">
        <v>1477</v>
      </c>
    </row>
    <row r="312" spans="1:9">
      <c r="A312" t="s">
        <v>1478</v>
      </c>
      <c r="B312" t="s">
        <v>1479</v>
      </c>
      <c r="C312" t="s">
        <v>1478</v>
      </c>
      <c r="D312">
        <v>7330</v>
      </c>
      <c r="F312">
        <v>5211</v>
      </c>
      <c r="G312" t="s">
        <v>1377</v>
      </c>
      <c r="H312" t="s">
        <v>1476</v>
      </c>
      <c r="I312" t="s">
        <v>1480</v>
      </c>
    </row>
    <row r="313" spans="1:9">
      <c r="A313" t="s">
        <v>1481</v>
      </c>
      <c r="B313" t="s">
        <v>1482</v>
      </c>
      <c r="C313" t="s">
        <v>1481</v>
      </c>
      <c r="D313">
        <v>100</v>
      </c>
      <c r="F313">
        <v>5271</v>
      </c>
      <c r="G313" t="s">
        <v>1377</v>
      </c>
      <c r="H313" t="s">
        <v>1476</v>
      </c>
      <c r="I313" t="s">
        <v>1483</v>
      </c>
    </row>
    <row r="314" spans="1:9">
      <c r="A314" t="s">
        <v>1484</v>
      </c>
      <c r="B314" t="s">
        <v>1485</v>
      </c>
      <c r="C314" t="s">
        <v>1484</v>
      </c>
      <c r="D314">
        <v>4213</v>
      </c>
      <c r="F314">
        <v>5311</v>
      </c>
      <c r="G314" t="s">
        <v>1377</v>
      </c>
      <c r="H314" t="s">
        <v>1476</v>
      </c>
      <c r="I314" t="s">
        <v>1486</v>
      </c>
    </row>
    <row r="315" spans="1:9">
      <c r="A315" t="s">
        <v>1487</v>
      </c>
      <c r="B315" t="s">
        <v>1488</v>
      </c>
      <c r="C315" t="s">
        <v>1487</v>
      </c>
      <c r="D315">
        <v>6331</v>
      </c>
      <c r="F315">
        <v>5331</v>
      </c>
      <c r="G315" t="s">
        <v>1377</v>
      </c>
      <c r="H315" t="s">
        <v>1476</v>
      </c>
      <c r="I315" t="s">
        <v>1489</v>
      </c>
    </row>
    <row r="316" spans="1:9">
      <c r="A316" t="s">
        <v>1490</v>
      </c>
      <c r="B316" t="s">
        <v>1491</v>
      </c>
      <c r="C316" t="s">
        <v>1490</v>
      </c>
      <c r="D316">
        <v>1221</v>
      </c>
      <c r="F316">
        <v>5399</v>
      </c>
      <c r="G316" t="s">
        <v>1377</v>
      </c>
      <c r="H316" t="s">
        <v>1476</v>
      </c>
      <c r="I316" t="s">
        <v>1492</v>
      </c>
    </row>
    <row r="317" spans="1:9">
      <c r="A317" t="s">
        <v>1493</v>
      </c>
      <c r="B317" t="s">
        <v>1494</v>
      </c>
      <c r="C317" t="s">
        <v>1493</v>
      </c>
      <c r="D317">
        <v>4932</v>
      </c>
      <c r="F317">
        <v>5400</v>
      </c>
      <c r="G317" t="s">
        <v>1377</v>
      </c>
      <c r="H317" t="s">
        <v>1476</v>
      </c>
      <c r="I317" t="s">
        <v>1495</v>
      </c>
    </row>
    <row r="318" spans="1:9">
      <c r="A318" t="s">
        <v>1496</v>
      </c>
      <c r="B318" t="s">
        <v>1497</v>
      </c>
      <c r="C318" t="s">
        <v>1496</v>
      </c>
      <c r="D318">
        <v>2070</v>
      </c>
      <c r="F318">
        <v>5411</v>
      </c>
      <c r="G318" t="s">
        <v>1377</v>
      </c>
      <c r="H318" t="s">
        <v>1476</v>
      </c>
      <c r="I318" t="s">
        <v>1498</v>
      </c>
    </row>
    <row r="319" spans="1:9">
      <c r="A319" t="s">
        <v>1499</v>
      </c>
      <c r="B319" t="s">
        <v>1500</v>
      </c>
      <c r="C319" t="s">
        <v>1499</v>
      </c>
      <c r="D319">
        <v>4922</v>
      </c>
      <c r="F319">
        <v>5412</v>
      </c>
      <c r="G319" t="s">
        <v>1377</v>
      </c>
      <c r="H319" t="s">
        <v>1476</v>
      </c>
      <c r="I319" t="s">
        <v>1501</v>
      </c>
    </row>
    <row r="320" spans="1:9">
      <c r="A320" t="s">
        <v>1502</v>
      </c>
      <c r="B320" t="s">
        <v>1503</v>
      </c>
      <c r="C320" t="s">
        <v>1502</v>
      </c>
      <c r="D320">
        <v>3751</v>
      </c>
      <c r="F320">
        <v>5500</v>
      </c>
      <c r="G320" t="s">
        <v>1377</v>
      </c>
      <c r="H320" t="s">
        <v>1476</v>
      </c>
      <c r="I320" t="s">
        <v>1504</v>
      </c>
    </row>
    <row r="321" spans="1:9">
      <c r="A321" t="s">
        <v>1505</v>
      </c>
      <c r="B321" t="s">
        <v>1506</v>
      </c>
      <c r="C321" t="s">
        <v>1505</v>
      </c>
      <c r="D321">
        <v>3350</v>
      </c>
      <c r="F321">
        <v>5531</v>
      </c>
      <c r="G321" t="s">
        <v>1377</v>
      </c>
      <c r="H321" t="s">
        <v>1476</v>
      </c>
      <c r="I321" t="s">
        <v>1507</v>
      </c>
    </row>
    <row r="322" spans="1:9">
      <c r="A322" t="s">
        <v>1508</v>
      </c>
      <c r="B322" t="s">
        <v>1509</v>
      </c>
      <c r="C322" t="s">
        <v>1508</v>
      </c>
      <c r="D322">
        <v>5812</v>
      </c>
      <c r="F322">
        <v>5600</v>
      </c>
      <c r="G322" t="s">
        <v>1377</v>
      </c>
      <c r="H322" t="s">
        <v>1476</v>
      </c>
      <c r="I322" t="s">
        <v>1510</v>
      </c>
    </row>
    <row r="323" spans="1:9">
      <c r="A323" t="s">
        <v>1511</v>
      </c>
      <c r="B323" t="s">
        <v>1512</v>
      </c>
      <c r="C323" t="s">
        <v>1511</v>
      </c>
      <c r="D323">
        <v>3440</v>
      </c>
      <c r="F323">
        <v>5621</v>
      </c>
      <c r="G323" t="s">
        <v>1377</v>
      </c>
      <c r="H323" t="s">
        <v>1476</v>
      </c>
      <c r="I323" t="s">
        <v>1513</v>
      </c>
    </row>
    <row r="324" spans="1:9">
      <c r="A324" t="s">
        <v>1514</v>
      </c>
      <c r="B324" t="s">
        <v>1515</v>
      </c>
      <c r="C324" t="s">
        <v>1514</v>
      </c>
      <c r="D324">
        <v>2834</v>
      </c>
      <c r="F324">
        <v>5651</v>
      </c>
      <c r="G324" t="s">
        <v>1377</v>
      </c>
      <c r="H324" t="s">
        <v>1476</v>
      </c>
      <c r="I324" t="s">
        <v>1516</v>
      </c>
    </row>
    <row r="325" spans="1:9">
      <c r="A325" t="s">
        <v>1517</v>
      </c>
      <c r="B325" t="s">
        <v>1518</v>
      </c>
      <c r="C325" t="s">
        <v>1517</v>
      </c>
      <c r="D325">
        <v>2834</v>
      </c>
      <c r="F325">
        <v>5661</v>
      </c>
      <c r="G325" t="s">
        <v>1377</v>
      </c>
      <c r="H325" t="s">
        <v>1476</v>
      </c>
      <c r="I325" t="s">
        <v>1519</v>
      </c>
    </row>
    <row r="326" spans="1:9">
      <c r="A326" t="s">
        <v>1520</v>
      </c>
      <c r="B326" t="s">
        <v>1521</v>
      </c>
      <c r="C326" t="s">
        <v>1520</v>
      </c>
      <c r="D326">
        <v>2834</v>
      </c>
      <c r="F326">
        <v>5700</v>
      </c>
      <c r="G326" t="s">
        <v>1377</v>
      </c>
      <c r="H326" t="s">
        <v>1476</v>
      </c>
      <c r="I326" t="s">
        <v>1522</v>
      </c>
    </row>
    <row r="327" spans="1:9">
      <c r="A327" t="s">
        <v>1523</v>
      </c>
      <c r="B327" t="s">
        <v>1524</v>
      </c>
      <c r="C327" t="s">
        <v>1523</v>
      </c>
      <c r="D327">
        <v>4412</v>
      </c>
      <c r="F327">
        <v>5712</v>
      </c>
      <c r="G327" t="s">
        <v>1377</v>
      </c>
      <c r="H327" t="s">
        <v>1476</v>
      </c>
      <c r="I327" t="s">
        <v>1525</v>
      </c>
    </row>
    <row r="328" spans="1:9">
      <c r="A328" t="s">
        <v>1526</v>
      </c>
      <c r="B328" t="s">
        <v>1527</v>
      </c>
      <c r="C328" t="s">
        <v>1526</v>
      </c>
      <c r="D328">
        <v>6798</v>
      </c>
      <c r="F328">
        <v>5731</v>
      </c>
      <c r="G328" t="s">
        <v>1377</v>
      </c>
      <c r="H328" t="s">
        <v>1476</v>
      </c>
      <c r="I328" t="s">
        <v>1528</v>
      </c>
    </row>
    <row r="329" spans="1:9">
      <c r="A329" t="s">
        <v>1529</v>
      </c>
      <c r="B329" t="s">
        <v>1530</v>
      </c>
      <c r="C329" t="s">
        <v>1529</v>
      </c>
      <c r="D329">
        <v>6282</v>
      </c>
      <c r="F329">
        <v>5734</v>
      </c>
      <c r="G329" t="s">
        <v>1377</v>
      </c>
      <c r="H329" t="s">
        <v>1476</v>
      </c>
      <c r="I329" t="s">
        <v>1531</v>
      </c>
    </row>
    <row r="330" spans="1:9">
      <c r="A330" t="s">
        <v>1532</v>
      </c>
      <c r="B330" t="s">
        <v>1533</v>
      </c>
      <c r="C330" t="s">
        <v>1532</v>
      </c>
      <c r="D330">
        <v>1700</v>
      </c>
      <c r="F330">
        <v>5735</v>
      </c>
      <c r="G330" t="s">
        <v>1377</v>
      </c>
      <c r="H330" t="s">
        <v>1476</v>
      </c>
      <c r="I330" t="s">
        <v>1534</v>
      </c>
    </row>
    <row r="331" spans="1:9">
      <c r="A331" t="s">
        <v>1535</v>
      </c>
      <c r="B331" t="s">
        <v>1536</v>
      </c>
      <c r="C331" t="s">
        <v>1535</v>
      </c>
      <c r="D331">
        <v>6361</v>
      </c>
      <c r="F331">
        <v>5810</v>
      </c>
      <c r="G331" t="s">
        <v>1377</v>
      </c>
      <c r="H331" t="s">
        <v>1537</v>
      </c>
      <c r="I331" t="s">
        <v>1538</v>
      </c>
    </row>
    <row r="332" spans="1:9">
      <c r="A332" t="s">
        <v>1539</v>
      </c>
      <c r="B332" t="s">
        <v>1540</v>
      </c>
      <c r="C332" t="s">
        <v>1539</v>
      </c>
      <c r="D332">
        <v>5712</v>
      </c>
      <c r="F332">
        <v>5812</v>
      </c>
      <c r="G332" t="s">
        <v>1377</v>
      </c>
      <c r="H332" t="s">
        <v>1537</v>
      </c>
      <c r="I332" t="s">
        <v>1541</v>
      </c>
    </row>
    <row r="333" spans="1:9">
      <c r="A333" t="s">
        <v>1542</v>
      </c>
      <c r="B333" t="s">
        <v>1543</v>
      </c>
      <c r="C333" t="s">
        <v>1542</v>
      </c>
      <c r="D333">
        <v>2834</v>
      </c>
      <c r="F333">
        <v>5900</v>
      </c>
      <c r="G333" t="s">
        <v>1377</v>
      </c>
      <c r="H333" t="s">
        <v>1476</v>
      </c>
      <c r="I333" t="s">
        <v>1544</v>
      </c>
    </row>
    <row r="334" spans="1:9">
      <c r="A334" t="s">
        <v>1545</v>
      </c>
      <c r="B334" t="s">
        <v>1546</v>
      </c>
      <c r="C334" t="s">
        <v>1545</v>
      </c>
      <c r="D334">
        <v>1389</v>
      </c>
      <c r="F334">
        <v>5912</v>
      </c>
      <c r="G334" t="s">
        <v>1377</v>
      </c>
      <c r="H334" t="s">
        <v>1476</v>
      </c>
      <c r="I334" t="s">
        <v>1547</v>
      </c>
    </row>
    <row r="335" spans="1:9">
      <c r="A335" t="s">
        <v>1548</v>
      </c>
      <c r="B335" t="s">
        <v>1549</v>
      </c>
      <c r="C335" t="s">
        <v>1548</v>
      </c>
      <c r="D335">
        <v>3576</v>
      </c>
      <c r="F335">
        <v>5940</v>
      </c>
      <c r="G335" t="s">
        <v>1377</v>
      </c>
      <c r="H335" t="s">
        <v>1476</v>
      </c>
      <c r="I335" t="s">
        <v>1550</v>
      </c>
    </row>
    <row r="336" spans="1:9">
      <c r="A336" t="s">
        <v>1551</v>
      </c>
      <c r="B336" t="s">
        <v>1552</v>
      </c>
      <c r="C336" t="s">
        <v>1551</v>
      </c>
      <c r="D336">
        <v>5812</v>
      </c>
      <c r="F336">
        <v>5944</v>
      </c>
      <c r="G336" t="s">
        <v>1377</v>
      </c>
      <c r="H336" t="s">
        <v>1476</v>
      </c>
      <c r="I336" t="s">
        <v>1553</v>
      </c>
    </row>
    <row r="337" spans="1:9">
      <c r="A337" t="s">
        <v>1554</v>
      </c>
      <c r="B337" t="s">
        <v>1555</v>
      </c>
      <c r="C337" t="s">
        <v>1554</v>
      </c>
      <c r="D337">
        <v>5412</v>
      </c>
      <c r="F337">
        <v>5945</v>
      </c>
      <c r="G337" t="s">
        <v>1377</v>
      </c>
      <c r="H337" t="s">
        <v>1476</v>
      </c>
      <c r="I337" t="s">
        <v>1556</v>
      </c>
    </row>
    <row r="338" spans="1:9">
      <c r="A338" t="s">
        <v>1557</v>
      </c>
      <c r="B338" t="s">
        <v>1558</v>
      </c>
      <c r="C338" t="s">
        <v>1557</v>
      </c>
      <c r="D338">
        <v>6798</v>
      </c>
      <c r="F338">
        <v>5960</v>
      </c>
      <c r="G338" t="s">
        <v>1377</v>
      </c>
      <c r="H338" t="s">
        <v>1476</v>
      </c>
      <c r="I338" t="s">
        <v>1559</v>
      </c>
    </row>
    <row r="339" spans="1:9">
      <c r="A339" t="s">
        <v>1560</v>
      </c>
      <c r="B339" t="s">
        <v>1561</v>
      </c>
      <c r="C339" t="s">
        <v>1560</v>
      </c>
      <c r="D339">
        <v>3651</v>
      </c>
      <c r="F339">
        <v>5961</v>
      </c>
      <c r="G339" t="s">
        <v>1377</v>
      </c>
      <c r="H339" t="s">
        <v>1476</v>
      </c>
      <c r="I339" t="s">
        <v>1562</v>
      </c>
    </row>
    <row r="340" spans="1:9">
      <c r="A340" t="s">
        <v>1563</v>
      </c>
      <c r="B340" t="s">
        <v>1564</v>
      </c>
      <c r="C340" t="s">
        <v>1563</v>
      </c>
      <c r="D340">
        <v>6500</v>
      </c>
      <c r="F340">
        <v>5990</v>
      </c>
      <c r="G340" t="s">
        <v>1377</v>
      </c>
      <c r="H340" t="s">
        <v>1476</v>
      </c>
      <c r="I340" t="s">
        <v>1565</v>
      </c>
    </row>
    <row r="341" spans="1:9">
      <c r="A341" t="s">
        <v>1566</v>
      </c>
      <c r="B341" t="s">
        <v>1567</v>
      </c>
      <c r="C341" t="s">
        <v>1566</v>
      </c>
      <c r="D341">
        <v>6798</v>
      </c>
      <c r="F341">
        <v>6021</v>
      </c>
      <c r="G341" t="s">
        <v>1568</v>
      </c>
      <c r="H341" t="s">
        <v>1569</v>
      </c>
      <c r="I341" t="s">
        <v>1570</v>
      </c>
    </row>
    <row r="342" spans="1:9">
      <c r="A342" t="s">
        <v>1571</v>
      </c>
      <c r="B342" t="s">
        <v>1572</v>
      </c>
      <c r="C342" t="s">
        <v>1571</v>
      </c>
      <c r="D342">
        <v>3089</v>
      </c>
      <c r="F342">
        <v>6022</v>
      </c>
      <c r="G342" t="s">
        <v>1568</v>
      </c>
      <c r="H342" t="s">
        <v>1569</v>
      </c>
      <c r="I342" t="s">
        <v>1573</v>
      </c>
    </row>
    <row r="343" spans="1:9">
      <c r="A343" t="s">
        <v>1574</v>
      </c>
      <c r="B343" t="s">
        <v>1575</v>
      </c>
      <c r="C343" t="s">
        <v>1574</v>
      </c>
      <c r="D343">
        <v>3990</v>
      </c>
      <c r="F343">
        <v>6029</v>
      </c>
      <c r="G343" t="s">
        <v>1568</v>
      </c>
      <c r="H343" t="s">
        <v>1569</v>
      </c>
      <c r="I343" t="s">
        <v>1576</v>
      </c>
    </row>
    <row r="344" spans="1:9">
      <c r="A344" t="s">
        <v>1577</v>
      </c>
      <c r="B344" t="s">
        <v>1578</v>
      </c>
      <c r="C344" t="s">
        <v>1577</v>
      </c>
      <c r="D344">
        <v>5065</v>
      </c>
      <c r="F344">
        <v>6035</v>
      </c>
      <c r="G344" t="s">
        <v>1568</v>
      </c>
      <c r="H344" t="s">
        <v>1569</v>
      </c>
      <c r="I344" t="s">
        <v>1579</v>
      </c>
    </row>
    <row r="345" spans="1:9">
      <c r="A345" t="s">
        <v>1580</v>
      </c>
      <c r="B345" t="s">
        <v>1581</v>
      </c>
      <c r="C345" t="s">
        <v>1580</v>
      </c>
      <c r="D345">
        <v>6021</v>
      </c>
      <c r="F345">
        <v>6036</v>
      </c>
      <c r="G345" t="s">
        <v>1568</v>
      </c>
      <c r="H345" t="s">
        <v>1569</v>
      </c>
      <c r="I345" t="s">
        <v>1582</v>
      </c>
    </row>
    <row r="346" spans="1:9">
      <c r="A346" t="s">
        <v>1583</v>
      </c>
      <c r="B346" t="s">
        <v>1584</v>
      </c>
      <c r="C346" t="s">
        <v>1583</v>
      </c>
      <c r="D346">
        <v>2834</v>
      </c>
      <c r="F346">
        <v>6099</v>
      </c>
      <c r="G346" t="s">
        <v>1568</v>
      </c>
      <c r="H346" t="s">
        <v>1569</v>
      </c>
      <c r="I346" t="s">
        <v>1585</v>
      </c>
    </row>
    <row r="347" spans="1:9">
      <c r="A347" t="s">
        <v>1586</v>
      </c>
      <c r="B347" t="s">
        <v>1587</v>
      </c>
      <c r="C347" t="s">
        <v>1586</v>
      </c>
      <c r="D347">
        <v>3674</v>
      </c>
      <c r="F347">
        <v>6111</v>
      </c>
      <c r="G347" t="s">
        <v>1568</v>
      </c>
      <c r="H347" t="s">
        <v>1569</v>
      </c>
      <c r="I347" t="s">
        <v>1588</v>
      </c>
    </row>
    <row r="348" spans="1:9">
      <c r="A348" t="s">
        <v>1589</v>
      </c>
      <c r="B348" t="s">
        <v>1590</v>
      </c>
      <c r="C348" t="s">
        <v>1589</v>
      </c>
      <c r="D348">
        <v>4941</v>
      </c>
      <c r="F348">
        <v>6141</v>
      </c>
      <c r="G348" t="s">
        <v>1568</v>
      </c>
      <c r="H348" t="s">
        <v>1569</v>
      </c>
      <c r="I348" t="s">
        <v>1591</v>
      </c>
    </row>
    <row r="349" spans="1:9">
      <c r="A349" t="s">
        <v>1592</v>
      </c>
      <c r="B349" t="s">
        <v>1593</v>
      </c>
      <c r="C349" t="s">
        <v>1592</v>
      </c>
      <c r="D349">
        <v>6411</v>
      </c>
      <c r="F349">
        <v>6153</v>
      </c>
      <c r="G349" t="s">
        <v>1568</v>
      </c>
      <c r="H349" t="s">
        <v>1569</v>
      </c>
      <c r="I349" t="s">
        <v>1594</v>
      </c>
    </row>
    <row r="350" spans="1:9">
      <c r="A350" t="s">
        <v>1595</v>
      </c>
      <c r="B350" t="s">
        <v>1596</v>
      </c>
      <c r="C350" t="s">
        <v>1595</v>
      </c>
      <c r="D350">
        <v>6282</v>
      </c>
      <c r="F350">
        <v>6159</v>
      </c>
      <c r="G350" t="s">
        <v>1568</v>
      </c>
      <c r="H350" t="s">
        <v>1569</v>
      </c>
      <c r="I350" t="s">
        <v>1597</v>
      </c>
    </row>
    <row r="351" spans="1:9">
      <c r="A351" t="s">
        <v>1598</v>
      </c>
      <c r="B351" t="s">
        <v>1599</v>
      </c>
      <c r="C351" t="s">
        <v>1598</v>
      </c>
      <c r="D351">
        <v>3523</v>
      </c>
      <c r="F351">
        <v>6162</v>
      </c>
      <c r="G351" t="s">
        <v>1568</v>
      </c>
      <c r="H351" t="s">
        <v>1569</v>
      </c>
      <c r="I351" t="s">
        <v>1600</v>
      </c>
    </row>
    <row r="352" spans="1:9">
      <c r="A352" t="s">
        <v>1601</v>
      </c>
      <c r="B352" t="s">
        <v>1602</v>
      </c>
      <c r="C352" t="s">
        <v>1601</v>
      </c>
      <c r="D352">
        <v>2834</v>
      </c>
      <c r="F352">
        <v>6163</v>
      </c>
      <c r="G352" t="s">
        <v>1568</v>
      </c>
      <c r="H352" t="s">
        <v>1569</v>
      </c>
      <c r="I352" t="s">
        <v>1603</v>
      </c>
    </row>
    <row r="353" spans="1:9">
      <c r="A353" t="s">
        <v>1604</v>
      </c>
      <c r="B353" t="s">
        <v>1605</v>
      </c>
      <c r="C353" t="s">
        <v>1604</v>
      </c>
      <c r="D353">
        <v>7372</v>
      </c>
      <c r="F353">
        <v>6172</v>
      </c>
      <c r="G353" t="s">
        <v>1568</v>
      </c>
      <c r="H353" t="s">
        <v>1569</v>
      </c>
      <c r="I353" t="s">
        <v>1606</v>
      </c>
    </row>
    <row r="354" spans="1:9">
      <c r="A354" t="s">
        <v>1607</v>
      </c>
      <c r="B354" t="s">
        <v>1608</v>
      </c>
      <c r="C354" t="s">
        <v>1607</v>
      </c>
      <c r="D354">
        <v>5500</v>
      </c>
      <c r="F354">
        <v>6189</v>
      </c>
      <c r="G354" t="s">
        <v>1568</v>
      </c>
      <c r="H354" t="s">
        <v>1261</v>
      </c>
      <c r="I354" t="s">
        <v>1609</v>
      </c>
    </row>
    <row r="355" spans="1:9">
      <c r="A355" t="s">
        <v>1610</v>
      </c>
      <c r="B355" t="s">
        <v>1611</v>
      </c>
      <c r="C355" t="s">
        <v>1610</v>
      </c>
      <c r="D355">
        <v>2833</v>
      </c>
      <c r="F355">
        <v>6199</v>
      </c>
      <c r="G355" t="s">
        <v>1568</v>
      </c>
      <c r="H355" t="s">
        <v>1569</v>
      </c>
      <c r="I355" t="s">
        <v>1612</v>
      </c>
    </row>
    <row r="356" spans="1:9">
      <c r="A356" t="s">
        <v>1613</v>
      </c>
      <c r="B356" t="s">
        <v>1614</v>
      </c>
      <c r="C356" t="s">
        <v>1613</v>
      </c>
      <c r="D356">
        <v>3841</v>
      </c>
      <c r="F356">
        <v>6200</v>
      </c>
      <c r="G356" t="s">
        <v>1568</v>
      </c>
      <c r="H356" t="s">
        <v>1615</v>
      </c>
      <c r="I356" t="s">
        <v>1616</v>
      </c>
    </row>
    <row r="357" spans="1:9">
      <c r="A357" t="s">
        <v>1617</v>
      </c>
      <c r="B357" t="s">
        <v>1618</v>
      </c>
      <c r="C357" t="s">
        <v>1617</v>
      </c>
      <c r="D357">
        <v>7363</v>
      </c>
      <c r="F357">
        <v>6211</v>
      </c>
      <c r="G357" t="s">
        <v>1568</v>
      </c>
      <c r="H357" t="s">
        <v>1615</v>
      </c>
      <c r="I357" t="s">
        <v>1619</v>
      </c>
    </row>
    <row r="358" spans="1:9">
      <c r="A358" t="s">
        <v>1620</v>
      </c>
      <c r="B358" t="s">
        <v>1621</v>
      </c>
      <c r="C358" t="s">
        <v>1620</v>
      </c>
      <c r="D358">
        <v>6798</v>
      </c>
      <c r="F358">
        <v>6221</v>
      </c>
      <c r="G358" t="s">
        <v>1568</v>
      </c>
      <c r="H358" t="s">
        <v>1615</v>
      </c>
      <c r="I358" t="s">
        <v>1622</v>
      </c>
    </row>
    <row r="359" spans="1:9">
      <c r="A359" t="s">
        <v>1623</v>
      </c>
      <c r="B359" t="s">
        <v>1624</v>
      </c>
      <c r="C359" t="s">
        <v>1623</v>
      </c>
      <c r="D359">
        <v>8742</v>
      </c>
      <c r="F359">
        <v>6282</v>
      </c>
      <c r="G359" t="s">
        <v>1568</v>
      </c>
      <c r="H359" t="s">
        <v>1615</v>
      </c>
      <c r="I359" t="s">
        <v>1625</v>
      </c>
    </row>
    <row r="360" spans="1:9">
      <c r="A360" t="s">
        <v>1626</v>
      </c>
      <c r="B360" t="s">
        <v>1627</v>
      </c>
      <c r="C360" t="s">
        <v>1626</v>
      </c>
      <c r="D360">
        <v>5160</v>
      </c>
      <c r="F360">
        <v>6311</v>
      </c>
      <c r="G360" t="s">
        <v>1568</v>
      </c>
      <c r="H360" t="s">
        <v>1628</v>
      </c>
      <c r="I360" t="s">
        <v>1629</v>
      </c>
    </row>
    <row r="361" spans="1:9">
      <c r="A361" t="s">
        <v>1630</v>
      </c>
      <c r="B361" t="s">
        <v>1631</v>
      </c>
      <c r="C361" t="s">
        <v>1630</v>
      </c>
      <c r="D361">
        <v>5030</v>
      </c>
      <c r="F361">
        <v>6321</v>
      </c>
      <c r="G361" t="s">
        <v>1568</v>
      </c>
      <c r="H361" t="s">
        <v>1628</v>
      </c>
      <c r="I361" t="s">
        <v>1632</v>
      </c>
    </row>
    <row r="362" spans="1:9">
      <c r="A362" t="s">
        <v>1633</v>
      </c>
      <c r="B362" t="s">
        <v>1634</v>
      </c>
      <c r="C362" t="s">
        <v>1633</v>
      </c>
      <c r="D362">
        <v>8200</v>
      </c>
      <c r="F362">
        <v>6324</v>
      </c>
      <c r="G362" t="s">
        <v>1568</v>
      </c>
      <c r="H362" t="s">
        <v>1628</v>
      </c>
      <c r="I362" t="s">
        <v>1635</v>
      </c>
    </row>
    <row r="363" spans="1:9">
      <c r="A363" t="s">
        <v>1636</v>
      </c>
      <c r="B363" t="s">
        <v>1637</v>
      </c>
      <c r="C363" t="s">
        <v>1636</v>
      </c>
      <c r="D363">
        <v>6331</v>
      </c>
      <c r="F363">
        <v>6331</v>
      </c>
      <c r="G363" t="s">
        <v>1568</v>
      </c>
      <c r="H363" t="s">
        <v>1628</v>
      </c>
      <c r="I363" t="s">
        <v>1638</v>
      </c>
    </row>
    <row r="364" spans="1:9">
      <c r="A364" t="s">
        <v>1639</v>
      </c>
      <c r="B364" t="s">
        <v>1640</v>
      </c>
      <c r="C364" t="s">
        <v>1639</v>
      </c>
      <c r="D364">
        <v>2835</v>
      </c>
      <c r="F364">
        <v>6351</v>
      </c>
      <c r="G364" t="s">
        <v>1568</v>
      </c>
      <c r="H364" t="s">
        <v>1628</v>
      </c>
      <c r="I364" t="s">
        <v>1641</v>
      </c>
    </row>
    <row r="365" spans="1:9">
      <c r="A365" t="s">
        <v>1642</v>
      </c>
      <c r="B365" t="s">
        <v>1643</v>
      </c>
      <c r="C365" t="s">
        <v>1642</v>
      </c>
      <c r="D365">
        <v>2834</v>
      </c>
      <c r="F365">
        <v>6361</v>
      </c>
      <c r="G365" t="s">
        <v>1568</v>
      </c>
      <c r="H365" t="s">
        <v>1628</v>
      </c>
      <c r="I365" t="s">
        <v>1644</v>
      </c>
    </row>
    <row r="366" spans="1:9">
      <c r="A366" t="s">
        <v>1645</v>
      </c>
      <c r="B366" t="s">
        <v>1646</v>
      </c>
      <c r="C366" t="s">
        <v>1645</v>
      </c>
      <c r="D366">
        <v>2834</v>
      </c>
      <c r="F366">
        <v>6399</v>
      </c>
      <c r="G366" t="s">
        <v>1568</v>
      </c>
      <c r="H366" t="s">
        <v>1628</v>
      </c>
      <c r="I366" t="s">
        <v>1647</v>
      </c>
    </row>
    <row r="367" spans="1:9">
      <c r="A367" t="s">
        <v>1648</v>
      </c>
      <c r="B367" t="s">
        <v>1649</v>
      </c>
      <c r="C367" t="s">
        <v>1648</v>
      </c>
      <c r="D367">
        <v>6282</v>
      </c>
      <c r="F367">
        <v>6411</v>
      </c>
      <c r="G367" t="s">
        <v>1568</v>
      </c>
      <c r="H367" t="s">
        <v>1628</v>
      </c>
      <c r="I367" t="s">
        <v>1650</v>
      </c>
    </row>
    <row r="368" spans="1:9">
      <c r="A368" t="s">
        <v>1651</v>
      </c>
      <c r="B368" t="s">
        <v>1652</v>
      </c>
      <c r="C368" t="s">
        <v>1651</v>
      </c>
      <c r="D368">
        <v>6022</v>
      </c>
      <c r="F368">
        <v>6500</v>
      </c>
      <c r="G368" t="s">
        <v>1568</v>
      </c>
      <c r="H368" t="s">
        <v>1653</v>
      </c>
      <c r="I368" t="s">
        <v>1653</v>
      </c>
    </row>
    <row r="369" spans="1:9">
      <c r="A369" t="s">
        <v>1654</v>
      </c>
      <c r="B369" t="s">
        <v>1655</v>
      </c>
      <c r="C369" t="s">
        <v>1654</v>
      </c>
      <c r="D369">
        <v>6211</v>
      </c>
      <c r="F369">
        <v>6510</v>
      </c>
      <c r="G369" t="s">
        <v>1568</v>
      </c>
      <c r="H369" t="s">
        <v>1653</v>
      </c>
      <c r="I369" t="s">
        <v>1656</v>
      </c>
    </row>
    <row r="370" spans="1:9">
      <c r="A370" t="s">
        <v>1657</v>
      </c>
      <c r="B370" t="s">
        <v>1658</v>
      </c>
      <c r="C370" t="s">
        <v>1657</v>
      </c>
      <c r="D370">
        <v>6399</v>
      </c>
      <c r="F370">
        <v>6512</v>
      </c>
      <c r="G370" t="s">
        <v>1568</v>
      </c>
      <c r="H370" t="s">
        <v>1653</v>
      </c>
      <c r="I370" t="s">
        <v>1659</v>
      </c>
    </row>
    <row r="371" spans="1:9">
      <c r="A371" t="s">
        <v>1660</v>
      </c>
      <c r="B371" t="s">
        <v>1661</v>
      </c>
      <c r="C371" t="s">
        <v>1660</v>
      </c>
      <c r="D371">
        <v>3841</v>
      </c>
      <c r="F371">
        <v>6513</v>
      </c>
      <c r="G371" t="s">
        <v>1568</v>
      </c>
      <c r="H371" t="s">
        <v>1653</v>
      </c>
      <c r="I371" t="s">
        <v>1662</v>
      </c>
    </row>
    <row r="372" spans="1:9">
      <c r="A372" t="s">
        <v>1663</v>
      </c>
      <c r="B372" t="s">
        <v>1664</v>
      </c>
      <c r="C372" t="s">
        <v>1663</v>
      </c>
      <c r="D372">
        <v>6351</v>
      </c>
      <c r="F372">
        <v>6519</v>
      </c>
      <c r="G372" t="s">
        <v>1568</v>
      </c>
      <c r="H372" t="s">
        <v>1653</v>
      </c>
      <c r="I372" t="s">
        <v>1665</v>
      </c>
    </row>
    <row r="373" spans="1:9">
      <c r="A373" t="s">
        <v>1666</v>
      </c>
      <c r="B373" t="s">
        <v>1667</v>
      </c>
      <c r="C373" t="s">
        <v>1666</v>
      </c>
      <c r="D373">
        <v>4899</v>
      </c>
      <c r="F373">
        <v>6531</v>
      </c>
      <c r="G373" t="s">
        <v>1568</v>
      </c>
      <c r="H373" t="s">
        <v>1653</v>
      </c>
      <c r="I373" t="s">
        <v>1668</v>
      </c>
    </row>
    <row r="374" spans="1:9">
      <c r="A374" t="s">
        <v>1669</v>
      </c>
      <c r="B374" t="s">
        <v>1670</v>
      </c>
      <c r="C374" t="s">
        <v>1669</v>
      </c>
      <c r="D374">
        <v>3531</v>
      </c>
      <c r="F374">
        <v>6532</v>
      </c>
      <c r="G374" t="s">
        <v>1568</v>
      </c>
      <c r="H374" t="s">
        <v>1653</v>
      </c>
      <c r="I374" t="s">
        <v>1671</v>
      </c>
    </row>
    <row r="375" spans="1:9">
      <c r="A375" t="s">
        <v>1672</v>
      </c>
      <c r="B375" t="s">
        <v>1673</v>
      </c>
      <c r="C375" t="s">
        <v>1672</v>
      </c>
      <c r="D375">
        <v>3728</v>
      </c>
      <c r="F375">
        <v>6552</v>
      </c>
      <c r="G375" t="s">
        <v>1568</v>
      </c>
      <c r="H375" t="s">
        <v>1653</v>
      </c>
      <c r="I375" t="s">
        <v>1674</v>
      </c>
    </row>
    <row r="376" spans="1:9">
      <c r="A376" t="s">
        <v>1675</v>
      </c>
      <c r="B376" t="s">
        <v>1676</v>
      </c>
      <c r="C376" t="s">
        <v>1675</v>
      </c>
      <c r="D376">
        <v>3577</v>
      </c>
      <c r="F376">
        <v>6770</v>
      </c>
      <c r="G376" t="s">
        <v>1568</v>
      </c>
      <c r="H376" t="s">
        <v>1615</v>
      </c>
      <c r="I376" t="s">
        <v>1677</v>
      </c>
    </row>
    <row r="377" spans="1:9">
      <c r="A377" t="s">
        <v>1678</v>
      </c>
      <c r="B377" t="s">
        <v>1679</v>
      </c>
      <c r="C377" t="s">
        <v>1678</v>
      </c>
      <c r="D377">
        <v>7373</v>
      </c>
      <c r="F377">
        <v>6792</v>
      </c>
      <c r="G377" t="s">
        <v>1568</v>
      </c>
      <c r="H377" t="s">
        <v>1615</v>
      </c>
      <c r="I377" t="s">
        <v>1680</v>
      </c>
    </row>
    <row r="378" spans="1:9">
      <c r="A378" t="s">
        <v>1681</v>
      </c>
      <c r="B378" t="s">
        <v>1682</v>
      </c>
      <c r="C378" t="s">
        <v>1681</v>
      </c>
      <c r="D378">
        <v>4813</v>
      </c>
      <c r="F378">
        <v>6794</v>
      </c>
      <c r="G378" t="s">
        <v>1568</v>
      </c>
      <c r="H378" t="s">
        <v>1615</v>
      </c>
      <c r="I378" t="s">
        <v>1683</v>
      </c>
    </row>
    <row r="379" spans="1:9">
      <c r="A379" t="s">
        <v>1684</v>
      </c>
      <c r="B379" t="s">
        <v>1685</v>
      </c>
      <c r="C379" t="s">
        <v>1684</v>
      </c>
      <c r="D379">
        <v>8200</v>
      </c>
      <c r="F379">
        <v>6795</v>
      </c>
      <c r="G379" t="s">
        <v>1568</v>
      </c>
      <c r="H379" t="s">
        <v>1615</v>
      </c>
      <c r="I379" t="s">
        <v>1686</v>
      </c>
    </row>
    <row r="380" spans="1:9">
      <c r="A380" t="s">
        <v>1687</v>
      </c>
      <c r="B380" t="s">
        <v>1688</v>
      </c>
      <c r="C380" t="s">
        <v>1687</v>
      </c>
      <c r="D380">
        <v>2834</v>
      </c>
      <c r="F380">
        <v>6798</v>
      </c>
      <c r="G380" t="s">
        <v>1568</v>
      </c>
      <c r="H380" t="s">
        <v>1615</v>
      </c>
      <c r="I380" t="s">
        <v>1689</v>
      </c>
    </row>
    <row r="381" spans="1:9">
      <c r="A381" t="s">
        <v>1690</v>
      </c>
      <c r="B381" t="s">
        <v>1691</v>
      </c>
      <c r="C381" t="s">
        <v>1690</v>
      </c>
      <c r="D381">
        <v>2834</v>
      </c>
      <c r="F381">
        <v>6799</v>
      </c>
      <c r="G381" t="s">
        <v>1568</v>
      </c>
      <c r="H381" t="s">
        <v>1615</v>
      </c>
      <c r="I381" t="s">
        <v>1692</v>
      </c>
    </row>
    <row r="382" spans="1:9">
      <c r="A382" t="s">
        <v>1693</v>
      </c>
      <c r="B382" t="s">
        <v>1694</v>
      </c>
      <c r="C382" t="s">
        <v>1693</v>
      </c>
      <c r="D382">
        <v>2834</v>
      </c>
      <c r="F382">
        <v>7000</v>
      </c>
      <c r="G382" t="s">
        <v>1568</v>
      </c>
      <c r="H382" t="s">
        <v>1537</v>
      </c>
      <c r="I382" t="s">
        <v>1695</v>
      </c>
    </row>
    <row r="383" spans="1:9">
      <c r="A383" t="s">
        <v>1696</v>
      </c>
      <c r="B383" t="s">
        <v>1697</v>
      </c>
      <c r="C383" t="s">
        <v>1696</v>
      </c>
      <c r="D383">
        <v>8050</v>
      </c>
      <c r="F383">
        <v>7011</v>
      </c>
      <c r="G383" t="s">
        <v>1568</v>
      </c>
      <c r="H383" t="s">
        <v>1537</v>
      </c>
      <c r="I383" t="s">
        <v>1698</v>
      </c>
    </row>
    <row r="384" spans="1:9">
      <c r="A384" t="s">
        <v>1699</v>
      </c>
      <c r="B384" t="s">
        <v>1700</v>
      </c>
      <c r="C384" t="s">
        <v>1699</v>
      </c>
      <c r="D384">
        <v>8742</v>
      </c>
      <c r="F384">
        <v>7200</v>
      </c>
      <c r="G384" t="s">
        <v>1377</v>
      </c>
      <c r="H384" t="s">
        <v>1701</v>
      </c>
      <c r="I384" t="s">
        <v>1702</v>
      </c>
    </row>
    <row r="385" spans="1:9">
      <c r="A385" t="s">
        <v>1703</v>
      </c>
      <c r="B385" t="s">
        <v>1704</v>
      </c>
      <c r="C385" t="s">
        <v>1703</v>
      </c>
      <c r="D385">
        <v>3690</v>
      </c>
      <c r="F385">
        <v>7310</v>
      </c>
      <c r="G385" t="s">
        <v>524</v>
      </c>
      <c r="H385" t="s">
        <v>758</v>
      </c>
      <c r="I385" t="s">
        <v>1705</v>
      </c>
    </row>
    <row r="386" spans="1:9">
      <c r="A386" t="s">
        <v>1706</v>
      </c>
      <c r="B386" t="s">
        <v>1707</v>
      </c>
      <c r="C386" t="s">
        <v>1706</v>
      </c>
      <c r="D386">
        <v>6311</v>
      </c>
      <c r="F386">
        <v>7311</v>
      </c>
      <c r="G386" t="s">
        <v>524</v>
      </c>
      <c r="H386" t="s">
        <v>758</v>
      </c>
      <c r="I386" t="s">
        <v>1708</v>
      </c>
    </row>
    <row r="387" spans="1:9">
      <c r="A387" t="s">
        <v>1709</v>
      </c>
      <c r="B387" t="s">
        <v>1710</v>
      </c>
      <c r="C387" t="s">
        <v>1709</v>
      </c>
      <c r="D387">
        <v>6022</v>
      </c>
      <c r="F387">
        <v>7320</v>
      </c>
      <c r="G387" t="s">
        <v>524</v>
      </c>
      <c r="H387" t="s">
        <v>758</v>
      </c>
      <c r="I387" t="s">
        <v>1711</v>
      </c>
    </row>
    <row r="388" spans="1:9">
      <c r="A388" t="s">
        <v>1712</v>
      </c>
      <c r="B388" t="s">
        <v>1713</v>
      </c>
      <c r="C388" t="s">
        <v>1712</v>
      </c>
      <c r="D388">
        <v>6141</v>
      </c>
      <c r="F388">
        <v>7330</v>
      </c>
      <c r="G388" t="s">
        <v>524</v>
      </c>
      <c r="H388" t="s">
        <v>758</v>
      </c>
      <c r="I388" t="s">
        <v>1714</v>
      </c>
    </row>
    <row r="389" spans="1:9">
      <c r="A389" t="s">
        <v>1715</v>
      </c>
      <c r="B389" t="s">
        <v>1716</v>
      </c>
      <c r="C389" t="s">
        <v>1715</v>
      </c>
      <c r="D389">
        <v>4522</v>
      </c>
      <c r="F389">
        <v>7331</v>
      </c>
      <c r="G389" t="s">
        <v>524</v>
      </c>
      <c r="H389" t="s">
        <v>758</v>
      </c>
      <c r="I389" t="s">
        <v>1717</v>
      </c>
    </row>
    <row r="390" spans="1:9">
      <c r="A390" t="s">
        <v>1718</v>
      </c>
      <c r="B390" t="s">
        <v>1719</v>
      </c>
      <c r="C390" t="s">
        <v>1718</v>
      </c>
      <c r="D390">
        <v>4412</v>
      </c>
      <c r="F390">
        <v>7340</v>
      </c>
      <c r="G390" t="s">
        <v>524</v>
      </c>
      <c r="H390" t="s">
        <v>758</v>
      </c>
      <c r="I390" t="s">
        <v>1720</v>
      </c>
    </row>
    <row r="391" spans="1:9">
      <c r="A391" t="s">
        <v>1721</v>
      </c>
      <c r="B391" t="s">
        <v>1722</v>
      </c>
      <c r="C391" t="s">
        <v>1721</v>
      </c>
      <c r="D391">
        <v>8742</v>
      </c>
      <c r="F391">
        <v>7350</v>
      </c>
      <c r="G391" t="s">
        <v>524</v>
      </c>
      <c r="H391" t="s">
        <v>758</v>
      </c>
      <c r="I391" t="s">
        <v>1723</v>
      </c>
    </row>
    <row r="392" spans="1:9">
      <c r="A392" t="s">
        <v>1724</v>
      </c>
      <c r="B392" t="s">
        <v>1725</v>
      </c>
      <c r="C392" t="s">
        <v>1724</v>
      </c>
      <c r="D392">
        <v>4924</v>
      </c>
      <c r="F392">
        <v>7359</v>
      </c>
      <c r="G392" t="s">
        <v>524</v>
      </c>
      <c r="H392" t="s">
        <v>758</v>
      </c>
      <c r="I392" t="s">
        <v>1726</v>
      </c>
    </row>
    <row r="393" spans="1:9">
      <c r="A393" t="s">
        <v>1727</v>
      </c>
      <c r="B393" t="s">
        <v>1728</v>
      </c>
      <c r="C393" t="s">
        <v>1727</v>
      </c>
      <c r="D393">
        <v>4813</v>
      </c>
      <c r="F393">
        <v>7361</v>
      </c>
      <c r="G393" t="s">
        <v>524</v>
      </c>
      <c r="H393" t="s">
        <v>758</v>
      </c>
      <c r="I393" t="s">
        <v>1729</v>
      </c>
    </row>
    <row r="394" spans="1:9">
      <c r="A394" t="s">
        <v>1730</v>
      </c>
      <c r="B394" t="s">
        <v>1731</v>
      </c>
      <c r="C394" t="s">
        <v>1730</v>
      </c>
      <c r="D394">
        <v>3674</v>
      </c>
      <c r="F394">
        <v>7363</v>
      </c>
      <c r="G394" t="s">
        <v>524</v>
      </c>
      <c r="H394" t="s">
        <v>758</v>
      </c>
      <c r="I394" t="s">
        <v>1732</v>
      </c>
    </row>
    <row r="395" spans="1:9">
      <c r="A395" t="s">
        <v>1733</v>
      </c>
      <c r="B395" t="s">
        <v>1734</v>
      </c>
      <c r="C395" t="s">
        <v>1733</v>
      </c>
      <c r="D395">
        <v>3841</v>
      </c>
      <c r="F395">
        <v>7370</v>
      </c>
      <c r="G395" t="s">
        <v>1042</v>
      </c>
      <c r="H395" t="s">
        <v>1735</v>
      </c>
      <c r="I395" t="s">
        <v>1736</v>
      </c>
    </row>
    <row r="396" spans="1:9">
      <c r="A396" t="s">
        <v>1737</v>
      </c>
      <c r="B396" t="s">
        <v>1738</v>
      </c>
      <c r="C396" t="s">
        <v>1737</v>
      </c>
      <c r="D396">
        <v>3841</v>
      </c>
      <c r="F396">
        <v>7371</v>
      </c>
      <c r="G396" t="s">
        <v>1042</v>
      </c>
      <c r="H396" t="s">
        <v>1735</v>
      </c>
      <c r="I396" t="s">
        <v>1739</v>
      </c>
    </row>
    <row r="397" spans="1:9">
      <c r="A397" t="s">
        <v>1740</v>
      </c>
      <c r="B397" t="s">
        <v>1741</v>
      </c>
      <c r="C397" t="s">
        <v>1740</v>
      </c>
      <c r="D397">
        <v>2836</v>
      </c>
      <c r="F397">
        <v>7372</v>
      </c>
      <c r="G397" t="s">
        <v>1042</v>
      </c>
      <c r="H397" t="s">
        <v>1735</v>
      </c>
      <c r="I397" t="s">
        <v>1742</v>
      </c>
    </row>
    <row r="398" spans="1:9">
      <c r="A398" t="s">
        <v>1743</v>
      </c>
      <c r="B398" t="s">
        <v>1744</v>
      </c>
      <c r="C398" t="s">
        <v>1743</v>
      </c>
      <c r="D398">
        <v>6022</v>
      </c>
      <c r="F398">
        <v>7373</v>
      </c>
      <c r="G398" t="s">
        <v>1042</v>
      </c>
      <c r="H398" t="s">
        <v>1735</v>
      </c>
      <c r="I398" t="s">
        <v>1745</v>
      </c>
    </row>
    <row r="399" spans="1:9">
      <c r="A399" t="s">
        <v>1746</v>
      </c>
      <c r="B399" t="s">
        <v>1747</v>
      </c>
      <c r="C399" t="s">
        <v>1746</v>
      </c>
      <c r="D399">
        <v>4832</v>
      </c>
      <c r="F399">
        <v>7374</v>
      </c>
      <c r="G399" t="s">
        <v>1042</v>
      </c>
      <c r="H399" t="s">
        <v>758</v>
      </c>
      <c r="I399" t="s">
        <v>1748</v>
      </c>
    </row>
    <row r="400" spans="1:9">
      <c r="A400" t="s">
        <v>1749</v>
      </c>
      <c r="B400" t="s">
        <v>1750</v>
      </c>
      <c r="C400" t="s">
        <v>1749</v>
      </c>
      <c r="D400">
        <v>3661</v>
      </c>
      <c r="F400">
        <v>7377</v>
      </c>
      <c r="G400" t="s">
        <v>1042</v>
      </c>
      <c r="H400" t="s">
        <v>758</v>
      </c>
      <c r="I400" t="s">
        <v>1751</v>
      </c>
    </row>
    <row r="401" spans="1:9">
      <c r="A401" t="s">
        <v>1752</v>
      </c>
      <c r="B401" t="s">
        <v>1753</v>
      </c>
      <c r="C401" t="s">
        <v>1752</v>
      </c>
      <c r="D401">
        <v>7372</v>
      </c>
      <c r="F401">
        <v>7380</v>
      </c>
      <c r="G401" t="s">
        <v>524</v>
      </c>
      <c r="H401" t="s">
        <v>758</v>
      </c>
      <c r="I401" t="s">
        <v>1754</v>
      </c>
    </row>
    <row r="402" spans="1:9">
      <c r="A402" t="s">
        <v>1755</v>
      </c>
      <c r="B402" t="s">
        <v>1756</v>
      </c>
      <c r="C402" t="s">
        <v>1755</v>
      </c>
      <c r="D402">
        <v>7389</v>
      </c>
      <c r="F402">
        <v>7381</v>
      </c>
      <c r="G402" t="s">
        <v>524</v>
      </c>
      <c r="H402" t="s">
        <v>758</v>
      </c>
      <c r="I402" t="s">
        <v>1757</v>
      </c>
    </row>
    <row r="403" spans="1:9">
      <c r="A403" t="s">
        <v>1758</v>
      </c>
      <c r="B403" t="s">
        <v>1759</v>
      </c>
      <c r="C403" t="s">
        <v>1758</v>
      </c>
      <c r="D403">
        <v>2834</v>
      </c>
      <c r="F403">
        <v>7384</v>
      </c>
      <c r="G403" t="s">
        <v>524</v>
      </c>
      <c r="H403" t="s">
        <v>758</v>
      </c>
      <c r="I403" t="s">
        <v>1760</v>
      </c>
    </row>
    <row r="404" spans="1:9">
      <c r="A404" t="s">
        <v>1761</v>
      </c>
      <c r="B404" t="s">
        <v>1762</v>
      </c>
      <c r="C404" t="s">
        <v>1761</v>
      </c>
      <c r="D404">
        <v>7370</v>
      </c>
      <c r="F404">
        <v>7385</v>
      </c>
      <c r="G404" t="s">
        <v>524</v>
      </c>
      <c r="H404" t="s">
        <v>758</v>
      </c>
      <c r="I404" t="s">
        <v>1763</v>
      </c>
    </row>
    <row r="405" spans="1:9">
      <c r="A405" t="s">
        <v>1764</v>
      </c>
      <c r="B405" t="s">
        <v>1765</v>
      </c>
      <c r="C405" t="s">
        <v>1764</v>
      </c>
      <c r="D405">
        <v>7372</v>
      </c>
      <c r="F405">
        <v>7389</v>
      </c>
      <c r="G405" t="s">
        <v>524</v>
      </c>
      <c r="H405" t="s">
        <v>758</v>
      </c>
      <c r="I405" t="s">
        <v>1766</v>
      </c>
    </row>
    <row r="406" spans="1:9">
      <c r="A406" t="s">
        <v>1767</v>
      </c>
      <c r="B406" t="s">
        <v>1768</v>
      </c>
      <c r="C406" t="s">
        <v>1767</v>
      </c>
      <c r="D406">
        <v>7374</v>
      </c>
      <c r="F406">
        <v>7500</v>
      </c>
      <c r="G406" t="s">
        <v>524</v>
      </c>
      <c r="H406" t="s">
        <v>1701</v>
      </c>
      <c r="I406" t="s">
        <v>1769</v>
      </c>
    </row>
    <row r="407" spans="1:9">
      <c r="A407" t="s">
        <v>1770</v>
      </c>
      <c r="B407" t="s">
        <v>1771</v>
      </c>
      <c r="C407" t="s">
        <v>1770</v>
      </c>
      <c r="D407">
        <v>3714</v>
      </c>
      <c r="F407">
        <v>7510</v>
      </c>
      <c r="G407" t="s">
        <v>524</v>
      </c>
      <c r="H407" t="s">
        <v>1701</v>
      </c>
      <c r="I407" t="s">
        <v>1772</v>
      </c>
    </row>
    <row r="408" spans="1:9">
      <c r="A408" t="s">
        <v>1773</v>
      </c>
      <c r="B408" t="s">
        <v>1774</v>
      </c>
      <c r="C408" t="s">
        <v>1773</v>
      </c>
      <c r="D408">
        <v>7374</v>
      </c>
      <c r="F408">
        <v>7600</v>
      </c>
      <c r="G408" t="s">
        <v>1377</v>
      </c>
      <c r="H408" t="s">
        <v>1701</v>
      </c>
      <c r="I408" t="s">
        <v>1775</v>
      </c>
    </row>
    <row r="409" spans="1:9">
      <c r="A409" t="s">
        <v>1776</v>
      </c>
      <c r="B409" t="s">
        <v>1777</v>
      </c>
      <c r="C409" t="s">
        <v>1776</v>
      </c>
      <c r="D409">
        <v>5500</v>
      </c>
      <c r="F409">
        <v>7812</v>
      </c>
      <c r="G409" t="s">
        <v>524</v>
      </c>
      <c r="H409" t="s">
        <v>1778</v>
      </c>
      <c r="I409" t="s">
        <v>1779</v>
      </c>
    </row>
    <row r="410" spans="1:9">
      <c r="A410" t="s">
        <v>1780</v>
      </c>
      <c r="B410" t="s">
        <v>1781</v>
      </c>
      <c r="C410" t="s">
        <v>1780</v>
      </c>
      <c r="D410">
        <v>3829</v>
      </c>
      <c r="F410">
        <v>7819</v>
      </c>
      <c r="G410" t="s">
        <v>524</v>
      </c>
      <c r="H410" t="s">
        <v>1778</v>
      </c>
      <c r="I410" t="s">
        <v>1782</v>
      </c>
    </row>
    <row r="411" spans="1:9">
      <c r="A411" t="s">
        <v>1783</v>
      </c>
      <c r="B411" t="s">
        <v>1784</v>
      </c>
      <c r="C411" t="s">
        <v>1783</v>
      </c>
      <c r="D411">
        <v>5531</v>
      </c>
      <c r="F411">
        <v>7822</v>
      </c>
      <c r="G411" t="s">
        <v>524</v>
      </c>
      <c r="H411" t="s">
        <v>1778</v>
      </c>
      <c r="I411" t="s">
        <v>1785</v>
      </c>
    </row>
    <row r="412" spans="1:9">
      <c r="A412" t="s">
        <v>1786</v>
      </c>
      <c r="B412" t="s">
        <v>1787</v>
      </c>
      <c r="C412" t="s">
        <v>1786</v>
      </c>
      <c r="D412">
        <v>2834</v>
      </c>
      <c r="F412">
        <v>7829</v>
      </c>
      <c r="G412" t="s">
        <v>524</v>
      </c>
      <c r="H412" t="s">
        <v>1778</v>
      </c>
      <c r="I412" t="s">
        <v>1788</v>
      </c>
    </row>
    <row r="413" spans="1:9">
      <c r="A413" t="s">
        <v>1789</v>
      </c>
      <c r="B413" t="s">
        <v>1790</v>
      </c>
      <c r="C413" t="s">
        <v>1789</v>
      </c>
      <c r="D413">
        <v>7372</v>
      </c>
      <c r="F413">
        <v>7830</v>
      </c>
      <c r="G413" t="s">
        <v>524</v>
      </c>
      <c r="H413" t="s">
        <v>1778</v>
      </c>
      <c r="I413" t="s">
        <v>1791</v>
      </c>
    </row>
    <row r="414" spans="1:9">
      <c r="A414" t="s">
        <v>1792</v>
      </c>
      <c r="B414" t="s">
        <v>1793</v>
      </c>
      <c r="C414" t="s">
        <v>1792</v>
      </c>
      <c r="D414">
        <v>2834</v>
      </c>
      <c r="F414">
        <v>7841</v>
      </c>
      <c r="G414" t="s">
        <v>524</v>
      </c>
      <c r="H414" t="s">
        <v>1778</v>
      </c>
      <c r="I414" t="s">
        <v>1794</v>
      </c>
    </row>
    <row r="415" spans="1:9">
      <c r="A415" t="s">
        <v>1795</v>
      </c>
      <c r="B415" t="s">
        <v>1796</v>
      </c>
      <c r="C415" t="s">
        <v>1795</v>
      </c>
      <c r="D415">
        <v>8742</v>
      </c>
      <c r="F415">
        <v>7900</v>
      </c>
      <c r="G415" t="s">
        <v>524</v>
      </c>
      <c r="H415" t="s">
        <v>1778</v>
      </c>
      <c r="I415" t="s">
        <v>1797</v>
      </c>
    </row>
    <row r="416" spans="1:9">
      <c r="A416" t="s">
        <v>1798</v>
      </c>
      <c r="B416" t="s">
        <v>1799</v>
      </c>
      <c r="C416" t="s">
        <v>1798</v>
      </c>
      <c r="D416">
        <v>4953</v>
      </c>
      <c r="F416">
        <v>7948</v>
      </c>
      <c r="G416" t="s">
        <v>524</v>
      </c>
      <c r="H416" t="s">
        <v>1778</v>
      </c>
      <c r="I416" t="s">
        <v>1800</v>
      </c>
    </row>
    <row r="417" spans="1:9">
      <c r="A417" t="s">
        <v>1801</v>
      </c>
      <c r="B417" t="s">
        <v>1802</v>
      </c>
      <c r="C417" t="s">
        <v>1801</v>
      </c>
      <c r="D417">
        <v>6798</v>
      </c>
      <c r="F417">
        <v>7990</v>
      </c>
      <c r="G417" t="s">
        <v>524</v>
      </c>
      <c r="H417" t="s">
        <v>1778</v>
      </c>
      <c r="I417" t="s">
        <v>1803</v>
      </c>
    </row>
    <row r="418" spans="1:9">
      <c r="A418" t="s">
        <v>1804</v>
      </c>
      <c r="B418" t="s">
        <v>1805</v>
      </c>
      <c r="C418" t="s">
        <v>1804</v>
      </c>
      <c r="D418">
        <v>4911</v>
      </c>
      <c r="F418">
        <v>7997</v>
      </c>
      <c r="G418" t="s">
        <v>524</v>
      </c>
      <c r="H418" t="s">
        <v>1778</v>
      </c>
      <c r="I418" t="s">
        <v>1806</v>
      </c>
    </row>
    <row r="419" spans="1:9">
      <c r="A419" t="s">
        <v>1807</v>
      </c>
      <c r="B419" t="s">
        <v>1808</v>
      </c>
      <c r="C419" t="s">
        <v>1807</v>
      </c>
      <c r="D419">
        <v>3842</v>
      </c>
      <c r="F419">
        <v>8000</v>
      </c>
      <c r="G419" t="s">
        <v>788</v>
      </c>
      <c r="H419" t="s">
        <v>788</v>
      </c>
      <c r="I419" t="s">
        <v>1809</v>
      </c>
    </row>
    <row r="420" spans="1:9">
      <c r="A420" t="s">
        <v>1810</v>
      </c>
      <c r="B420" t="s">
        <v>1811</v>
      </c>
      <c r="C420" t="s">
        <v>1810</v>
      </c>
      <c r="D420">
        <v>3826</v>
      </c>
      <c r="F420">
        <v>8011</v>
      </c>
      <c r="G420" t="s">
        <v>788</v>
      </c>
      <c r="H420" t="s">
        <v>788</v>
      </c>
      <c r="I420" t="s">
        <v>1812</v>
      </c>
    </row>
    <row r="421" spans="1:9">
      <c r="A421" t="s">
        <v>1813</v>
      </c>
      <c r="B421" t="s">
        <v>1814</v>
      </c>
      <c r="C421" t="s">
        <v>1813</v>
      </c>
      <c r="D421">
        <v>3661</v>
      </c>
      <c r="F421">
        <v>8050</v>
      </c>
      <c r="G421" t="s">
        <v>788</v>
      </c>
      <c r="H421" t="s">
        <v>788</v>
      </c>
      <c r="I421" t="s">
        <v>1815</v>
      </c>
    </row>
    <row r="422" spans="1:9">
      <c r="A422" t="s">
        <v>1816</v>
      </c>
      <c r="B422" t="s">
        <v>1817</v>
      </c>
      <c r="C422" t="s">
        <v>1816</v>
      </c>
      <c r="D422">
        <v>8082</v>
      </c>
      <c r="F422">
        <v>8051</v>
      </c>
      <c r="G422" t="s">
        <v>788</v>
      </c>
      <c r="H422" t="s">
        <v>788</v>
      </c>
      <c r="I422" t="s">
        <v>1818</v>
      </c>
    </row>
    <row r="423" spans="1:9">
      <c r="A423" t="s">
        <v>1819</v>
      </c>
      <c r="B423" t="s">
        <v>1820</v>
      </c>
      <c r="C423" t="s">
        <v>1819</v>
      </c>
      <c r="D423">
        <v>2834</v>
      </c>
      <c r="F423">
        <v>8060</v>
      </c>
      <c r="G423" t="s">
        <v>788</v>
      </c>
      <c r="H423" t="s">
        <v>788</v>
      </c>
      <c r="I423" t="s">
        <v>1821</v>
      </c>
    </row>
    <row r="424" spans="1:9">
      <c r="A424" t="s">
        <v>1822</v>
      </c>
      <c r="B424" t="s">
        <v>1823</v>
      </c>
      <c r="C424" t="s">
        <v>1822</v>
      </c>
      <c r="D424">
        <v>7372</v>
      </c>
      <c r="F424">
        <v>8062</v>
      </c>
      <c r="G424" t="s">
        <v>788</v>
      </c>
      <c r="H424" t="s">
        <v>788</v>
      </c>
      <c r="I424" t="s">
        <v>1824</v>
      </c>
    </row>
    <row r="425" spans="1:9">
      <c r="A425" t="s">
        <v>1825</v>
      </c>
      <c r="B425" t="s">
        <v>1826</v>
      </c>
      <c r="C425" t="s">
        <v>1825</v>
      </c>
      <c r="D425">
        <v>2670</v>
      </c>
      <c r="F425">
        <v>8071</v>
      </c>
      <c r="G425" t="s">
        <v>788</v>
      </c>
      <c r="H425" t="s">
        <v>788</v>
      </c>
      <c r="I425" t="s">
        <v>1827</v>
      </c>
    </row>
    <row r="426" spans="1:9">
      <c r="A426" t="s">
        <v>1828</v>
      </c>
      <c r="B426" t="s">
        <v>1829</v>
      </c>
      <c r="C426" t="s">
        <v>1828</v>
      </c>
      <c r="D426">
        <v>3663</v>
      </c>
      <c r="F426">
        <v>8082</v>
      </c>
      <c r="G426" t="s">
        <v>788</v>
      </c>
      <c r="H426" t="s">
        <v>788</v>
      </c>
      <c r="I426" t="s">
        <v>1830</v>
      </c>
    </row>
    <row r="427" spans="1:9">
      <c r="A427" t="s">
        <v>1831</v>
      </c>
      <c r="B427" t="s">
        <v>1832</v>
      </c>
      <c r="C427" t="s">
        <v>1831</v>
      </c>
      <c r="D427">
        <v>2834</v>
      </c>
      <c r="F427">
        <v>8090</v>
      </c>
      <c r="G427" t="s">
        <v>788</v>
      </c>
      <c r="H427" t="s">
        <v>788</v>
      </c>
      <c r="I427" t="s">
        <v>1833</v>
      </c>
    </row>
    <row r="428" spans="1:9">
      <c r="A428" t="s">
        <v>1834</v>
      </c>
      <c r="B428" t="s">
        <v>1835</v>
      </c>
      <c r="C428" t="s">
        <v>1834</v>
      </c>
      <c r="D428">
        <v>7372</v>
      </c>
      <c r="F428">
        <v>8093</v>
      </c>
      <c r="G428" t="s">
        <v>788</v>
      </c>
      <c r="H428" t="s">
        <v>788</v>
      </c>
      <c r="I428" t="s">
        <v>1836</v>
      </c>
    </row>
    <row r="429" spans="1:9">
      <c r="A429" t="s">
        <v>1837</v>
      </c>
      <c r="B429" t="s">
        <v>1838</v>
      </c>
      <c r="C429" t="s">
        <v>1837</v>
      </c>
      <c r="D429">
        <v>2834</v>
      </c>
      <c r="F429">
        <v>8111</v>
      </c>
      <c r="G429" t="s">
        <v>524</v>
      </c>
      <c r="H429" t="s">
        <v>1701</v>
      </c>
      <c r="I429" t="s">
        <v>1839</v>
      </c>
    </row>
    <row r="430" spans="1:9">
      <c r="A430" t="s">
        <v>1840</v>
      </c>
      <c r="B430" t="s">
        <v>1841</v>
      </c>
      <c r="C430" t="s">
        <v>1840</v>
      </c>
      <c r="D430">
        <v>7372</v>
      </c>
      <c r="F430">
        <v>8200</v>
      </c>
      <c r="G430" t="s">
        <v>524</v>
      </c>
      <c r="H430" t="s">
        <v>1701</v>
      </c>
      <c r="I430" t="s">
        <v>1842</v>
      </c>
    </row>
    <row r="431" spans="1:9">
      <c r="A431" t="s">
        <v>1843</v>
      </c>
      <c r="B431" t="s">
        <v>1844</v>
      </c>
      <c r="C431" t="s">
        <v>1843</v>
      </c>
      <c r="D431">
        <v>2821</v>
      </c>
      <c r="F431">
        <v>8300</v>
      </c>
      <c r="G431" t="s">
        <v>524</v>
      </c>
      <c r="H431" t="s">
        <v>1701</v>
      </c>
      <c r="I431" t="s">
        <v>1845</v>
      </c>
    </row>
    <row r="432" spans="1:9">
      <c r="A432" t="s">
        <v>1846</v>
      </c>
      <c r="B432" t="s">
        <v>1847</v>
      </c>
      <c r="C432" t="s">
        <v>1846</v>
      </c>
      <c r="D432">
        <v>3841</v>
      </c>
      <c r="F432">
        <v>8351</v>
      </c>
      <c r="G432" t="s">
        <v>524</v>
      </c>
      <c r="H432" t="s">
        <v>1701</v>
      </c>
      <c r="I432" t="s">
        <v>1848</v>
      </c>
    </row>
    <row r="433" spans="1:9">
      <c r="A433" t="s">
        <v>1849</v>
      </c>
      <c r="B433" t="s">
        <v>1850</v>
      </c>
      <c r="C433" t="s">
        <v>1849</v>
      </c>
      <c r="D433">
        <v>7510</v>
      </c>
      <c r="F433">
        <v>8600</v>
      </c>
      <c r="G433" t="s">
        <v>524</v>
      </c>
      <c r="H433" t="s">
        <v>1701</v>
      </c>
      <c r="I433" t="s">
        <v>1851</v>
      </c>
    </row>
    <row r="434" spans="1:9">
      <c r="A434" t="s">
        <v>1852</v>
      </c>
      <c r="B434" t="s">
        <v>1853</v>
      </c>
      <c r="C434" t="s">
        <v>1852</v>
      </c>
      <c r="D434">
        <v>4931</v>
      </c>
      <c r="F434">
        <v>8700</v>
      </c>
      <c r="G434" t="s">
        <v>524</v>
      </c>
      <c r="H434" t="s">
        <v>758</v>
      </c>
      <c r="I434" t="s">
        <v>1854</v>
      </c>
    </row>
    <row r="435" spans="1:9">
      <c r="A435" t="s">
        <v>1855</v>
      </c>
      <c r="B435" t="s">
        <v>1856</v>
      </c>
      <c r="C435" t="s">
        <v>1855</v>
      </c>
      <c r="D435">
        <v>3841</v>
      </c>
      <c r="F435">
        <v>8711</v>
      </c>
      <c r="G435" t="s">
        <v>524</v>
      </c>
      <c r="H435" t="s">
        <v>758</v>
      </c>
      <c r="I435" t="s">
        <v>1857</v>
      </c>
    </row>
    <row r="436" spans="1:9">
      <c r="A436" t="s">
        <v>1858</v>
      </c>
      <c r="B436" t="s">
        <v>1859</v>
      </c>
      <c r="C436" t="s">
        <v>1858</v>
      </c>
      <c r="D436">
        <v>5065</v>
      </c>
      <c r="F436">
        <v>8731</v>
      </c>
      <c r="G436" s="5" t="s">
        <v>524</v>
      </c>
      <c r="H436" t="s">
        <v>758</v>
      </c>
      <c r="I436" t="s">
        <v>1860</v>
      </c>
    </row>
    <row r="437" spans="1:9">
      <c r="A437" t="s">
        <v>1861</v>
      </c>
      <c r="B437" t="s">
        <v>1862</v>
      </c>
      <c r="C437" t="s">
        <v>1861</v>
      </c>
      <c r="D437">
        <v>7372</v>
      </c>
      <c r="F437">
        <v>8734</v>
      </c>
      <c r="G437" t="s">
        <v>1042</v>
      </c>
      <c r="H437" t="s">
        <v>758</v>
      </c>
      <c r="I437" t="s">
        <v>1863</v>
      </c>
    </row>
    <row r="438" spans="1:9">
      <c r="A438" t="s">
        <v>1864</v>
      </c>
      <c r="B438" t="s">
        <v>1865</v>
      </c>
      <c r="C438" t="s">
        <v>1864</v>
      </c>
      <c r="D438">
        <v>2851</v>
      </c>
      <c r="F438">
        <v>8741</v>
      </c>
      <c r="G438" t="s">
        <v>524</v>
      </c>
      <c r="H438" t="s">
        <v>758</v>
      </c>
      <c r="I438" t="s">
        <v>1866</v>
      </c>
    </row>
    <row r="439" spans="1:9">
      <c r="A439" t="s">
        <v>1867</v>
      </c>
      <c r="B439" t="s">
        <v>1868</v>
      </c>
      <c r="C439" t="s">
        <v>1867</v>
      </c>
      <c r="D439">
        <v>3559</v>
      </c>
      <c r="F439">
        <v>8742</v>
      </c>
      <c r="G439" t="s">
        <v>524</v>
      </c>
      <c r="H439" t="s">
        <v>758</v>
      </c>
      <c r="I439" t="s">
        <v>1869</v>
      </c>
    </row>
    <row r="440" spans="1:9">
      <c r="A440" t="s">
        <v>1870</v>
      </c>
      <c r="B440" t="s">
        <v>1871</v>
      </c>
      <c r="C440" t="s">
        <v>1870</v>
      </c>
      <c r="D440">
        <v>6331</v>
      </c>
      <c r="F440">
        <v>8744</v>
      </c>
      <c r="G440" t="s">
        <v>524</v>
      </c>
      <c r="H440" t="s">
        <v>758</v>
      </c>
      <c r="I440" t="s">
        <v>1872</v>
      </c>
    </row>
    <row r="441" spans="1:9">
      <c r="A441" t="s">
        <v>1873</v>
      </c>
      <c r="B441" t="s">
        <v>1874</v>
      </c>
      <c r="C441" t="s">
        <v>1873</v>
      </c>
      <c r="D441">
        <v>3845</v>
      </c>
      <c r="F441">
        <v>8880</v>
      </c>
      <c r="G441" t="s">
        <v>524</v>
      </c>
      <c r="H441" t="s">
        <v>1701</v>
      </c>
      <c r="I441" t="s">
        <v>1875</v>
      </c>
    </row>
    <row r="442" spans="1:9">
      <c r="A442" t="s">
        <v>1876</v>
      </c>
      <c r="B442" t="s">
        <v>1877</v>
      </c>
      <c r="C442" t="s">
        <v>1876</v>
      </c>
      <c r="D442">
        <v>3480</v>
      </c>
      <c r="F442">
        <v>8888</v>
      </c>
      <c r="G442" t="s">
        <v>524</v>
      </c>
      <c r="H442" t="s">
        <v>1701</v>
      </c>
      <c r="I442" t="s">
        <v>1878</v>
      </c>
    </row>
    <row r="443" spans="1:9">
      <c r="A443" t="s">
        <v>1879</v>
      </c>
      <c r="B443" t="s">
        <v>1880</v>
      </c>
      <c r="C443" t="s">
        <v>1879</v>
      </c>
      <c r="D443">
        <v>3841</v>
      </c>
      <c r="F443">
        <v>8900</v>
      </c>
      <c r="G443" t="s">
        <v>524</v>
      </c>
      <c r="H443" t="s">
        <v>758</v>
      </c>
      <c r="I443" t="s">
        <v>1881</v>
      </c>
    </row>
    <row r="444" spans="1:9">
      <c r="A444" t="s">
        <v>1882</v>
      </c>
      <c r="B444" t="s">
        <v>1883</v>
      </c>
      <c r="C444" t="s">
        <v>1882</v>
      </c>
      <c r="D444">
        <v>6035</v>
      </c>
      <c r="F444">
        <v>9721</v>
      </c>
      <c r="G444" t="s">
        <v>524</v>
      </c>
      <c r="H444" t="s">
        <v>1261</v>
      </c>
      <c r="I444" t="s">
        <v>1884</v>
      </c>
    </row>
    <row r="445" spans="1:9">
      <c r="A445" t="s">
        <v>1885</v>
      </c>
      <c r="B445" t="s">
        <v>1886</v>
      </c>
      <c r="C445" t="s">
        <v>1885</v>
      </c>
      <c r="D445">
        <v>3674</v>
      </c>
      <c r="F445">
        <v>9995</v>
      </c>
      <c r="G445" t="s">
        <v>524</v>
      </c>
      <c r="H445" t="s">
        <v>1261</v>
      </c>
      <c r="I445" t="s">
        <v>1887</v>
      </c>
    </row>
    <row r="446" spans="1:4">
      <c r="A446" t="s">
        <v>1888</v>
      </c>
      <c r="B446" t="s">
        <v>1889</v>
      </c>
      <c r="C446" t="s">
        <v>1888</v>
      </c>
      <c r="D446">
        <v>2836</v>
      </c>
    </row>
    <row r="447" spans="1:4">
      <c r="A447" t="s">
        <v>1890</v>
      </c>
      <c r="B447" t="s">
        <v>1891</v>
      </c>
      <c r="C447" t="s">
        <v>1890</v>
      </c>
      <c r="D447">
        <v>4899</v>
      </c>
    </row>
    <row r="448" spans="1:4">
      <c r="A448" t="s">
        <v>1892</v>
      </c>
      <c r="B448" t="s">
        <v>1893</v>
      </c>
      <c r="C448" t="s">
        <v>1892</v>
      </c>
      <c r="D448">
        <v>2834</v>
      </c>
    </row>
    <row r="449" spans="1:4">
      <c r="A449" t="s">
        <v>1894</v>
      </c>
      <c r="B449" t="s">
        <v>1895</v>
      </c>
      <c r="C449" t="s">
        <v>1894</v>
      </c>
      <c r="D449">
        <v>3089</v>
      </c>
    </row>
    <row r="450" spans="1:4">
      <c r="A450" t="s">
        <v>1896</v>
      </c>
      <c r="B450" t="s">
        <v>1897</v>
      </c>
      <c r="C450" t="s">
        <v>1896</v>
      </c>
      <c r="D450">
        <v>2836</v>
      </c>
    </row>
    <row r="451" spans="1:4">
      <c r="A451" t="s">
        <v>1898</v>
      </c>
      <c r="B451" t="s">
        <v>1899</v>
      </c>
      <c r="C451" t="s">
        <v>1898</v>
      </c>
      <c r="D451">
        <v>4911</v>
      </c>
    </row>
    <row r="452" spans="1:4">
      <c r="A452" t="s">
        <v>1900</v>
      </c>
      <c r="B452" t="s">
        <v>1901</v>
      </c>
      <c r="C452" t="s">
        <v>1900</v>
      </c>
      <c r="D452">
        <v>3640</v>
      </c>
    </row>
    <row r="453" spans="1:4">
      <c r="A453" t="s">
        <v>1902</v>
      </c>
      <c r="B453" t="s">
        <v>1903</v>
      </c>
      <c r="C453" t="s">
        <v>1902</v>
      </c>
      <c r="D453">
        <v>2000</v>
      </c>
    </row>
    <row r="454" spans="1:4">
      <c r="A454" t="s">
        <v>1904</v>
      </c>
      <c r="B454" t="s">
        <v>1905</v>
      </c>
      <c r="C454" t="s">
        <v>1904</v>
      </c>
      <c r="D454">
        <v>6282</v>
      </c>
    </row>
    <row r="455" spans="1:4">
      <c r="A455" t="s">
        <v>1906</v>
      </c>
      <c r="B455" t="s">
        <v>1907</v>
      </c>
      <c r="C455" t="s">
        <v>1906</v>
      </c>
      <c r="D455">
        <v>3433</v>
      </c>
    </row>
    <row r="456" spans="1:4">
      <c r="A456" t="s">
        <v>1908</v>
      </c>
      <c r="B456" t="s">
        <v>1909</v>
      </c>
      <c r="C456" t="s">
        <v>1908</v>
      </c>
      <c r="D456">
        <v>7372</v>
      </c>
    </row>
    <row r="457" spans="1:4">
      <c r="A457" t="s">
        <v>1910</v>
      </c>
      <c r="B457" t="s">
        <v>1911</v>
      </c>
      <c r="C457" t="s">
        <v>1910</v>
      </c>
      <c r="D457">
        <v>3824</v>
      </c>
    </row>
    <row r="458" spans="1:4">
      <c r="A458" t="s">
        <v>1912</v>
      </c>
      <c r="B458" t="s">
        <v>1913</v>
      </c>
      <c r="C458" t="s">
        <v>1912</v>
      </c>
      <c r="D458">
        <v>7370</v>
      </c>
    </row>
    <row r="459" spans="1:4">
      <c r="A459" t="s">
        <v>1914</v>
      </c>
      <c r="B459" t="s">
        <v>1915</v>
      </c>
      <c r="C459" t="s">
        <v>1914</v>
      </c>
      <c r="D459">
        <v>3533</v>
      </c>
    </row>
    <row r="460" spans="1:4">
      <c r="A460" t="s">
        <v>1916</v>
      </c>
      <c r="B460" t="s">
        <v>1917</v>
      </c>
      <c r="C460" t="s">
        <v>1916</v>
      </c>
      <c r="D460">
        <v>2800</v>
      </c>
    </row>
    <row r="461" spans="1:4">
      <c r="A461" t="s">
        <v>1918</v>
      </c>
      <c r="B461" t="s">
        <v>1919</v>
      </c>
      <c r="C461" t="s">
        <v>1918</v>
      </c>
      <c r="D461">
        <v>3861</v>
      </c>
    </row>
    <row r="462" spans="1:4">
      <c r="A462" t="s">
        <v>1920</v>
      </c>
      <c r="B462" t="s">
        <v>1921</v>
      </c>
      <c r="C462" t="s">
        <v>1920</v>
      </c>
      <c r="D462">
        <v>7011</v>
      </c>
    </row>
    <row r="463" spans="1:4">
      <c r="A463" t="s">
        <v>1922</v>
      </c>
      <c r="B463" t="s">
        <v>1923</v>
      </c>
      <c r="C463" t="s">
        <v>1922</v>
      </c>
      <c r="D463">
        <v>6021</v>
      </c>
    </row>
    <row r="464" spans="1:4">
      <c r="A464" t="s">
        <v>1924</v>
      </c>
      <c r="B464" t="s">
        <v>1925</v>
      </c>
      <c r="C464" t="s">
        <v>1924</v>
      </c>
      <c r="D464">
        <v>6021</v>
      </c>
    </row>
    <row r="465" spans="1:4">
      <c r="A465" t="s">
        <v>1926</v>
      </c>
      <c r="B465" t="s">
        <v>1927</v>
      </c>
      <c r="C465" t="s">
        <v>1926</v>
      </c>
      <c r="D465">
        <v>6021</v>
      </c>
    </row>
    <row r="466" spans="1:4">
      <c r="A466" t="s">
        <v>1928</v>
      </c>
      <c r="B466" t="s">
        <v>1929</v>
      </c>
      <c r="C466" t="s">
        <v>1928</v>
      </c>
      <c r="D466">
        <v>7372</v>
      </c>
    </row>
    <row r="467" spans="1:4">
      <c r="A467" t="s">
        <v>1930</v>
      </c>
      <c r="B467" t="s">
        <v>1931</v>
      </c>
      <c r="C467" t="s">
        <v>1930</v>
      </c>
      <c r="D467">
        <v>6021</v>
      </c>
    </row>
    <row r="468" spans="1:4">
      <c r="A468" t="s">
        <v>1932</v>
      </c>
      <c r="B468" t="s">
        <v>1933</v>
      </c>
      <c r="C468" t="s">
        <v>1932</v>
      </c>
      <c r="D468">
        <v>6021</v>
      </c>
    </row>
    <row r="469" spans="1:4">
      <c r="A469" t="s">
        <v>1934</v>
      </c>
      <c r="B469" t="s">
        <v>1935</v>
      </c>
      <c r="C469" t="s">
        <v>1934</v>
      </c>
      <c r="D469">
        <v>6022</v>
      </c>
    </row>
    <row r="470" spans="1:4">
      <c r="A470" t="s">
        <v>1936</v>
      </c>
      <c r="B470" t="s">
        <v>1937</v>
      </c>
      <c r="C470" t="s">
        <v>1936</v>
      </c>
      <c r="D470">
        <v>6022</v>
      </c>
    </row>
    <row r="471" spans="1:4">
      <c r="A471" t="s">
        <v>1938</v>
      </c>
      <c r="B471" t="s">
        <v>1939</v>
      </c>
      <c r="C471" t="s">
        <v>1938</v>
      </c>
      <c r="D471">
        <v>6029</v>
      </c>
    </row>
    <row r="472" spans="1:4">
      <c r="A472" t="s">
        <v>1940</v>
      </c>
      <c r="B472" t="s">
        <v>1941</v>
      </c>
      <c r="C472" t="s">
        <v>1940</v>
      </c>
      <c r="D472">
        <v>6022</v>
      </c>
    </row>
    <row r="473" spans="1:4">
      <c r="A473" t="s">
        <v>1942</v>
      </c>
      <c r="B473" t="s">
        <v>1943</v>
      </c>
      <c r="C473" t="s">
        <v>1942</v>
      </c>
      <c r="D473">
        <v>6022</v>
      </c>
    </row>
    <row r="474" spans="1:4">
      <c r="A474" t="s">
        <v>1944</v>
      </c>
      <c r="B474" t="s">
        <v>1945</v>
      </c>
      <c r="C474" t="s">
        <v>1944</v>
      </c>
      <c r="D474">
        <v>6022</v>
      </c>
    </row>
    <row r="475" spans="1:4">
      <c r="A475" t="s">
        <v>1946</v>
      </c>
      <c r="B475" t="s">
        <v>1947</v>
      </c>
      <c r="C475" t="s">
        <v>1946</v>
      </c>
      <c r="D475">
        <v>6022</v>
      </c>
    </row>
    <row r="476" spans="1:4">
      <c r="A476" t="s">
        <v>1948</v>
      </c>
      <c r="B476" t="s">
        <v>1949</v>
      </c>
      <c r="C476" t="s">
        <v>1948</v>
      </c>
      <c r="D476">
        <v>6035</v>
      </c>
    </row>
    <row r="477" spans="1:4">
      <c r="A477" t="s">
        <v>1950</v>
      </c>
      <c r="B477" t="s">
        <v>1951</v>
      </c>
      <c r="C477" t="s">
        <v>1950</v>
      </c>
      <c r="D477">
        <v>6029</v>
      </c>
    </row>
    <row r="478" spans="1:4">
      <c r="A478" t="s">
        <v>1952</v>
      </c>
      <c r="B478" t="s">
        <v>1953</v>
      </c>
      <c r="C478" t="s">
        <v>1952</v>
      </c>
      <c r="D478">
        <v>6035</v>
      </c>
    </row>
    <row r="479" spans="1:4">
      <c r="A479" t="s">
        <v>1954</v>
      </c>
      <c r="B479" t="s">
        <v>1955</v>
      </c>
      <c r="C479" t="s">
        <v>1954</v>
      </c>
      <c r="D479">
        <v>6022</v>
      </c>
    </row>
    <row r="480" spans="1:4">
      <c r="A480" t="s">
        <v>1956</v>
      </c>
      <c r="B480" t="s">
        <v>1957</v>
      </c>
      <c r="C480" t="s">
        <v>1956</v>
      </c>
      <c r="D480">
        <v>6022</v>
      </c>
    </row>
    <row r="481" spans="1:4">
      <c r="A481" t="s">
        <v>1958</v>
      </c>
      <c r="B481" t="s">
        <v>1959</v>
      </c>
      <c r="C481" t="s">
        <v>1958</v>
      </c>
      <c r="D481">
        <v>7389</v>
      </c>
    </row>
    <row r="482" spans="1:4">
      <c r="A482" t="s">
        <v>1960</v>
      </c>
      <c r="B482" t="s">
        <v>1961</v>
      </c>
      <c r="C482" t="s">
        <v>1960</v>
      </c>
      <c r="D482">
        <v>5961</v>
      </c>
    </row>
    <row r="483" spans="1:4">
      <c r="A483" t="s">
        <v>1962</v>
      </c>
      <c r="B483" t="s">
        <v>1963</v>
      </c>
      <c r="C483" t="s">
        <v>1962</v>
      </c>
      <c r="D483">
        <v>6022</v>
      </c>
    </row>
    <row r="484" spans="1:4">
      <c r="A484" t="s">
        <v>1964</v>
      </c>
      <c r="B484" t="s">
        <v>1965</v>
      </c>
      <c r="C484" t="s">
        <v>1964</v>
      </c>
      <c r="D484">
        <v>5990</v>
      </c>
    </row>
    <row r="485" spans="1:4">
      <c r="A485" t="s">
        <v>1966</v>
      </c>
      <c r="B485" t="s">
        <v>1967</v>
      </c>
      <c r="C485" t="s">
        <v>1966</v>
      </c>
      <c r="D485">
        <v>5940</v>
      </c>
    </row>
    <row r="486" spans="1:4">
      <c r="A486" t="s">
        <v>1968</v>
      </c>
      <c r="B486" t="s">
        <v>1969</v>
      </c>
      <c r="C486" t="s">
        <v>1968</v>
      </c>
      <c r="D486">
        <v>3490</v>
      </c>
    </row>
    <row r="487" spans="1:4">
      <c r="A487" t="s">
        <v>1970</v>
      </c>
      <c r="B487" t="s">
        <v>1971</v>
      </c>
      <c r="C487" t="s">
        <v>1970</v>
      </c>
      <c r="D487">
        <v>1311</v>
      </c>
    </row>
    <row r="488" spans="1:4">
      <c r="A488" t="s">
        <v>1972</v>
      </c>
      <c r="B488" t="s">
        <v>1973</v>
      </c>
      <c r="C488" t="s">
        <v>1972</v>
      </c>
      <c r="D488">
        <v>7363</v>
      </c>
    </row>
    <row r="489" spans="1:4">
      <c r="A489" t="s">
        <v>1974</v>
      </c>
      <c r="B489" t="s">
        <v>1975</v>
      </c>
      <c r="C489" t="s">
        <v>1974</v>
      </c>
      <c r="D489">
        <v>2511</v>
      </c>
    </row>
    <row r="490" spans="1:4">
      <c r="A490" t="s">
        <v>1976</v>
      </c>
      <c r="B490" t="s">
        <v>1977</v>
      </c>
      <c r="C490" t="s">
        <v>1976</v>
      </c>
      <c r="D490">
        <v>5621</v>
      </c>
    </row>
    <row r="491" spans="1:4">
      <c r="A491" t="s">
        <v>1978</v>
      </c>
      <c r="B491" t="s">
        <v>1979</v>
      </c>
      <c r="C491" t="s">
        <v>1978</v>
      </c>
      <c r="D491">
        <v>1311</v>
      </c>
    </row>
    <row r="492" spans="1:4">
      <c r="A492" t="s">
        <v>1980</v>
      </c>
      <c r="B492" t="s">
        <v>1981</v>
      </c>
      <c r="C492" t="s">
        <v>1980</v>
      </c>
      <c r="D492">
        <v>8090</v>
      </c>
    </row>
    <row r="493" spans="1:4">
      <c r="A493" t="s">
        <v>1982</v>
      </c>
      <c r="B493" t="s">
        <v>1983</v>
      </c>
      <c r="C493" t="s">
        <v>1982</v>
      </c>
      <c r="D493">
        <v>2834</v>
      </c>
    </row>
    <row r="494" spans="1:4">
      <c r="A494" t="s">
        <v>1984</v>
      </c>
      <c r="B494" t="s">
        <v>1985</v>
      </c>
      <c r="C494" t="s">
        <v>1984</v>
      </c>
      <c r="D494">
        <v>3841</v>
      </c>
    </row>
    <row r="495" spans="1:4">
      <c r="A495" t="s">
        <v>1986</v>
      </c>
      <c r="B495" t="s">
        <v>1987</v>
      </c>
      <c r="C495" t="s">
        <v>1986</v>
      </c>
      <c r="D495">
        <v>6022</v>
      </c>
    </row>
    <row r="496" spans="1:4">
      <c r="A496" t="s">
        <v>1988</v>
      </c>
      <c r="B496" t="s">
        <v>1989</v>
      </c>
      <c r="C496" t="s">
        <v>1988</v>
      </c>
      <c r="D496">
        <v>6022</v>
      </c>
    </row>
    <row r="497" spans="1:4">
      <c r="A497" t="s">
        <v>1990</v>
      </c>
      <c r="B497" t="s">
        <v>1991</v>
      </c>
      <c r="C497" t="s">
        <v>1990</v>
      </c>
      <c r="D497">
        <v>5812</v>
      </c>
    </row>
    <row r="498" spans="1:4">
      <c r="A498" t="s">
        <v>1992</v>
      </c>
      <c r="B498" t="s">
        <v>1993</v>
      </c>
      <c r="C498" t="s">
        <v>1992</v>
      </c>
      <c r="D498">
        <v>5400</v>
      </c>
    </row>
    <row r="499" spans="1:4">
      <c r="A499" t="s">
        <v>1994</v>
      </c>
      <c r="B499" t="s">
        <v>1995</v>
      </c>
      <c r="C499" t="s">
        <v>1994</v>
      </c>
      <c r="D499">
        <v>6035</v>
      </c>
    </row>
    <row r="500" spans="1:4">
      <c r="A500" t="s">
        <v>1996</v>
      </c>
      <c r="B500" t="s">
        <v>1997</v>
      </c>
      <c r="C500" t="s">
        <v>1996</v>
      </c>
      <c r="D500">
        <v>5960</v>
      </c>
    </row>
    <row r="501" spans="1:4">
      <c r="A501" t="s">
        <v>1998</v>
      </c>
      <c r="B501" t="s">
        <v>1999</v>
      </c>
      <c r="C501" t="s">
        <v>1998</v>
      </c>
      <c r="D501">
        <v>5030</v>
      </c>
    </row>
    <row r="502" spans="1:4">
      <c r="A502" t="s">
        <v>2000</v>
      </c>
      <c r="B502" t="s">
        <v>2001</v>
      </c>
      <c r="C502" t="s">
        <v>2000</v>
      </c>
      <c r="D502">
        <v>3674</v>
      </c>
    </row>
    <row r="503" spans="1:4">
      <c r="A503" t="s">
        <v>2002</v>
      </c>
      <c r="B503" t="s">
        <v>2003</v>
      </c>
      <c r="C503" t="s">
        <v>2002</v>
      </c>
      <c r="D503">
        <v>2836</v>
      </c>
    </row>
    <row r="504" spans="1:4">
      <c r="A504" t="s">
        <v>2004</v>
      </c>
      <c r="B504" t="s">
        <v>2005</v>
      </c>
      <c r="C504" t="s">
        <v>2004</v>
      </c>
      <c r="D504">
        <v>4832</v>
      </c>
    </row>
    <row r="505" spans="1:4">
      <c r="A505" t="s">
        <v>2006</v>
      </c>
      <c r="B505" t="s">
        <v>2007</v>
      </c>
      <c r="C505" t="s">
        <v>2006</v>
      </c>
      <c r="D505">
        <v>3841</v>
      </c>
    </row>
    <row r="506" spans="1:4">
      <c r="A506" t="s">
        <v>2008</v>
      </c>
      <c r="B506" t="s">
        <v>2009</v>
      </c>
      <c r="C506" t="s">
        <v>2008</v>
      </c>
      <c r="D506">
        <v>1531</v>
      </c>
    </row>
    <row r="507" spans="1:4">
      <c r="A507" t="s">
        <v>2010</v>
      </c>
      <c r="B507" t="s">
        <v>2011</v>
      </c>
      <c r="C507" t="s">
        <v>2010</v>
      </c>
      <c r="D507">
        <v>3841</v>
      </c>
    </row>
    <row r="508" spans="1:4">
      <c r="A508" t="s">
        <v>2012</v>
      </c>
      <c r="B508" t="s">
        <v>2013</v>
      </c>
      <c r="C508" t="s">
        <v>2012</v>
      </c>
      <c r="D508">
        <v>5700</v>
      </c>
    </row>
    <row r="509" spans="1:4">
      <c r="A509" t="s">
        <v>2014</v>
      </c>
      <c r="B509" t="s">
        <v>2015</v>
      </c>
      <c r="C509" t="s">
        <v>2014</v>
      </c>
      <c r="D509">
        <v>2834</v>
      </c>
    </row>
    <row r="510" spans="1:4">
      <c r="A510" t="s">
        <v>2016</v>
      </c>
      <c r="B510" t="s">
        <v>2017</v>
      </c>
      <c r="C510" t="s">
        <v>2016</v>
      </c>
      <c r="D510">
        <v>3677</v>
      </c>
    </row>
    <row r="511" spans="1:4">
      <c r="A511" t="s">
        <v>2018</v>
      </c>
      <c r="B511" t="s">
        <v>2019</v>
      </c>
      <c r="C511" t="s">
        <v>2018</v>
      </c>
      <c r="D511">
        <v>3357</v>
      </c>
    </row>
    <row r="512" spans="1:4">
      <c r="A512" t="s">
        <v>2020</v>
      </c>
      <c r="B512" t="s">
        <v>2021</v>
      </c>
      <c r="C512" t="s">
        <v>2020</v>
      </c>
      <c r="D512">
        <v>2834</v>
      </c>
    </row>
    <row r="513" spans="1:4">
      <c r="A513" t="s">
        <v>2022</v>
      </c>
      <c r="B513" t="s">
        <v>2023</v>
      </c>
      <c r="C513" t="s">
        <v>2022</v>
      </c>
      <c r="D513">
        <v>2000</v>
      </c>
    </row>
    <row r="514" spans="1:4">
      <c r="A514" t="s">
        <v>2024</v>
      </c>
      <c r="B514" t="s">
        <v>2025</v>
      </c>
      <c r="C514" t="s">
        <v>2024</v>
      </c>
      <c r="D514">
        <v>3672</v>
      </c>
    </row>
    <row r="515" spans="1:4">
      <c r="A515" t="s">
        <v>2026</v>
      </c>
      <c r="B515" t="s">
        <v>2027</v>
      </c>
      <c r="C515" t="s">
        <v>2026</v>
      </c>
      <c r="D515">
        <v>7372</v>
      </c>
    </row>
    <row r="516" spans="1:4">
      <c r="A516" t="s">
        <v>2028</v>
      </c>
      <c r="B516" t="s">
        <v>2029</v>
      </c>
      <c r="C516" t="s">
        <v>2028</v>
      </c>
      <c r="D516">
        <v>2000</v>
      </c>
    </row>
    <row r="517" spans="1:4">
      <c r="A517" t="s">
        <v>2030</v>
      </c>
      <c r="B517" t="s">
        <v>2031</v>
      </c>
      <c r="C517" t="s">
        <v>2030</v>
      </c>
      <c r="D517">
        <v>7372</v>
      </c>
    </row>
    <row r="518" spans="1:4">
      <c r="A518" t="s">
        <v>2032</v>
      </c>
      <c r="B518" t="s">
        <v>2033</v>
      </c>
      <c r="C518" t="s">
        <v>2032</v>
      </c>
      <c r="D518">
        <v>3826</v>
      </c>
    </row>
    <row r="519" spans="1:4">
      <c r="A519" t="s">
        <v>2034</v>
      </c>
      <c r="B519" t="s">
        <v>2035</v>
      </c>
      <c r="C519" t="s">
        <v>2034</v>
      </c>
      <c r="D519">
        <v>6331</v>
      </c>
    </row>
    <row r="520" spans="1:4">
      <c r="A520" t="s">
        <v>2036</v>
      </c>
      <c r="B520" t="s">
        <v>2037</v>
      </c>
      <c r="C520" t="s">
        <v>2036</v>
      </c>
      <c r="D520">
        <v>3569</v>
      </c>
    </row>
    <row r="521" spans="1:4">
      <c r="A521" t="s">
        <v>2038</v>
      </c>
      <c r="B521" t="s">
        <v>2039</v>
      </c>
      <c r="C521" t="s">
        <v>2038</v>
      </c>
      <c r="D521">
        <v>6331</v>
      </c>
    </row>
    <row r="522" spans="1:4">
      <c r="A522" t="s">
        <v>2040</v>
      </c>
      <c r="B522" t="s">
        <v>2041</v>
      </c>
      <c r="C522" t="s">
        <v>2040</v>
      </c>
      <c r="D522">
        <v>6036</v>
      </c>
    </row>
    <row r="523" spans="1:4">
      <c r="A523" t="s">
        <v>2042</v>
      </c>
      <c r="B523" t="s">
        <v>2043</v>
      </c>
      <c r="C523" t="s">
        <v>2042</v>
      </c>
      <c r="D523">
        <v>1311</v>
      </c>
    </row>
    <row r="524" spans="1:4">
      <c r="A524" t="s">
        <v>2044</v>
      </c>
      <c r="B524" t="s">
        <v>2045</v>
      </c>
      <c r="C524" t="s">
        <v>2044</v>
      </c>
      <c r="D524">
        <v>3089</v>
      </c>
    </row>
    <row r="525" spans="1:4">
      <c r="A525" t="s">
        <v>2046</v>
      </c>
      <c r="B525" t="s">
        <v>2047</v>
      </c>
      <c r="C525" t="s">
        <v>2046</v>
      </c>
      <c r="D525">
        <v>5731</v>
      </c>
    </row>
    <row r="526" spans="1:4">
      <c r="A526" t="s">
        <v>2048</v>
      </c>
      <c r="B526" t="s">
        <v>2049</v>
      </c>
      <c r="C526" t="s">
        <v>2048</v>
      </c>
      <c r="D526">
        <v>4210</v>
      </c>
    </row>
    <row r="527" spans="1:4">
      <c r="A527" t="s">
        <v>2050</v>
      </c>
      <c r="B527" t="s">
        <v>2051</v>
      </c>
      <c r="C527" t="s">
        <v>2050</v>
      </c>
      <c r="D527">
        <v>2080</v>
      </c>
    </row>
    <row r="528" spans="1:4">
      <c r="A528" t="s">
        <v>2052</v>
      </c>
      <c r="B528" t="s">
        <v>2053</v>
      </c>
      <c r="C528" t="s">
        <v>2052</v>
      </c>
      <c r="D528">
        <v>3841</v>
      </c>
    </row>
    <row r="529" spans="1:4">
      <c r="A529" t="s">
        <v>2054</v>
      </c>
      <c r="B529" t="s">
        <v>2055</v>
      </c>
      <c r="C529" t="s">
        <v>2054</v>
      </c>
      <c r="D529">
        <v>2000</v>
      </c>
    </row>
    <row r="530" spans="1:4">
      <c r="A530" t="s">
        <v>2056</v>
      </c>
      <c r="B530" t="s">
        <v>2057</v>
      </c>
      <c r="C530" t="s">
        <v>2056</v>
      </c>
      <c r="D530">
        <v>2834</v>
      </c>
    </row>
    <row r="531" spans="1:4">
      <c r="A531" t="s">
        <v>2058</v>
      </c>
      <c r="B531" t="s">
        <v>2059</v>
      </c>
      <c r="C531" t="s">
        <v>2058</v>
      </c>
      <c r="D531">
        <v>6200</v>
      </c>
    </row>
    <row r="532" spans="1:4">
      <c r="A532" t="s">
        <v>2060</v>
      </c>
      <c r="B532" t="s">
        <v>2061</v>
      </c>
      <c r="C532" t="s">
        <v>2060</v>
      </c>
      <c r="D532">
        <v>7363</v>
      </c>
    </row>
    <row r="533" spans="1:4">
      <c r="A533" t="s">
        <v>2062</v>
      </c>
      <c r="B533" t="s">
        <v>2063</v>
      </c>
      <c r="C533" t="s">
        <v>2062</v>
      </c>
      <c r="D533">
        <v>2834</v>
      </c>
    </row>
    <row r="534" spans="1:4">
      <c r="A534" t="s">
        <v>2064</v>
      </c>
      <c r="B534" t="s">
        <v>2065</v>
      </c>
      <c r="C534" t="s">
        <v>2064</v>
      </c>
      <c r="D534">
        <v>5940</v>
      </c>
    </row>
    <row r="535" spans="1:4">
      <c r="A535" t="s">
        <v>2066</v>
      </c>
      <c r="B535" t="s">
        <v>2067</v>
      </c>
      <c r="C535" t="s">
        <v>2066</v>
      </c>
      <c r="D535">
        <v>5331</v>
      </c>
    </row>
    <row r="536" spans="1:4">
      <c r="A536" t="s">
        <v>2068</v>
      </c>
      <c r="B536" t="s">
        <v>2069</v>
      </c>
      <c r="C536" t="s">
        <v>2068</v>
      </c>
      <c r="D536">
        <v>7372</v>
      </c>
    </row>
    <row r="537" spans="1:4">
      <c r="A537" t="s">
        <v>2070</v>
      </c>
      <c r="B537" t="s">
        <v>2071</v>
      </c>
      <c r="C537" t="s">
        <v>2070</v>
      </c>
      <c r="D537">
        <v>5812</v>
      </c>
    </row>
    <row r="538" spans="1:4">
      <c r="A538" t="s">
        <v>2072</v>
      </c>
      <c r="B538" t="s">
        <v>2073</v>
      </c>
      <c r="C538" t="s">
        <v>2072</v>
      </c>
      <c r="D538">
        <v>7374</v>
      </c>
    </row>
    <row r="539" spans="1:4">
      <c r="A539" t="s">
        <v>2074</v>
      </c>
      <c r="B539" t="s">
        <v>2075</v>
      </c>
      <c r="C539" t="s">
        <v>2074</v>
      </c>
      <c r="D539">
        <v>7372</v>
      </c>
    </row>
    <row r="540" spans="1:4">
      <c r="A540" t="s">
        <v>2076</v>
      </c>
      <c r="B540" t="s">
        <v>2077</v>
      </c>
      <c r="C540" t="s">
        <v>2076</v>
      </c>
      <c r="D540">
        <v>5122</v>
      </c>
    </row>
    <row r="541" spans="1:4">
      <c r="A541" t="s">
        <v>2078</v>
      </c>
      <c r="B541" t="s">
        <v>2079</v>
      </c>
      <c r="C541" t="s">
        <v>2078</v>
      </c>
      <c r="D541">
        <v>6798</v>
      </c>
    </row>
    <row r="542" spans="1:4">
      <c r="A542" t="s">
        <v>2080</v>
      </c>
      <c r="B542" t="s">
        <v>2081</v>
      </c>
      <c r="C542" t="s">
        <v>2080</v>
      </c>
      <c r="D542">
        <v>3576</v>
      </c>
    </row>
    <row r="543" spans="1:4">
      <c r="A543" t="s">
        <v>2082</v>
      </c>
      <c r="B543" t="s">
        <v>2083</v>
      </c>
      <c r="C543" t="s">
        <v>2082</v>
      </c>
      <c r="D543">
        <v>3826</v>
      </c>
    </row>
    <row r="544" spans="1:4">
      <c r="A544" t="s">
        <v>2084</v>
      </c>
      <c r="B544" t="s">
        <v>2085</v>
      </c>
      <c r="C544" t="s">
        <v>2084</v>
      </c>
      <c r="D544">
        <v>2836</v>
      </c>
    </row>
    <row r="545" spans="1:4">
      <c r="A545" t="s">
        <v>2086</v>
      </c>
      <c r="B545" t="s">
        <v>2087</v>
      </c>
      <c r="C545" t="s">
        <v>2086</v>
      </c>
      <c r="D545">
        <v>2836</v>
      </c>
    </row>
    <row r="546" spans="1:4">
      <c r="A546" t="s">
        <v>2088</v>
      </c>
      <c r="B546" t="s">
        <v>2089</v>
      </c>
      <c r="C546" t="s">
        <v>2088</v>
      </c>
      <c r="D546">
        <v>8071</v>
      </c>
    </row>
    <row r="547" spans="1:4">
      <c r="A547" t="s">
        <v>2090</v>
      </c>
      <c r="B547" t="s">
        <v>2091</v>
      </c>
      <c r="C547" t="s">
        <v>2090</v>
      </c>
      <c r="D547">
        <v>2836</v>
      </c>
    </row>
    <row r="548" spans="1:4">
      <c r="A548" t="s">
        <v>2092</v>
      </c>
      <c r="B548" t="s">
        <v>2093</v>
      </c>
      <c r="C548" t="s">
        <v>2092</v>
      </c>
      <c r="D548">
        <v>8071</v>
      </c>
    </row>
    <row r="549" spans="1:4">
      <c r="A549" t="s">
        <v>2094</v>
      </c>
      <c r="B549" t="s">
        <v>2095</v>
      </c>
      <c r="C549" t="s">
        <v>2094</v>
      </c>
      <c r="D549">
        <v>2834</v>
      </c>
    </row>
    <row r="550" spans="1:4">
      <c r="A550" t="s">
        <v>2096</v>
      </c>
      <c r="B550" t="s">
        <v>2097</v>
      </c>
      <c r="C550" t="s">
        <v>2096</v>
      </c>
      <c r="D550">
        <v>2836</v>
      </c>
    </row>
    <row r="551" spans="1:4">
      <c r="A551" t="s">
        <v>2098</v>
      </c>
      <c r="B551" t="s">
        <v>2099</v>
      </c>
      <c r="C551" t="s">
        <v>2098</v>
      </c>
      <c r="D551">
        <v>2834</v>
      </c>
    </row>
    <row r="552" spans="1:4">
      <c r="A552" t="s">
        <v>2100</v>
      </c>
      <c r="B552" t="s">
        <v>2101</v>
      </c>
      <c r="C552" t="s">
        <v>2100</v>
      </c>
      <c r="D552">
        <v>3843</v>
      </c>
    </row>
    <row r="553" spans="1:4">
      <c r="A553" t="s">
        <v>2102</v>
      </c>
      <c r="B553" t="s">
        <v>2103</v>
      </c>
      <c r="C553" t="s">
        <v>2102</v>
      </c>
      <c r="D553">
        <v>3845</v>
      </c>
    </row>
    <row r="554" spans="1:4">
      <c r="A554" t="s">
        <v>2104</v>
      </c>
      <c r="B554" t="s">
        <v>2105</v>
      </c>
      <c r="C554" t="s">
        <v>2104</v>
      </c>
      <c r="D554">
        <v>2834</v>
      </c>
    </row>
    <row r="555" spans="1:4">
      <c r="A555" t="s">
        <v>2106</v>
      </c>
      <c r="B555" t="s">
        <v>2107</v>
      </c>
      <c r="C555" t="s">
        <v>2106</v>
      </c>
      <c r="D555">
        <v>2835</v>
      </c>
    </row>
    <row r="556" spans="1:4">
      <c r="A556" t="s">
        <v>2108</v>
      </c>
      <c r="B556" t="s">
        <v>2109</v>
      </c>
      <c r="C556" t="s">
        <v>2108</v>
      </c>
      <c r="D556">
        <v>3845</v>
      </c>
    </row>
    <row r="557" spans="1:4">
      <c r="A557" t="s">
        <v>2110</v>
      </c>
      <c r="B557" t="s">
        <v>2111</v>
      </c>
      <c r="C557" t="s">
        <v>2110</v>
      </c>
      <c r="D557">
        <v>3841</v>
      </c>
    </row>
    <row r="558" spans="1:4">
      <c r="A558" t="s">
        <v>2112</v>
      </c>
      <c r="B558" t="s">
        <v>2113</v>
      </c>
      <c r="C558" t="s">
        <v>2112</v>
      </c>
      <c r="D558">
        <v>3751</v>
      </c>
    </row>
    <row r="559" spans="1:4">
      <c r="A559" t="s">
        <v>2114</v>
      </c>
      <c r="B559" t="s">
        <v>2115</v>
      </c>
      <c r="C559" t="s">
        <v>2114</v>
      </c>
      <c r="D559">
        <v>5944</v>
      </c>
    </row>
    <row r="560" spans="1:4">
      <c r="A560" t="s">
        <v>2116</v>
      </c>
      <c r="B560" t="s">
        <v>2117</v>
      </c>
      <c r="C560" t="s">
        <v>2116</v>
      </c>
      <c r="D560">
        <v>5812</v>
      </c>
    </row>
    <row r="561" spans="1:4">
      <c r="A561" t="s">
        <v>2118</v>
      </c>
      <c r="B561" t="s">
        <v>2119</v>
      </c>
      <c r="C561" t="s">
        <v>2118</v>
      </c>
      <c r="D561">
        <v>6199</v>
      </c>
    </row>
    <row r="562" spans="1:4">
      <c r="A562" t="s">
        <v>2120</v>
      </c>
      <c r="B562" t="s">
        <v>2121</v>
      </c>
      <c r="C562" t="s">
        <v>2120</v>
      </c>
      <c r="D562">
        <v>7374</v>
      </c>
    </row>
    <row r="563" spans="1:4">
      <c r="A563" t="s">
        <v>2122</v>
      </c>
      <c r="B563" t="s">
        <v>2123</v>
      </c>
      <c r="C563" t="s">
        <v>2122</v>
      </c>
      <c r="D563">
        <v>3679</v>
      </c>
    </row>
    <row r="564" spans="1:4">
      <c r="A564" t="s">
        <v>2124</v>
      </c>
      <c r="B564" t="s">
        <v>2125</v>
      </c>
      <c r="C564" t="s">
        <v>2124</v>
      </c>
      <c r="D564">
        <v>5331</v>
      </c>
    </row>
    <row r="565" spans="1:4">
      <c r="A565" t="s">
        <v>2126</v>
      </c>
      <c r="B565" t="s">
        <v>2127</v>
      </c>
      <c r="C565" t="s">
        <v>2126</v>
      </c>
      <c r="D565">
        <v>5812</v>
      </c>
    </row>
    <row r="566" spans="1:4">
      <c r="A566" t="s">
        <v>2128</v>
      </c>
      <c r="B566" t="s">
        <v>2129</v>
      </c>
      <c r="C566" t="s">
        <v>2128</v>
      </c>
      <c r="D566">
        <v>3663</v>
      </c>
    </row>
    <row r="567" spans="1:4">
      <c r="A567" t="s">
        <v>2130</v>
      </c>
      <c r="B567" t="s">
        <v>2131</v>
      </c>
      <c r="C567" t="s">
        <v>2130</v>
      </c>
      <c r="D567">
        <v>4911</v>
      </c>
    </row>
    <row r="568" spans="1:4">
      <c r="A568" t="s">
        <v>2132</v>
      </c>
      <c r="B568" t="s">
        <v>2133</v>
      </c>
      <c r="C568" t="s">
        <v>2132</v>
      </c>
      <c r="D568">
        <v>7372</v>
      </c>
    </row>
    <row r="569" spans="1:4">
      <c r="A569" t="s">
        <v>2134</v>
      </c>
      <c r="B569" t="s">
        <v>2135</v>
      </c>
      <c r="C569" t="s">
        <v>2134</v>
      </c>
      <c r="D569">
        <v>1311</v>
      </c>
    </row>
    <row r="570" spans="1:4">
      <c r="A570" t="s">
        <v>2136</v>
      </c>
      <c r="B570" t="s">
        <v>2137</v>
      </c>
      <c r="C570" t="s">
        <v>2136</v>
      </c>
      <c r="D570">
        <v>7372</v>
      </c>
    </row>
    <row r="571" spans="1:4">
      <c r="A571" t="s">
        <v>2138</v>
      </c>
      <c r="B571" t="s">
        <v>2139</v>
      </c>
      <c r="C571" t="s">
        <v>2138</v>
      </c>
      <c r="D571">
        <v>7372</v>
      </c>
    </row>
    <row r="572" spans="1:4">
      <c r="A572" t="s">
        <v>2140</v>
      </c>
      <c r="B572" t="s">
        <v>2141</v>
      </c>
      <c r="C572" t="s">
        <v>2140</v>
      </c>
      <c r="D572">
        <v>7372</v>
      </c>
    </row>
    <row r="573" spans="1:4">
      <c r="A573" t="s">
        <v>2142</v>
      </c>
      <c r="B573" t="s">
        <v>2143</v>
      </c>
      <c r="C573" t="s">
        <v>2142</v>
      </c>
      <c r="D573">
        <v>6211</v>
      </c>
    </row>
    <row r="574" spans="1:4">
      <c r="A574" t="s">
        <v>2144</v>
      </c>
      <c r="B574" t="s">
        <v>2145</v>
      </c>
      <c r="C574" t="s">
        <v>2144</v>
      </c>
      <c r="D574">
        <v>3663</v>
      </c>
    </row>
    <row r="575" spans="1:4">
      <c r="A575" t="s">
        <v>2146</v>
      </c>
      <c r="B575" t="s">
        <v>2147</v>
      </c>
      <c r="C575" t="s">
        <v>2146</v>
      </c>
      <c r="D575">
        <v>6282</v>
      </c>
    </row>
    <row r="576" spans="1:4">
      <c r="A576" t="s">
        <v>2148</v>
      </c>
      <c r="B576" t="s">
        <v>2149</v>
      </c>
      <c r="C576" t="s">
        <v>2148</v>
      </c>
      <c r="D576">
        <v>6798</v>
      </c>
    </row>
    <row r="577" spans="1:4">
      <c r="A577" t="s">
        <v>2150</v>
      </c>
      <c r="B577" t="s">
        <v>2151</v>
      </c>
      <c r="C577" t="s">
        <v>2150</v>
      </c>
      <c r="D577">
        <v>4522</v>
      </c>
    </row>
    <row r="578" spans="1:4">
      <c r="A578" t="s">
        <v>2152</v>
      </c>
      <c r="B578" t="s">
        <v>2153</v>
      </c>
      <c r="C578" t="s">
        <v>2152</v>
      </c>
      <c r="D578">
        <v>7370</v>
      </c>
    </row>
    <row r="579" spans="1:4">
      <c r="A579" t="s">
        <v>2154</v>
      </c>
      <c r="B579" t="s">
        <v>2155</v>
      </c>
      <c r="C579" t="s">
        <v>2154</v>
      </c>
      <c r="D579">
        <v>3790</v>
      </c>
    </row>
    <row r="580" spans="1:4">
      <c r="A580" t="s">
        <v>2156</v>
      </c>
      <c r="B580" t="s">
        <v>2157</v>
      </c>
      <c r="C580" t="s">
        <v>2156</v>
      </c>
      <c r="D580">
        <v>7372</v>
      </c>
    </row>
    <row r="581" spans="1:4">
      <c r="A581" t="s">
        <v>2158</v>
      </c>
      <c r="B581" t="s">
        <v>2159</v>
      </c>
      <c r="C581" t="s">
        <v>2158</v>
      </c>
      <c r="D581">
        <v>3620</v>
      </c>
    </row>
    <row r="582" spans="1:4">
      <c r="A582" t="s">
        <v>2160</v>
      </c>
      <c r="B582" t="s">
        <v>2161</v>
      </c>
      <c r="C582" t="s">
        <v>2160</v>
      </c>
      <c r="D582">
        <v>5812</v>
      </c>
    </row>
    <row r="583" spans="1:4">
      <c r="A583" t="s">
        <v>2162</v>
      </c>
      <c r="B583" t="s">
        <v>2163</v>
      </c>
      <c r="C583" t="s">
        <v>2162</v>
      </c>
      <c r="D583">
        <v>6199</v>
      </c>
    </row>
    <row r="584" spans="1:4">
      <c r="A584" t="s">
        <v>2164</v>
      </c>
      <c r="B584" t="s">
        <v>2165</v>
      </c>
      <c r="C584" t="s">
        <v>2164</v>
      </c>
      <c r="D584">
        <v>5961</v>
      </c>
    </row>
    <row r="585" spans="1:4">
      <c r="A585" t="s">
        <v>2166</v>
      </c>
      <c r="B585" t="s">
        <v>2167</v>
      </c>
      <c r="C585" t="s">
        <v>2166</v>
      </c>
      <c r="D585">
        <v>3713</v>
      </c>
    </row>
    <row r="586" spans="1:4">
      <c r="A586" t="s">
        <v>2168</v>
      </c>
      <c r="B586" t="s">
        <v>2169</v>
      </c>
      <c r="C586" t="s">
        <v>2168</v>
      </c>
      <c r="D586">
        <v>1311</v>
      </c>
    </row>
    <row r="587" spans="1:4">
      <c r="A587" t="s">
        <v>2170</v>
      </c>
      <c r="B587" t="s">
        <v>2171</v>
      </c>
      <c r="C587" t="s">
        <v>2170</v>
      </c>
      <c r="D587">
        <v>6036</v>
      </c>
    </row>
    <row r="588" spans="1:4">
      <c r="A588" t="s">
        <v>2172</v>
      </c>
      <c r="B588" t="s">
        <v>2173</v>
      </c>
      <c r="C588" t="s">
        <v>2172</v>
      </c>
      <c r="D588">
        <v>3944</v>
      </c>
    </row>
    <row r="589" spans="1:4">
      <c r="A589" t="s">
        <v>2174</v>
      </c>
      <c r="B589" t="s">
        <v>2175</v>
      </c>
      <c r="C589" t="s">
        <v>2174</v>
      </c>
      <c r="D589">
        <v>6282</v>
      </c>
    </row>
    <row r="590" spans="1:4">
      <c r="A590" t="s">
        <v>2176</v>
      </c>
      <c r="B590" t="s">
        <v>2177</v>
      </c>
      <c r="C590" t="s">
        <v>2176</v>
      </c>
      <c r="D590">
        <v>6022</v>
      </c>
    </row>
    <row r="591" spans="1:4">
      <c r="A591" t="s">
        <v>2178</v>
      </c>
      <c r="B591" t="s">
        <v>2179</v>
      </c>
      <c r="C591" t="s">
        <v>2178</v>
      </c>
      <c r="D591">
        <v>2836</v>
      </c>
    </row>
    <row r="592" spans="1:4">
      <c r="A592" t="s">
        <v>2180</v>
      </c>
      <c r="B592" t="s">
        <v>2181</v>
      </c>
      <c r="C592" t="s">
        <v>2180</v>
      </c>
      <c r="D592">
        <v>7374</v>
      </c>
    </row>
    <row r="593" spans="1:4">
      <c r="A593" t="s">
        <v>2182</v>
      </c>
      <c r="B593" t="s">
        <v>2183</v>
      </c>
      <c r="C593" t="s">
        <v>2182</v>
      </c>
      <c r="D593">
        <v>6500</v>
      </c>
    </row>
    <row r="594" spans="1:4">
      <c r="A594" t="s">
        <v>2184</v>
      </c>
      <c r="B594" t="s">
        <v>2185</v>
      </c>
      <c r="C594" t="s">
        <v>2184</v>
      </c>
      <c r="D594">
        <v>4610</v>
      </c>
    </row>
    <row r="595" spans="1:4">
      <c r="A595" t="s">
        <v>2186</v>
      </c>
      <c r="B595" t="s">
        <v>2187</v>
      </c>
      <c r="C595" t="s">
        <v>2186</v>
      </c>
      <c r="D595">
        <v>5031</v>
      </c>
    </row>
    <row r="596" spans="1:4">
      <c r="A596" t="s">
        <v>2188</v>
      </c>
      <c r="B596" t="s">
        <v>2189</v>
      </c>
      <c r="C596" t="s">
        <v>2188</v>
      </c>
      <c r="D596">
        <v>2834</v>
      </c>
    </row>
    <row r="597" spans="1:4">
      <c r="A597" t="s">
        <v>2190</v>
      </c>
      <c r="B597" t="s">
        <v>2191</v>
      </c>
      <c r="C597" t="s">
        <v>2190</v>
      </c>
      <c r="D597">
        <v>6798</v>
      </c>
    </row>
    <row r="598" spans="1:4">
      <c r="A598" t="s">
        <v>2192</v>
      </c>
      <c r="B598" t="s">
        <v>2193</v>
      </c>
      <c r="C598" t="s">
        <v>2192</v>
      </c>
      <c r="D598">
        <v>6022</v>
      </c>
    </row>
    <row r="599" spans="1:4">
      <c r="A599" t="s">
        <v>2194</v>
      </c>
      <c r="B599" t="s">
        <v>2195</v>
      </c>
      <c r="C599" t="s">
        <v>2194</v>
      </c>
      <c r="D599">
        <v>2834</v>
      </c>
    </row>
    <row r="600" spans="1:4">
      <c r="A600" t="s">
        <v>2196</v>
      </c>
      <c r="B600" t="s">
        <v>2197</v>
      </c>
      <c r="C600" t="s">
        <v>2196</v>
      </c>
      <c r="D600">
        <v>3721</v>
      </c>
    </row>
    <row r="601" spans="1:4">
      <c r="A601" t="s">
        <v>2198</v>
      </c>
      <c r="B601" t="s">
        <v>2199</v>
      </c>
      <c r="C601" t="s">
        <v>2198</v>
      </c>
      <c r="D601">
        <v>6036</v>
      </c>
    </row>
    <row r="602" spans="1:4">
      <c r="A602" t="s">
        <v>2200</v>
      </c>
      <c r="B602" t="s">
        <v>2201</v>
      </c>
      <c r="C602" t="s">
        <v>2200</v>
      </c>
      <c r="D602">
        <v>5030</v>
      </c>
    </row>
    <row r="603" spans="1:4">
      <c r="A603" t="s">
        <v>2202</v>
      </c>
      <c r="B603" t="s">
        <v>2203</v>
      </c>
      <c r="C603" t="s">
        <v>2202</v>
      </c>
      <c r="D603">
        <v>6021</v>
      </c>
    </row>
    <row r="604" spans="1:4">
      <c r="A604" t="s">
        <v>2204</v>
      </c>
      <c r="B604" t="s">
        <v>2205</v>
      </c>
      <c r="C604" t="s">
        <v>2204</v>
      </c>
      <c r="D604">
        <v>2834</v>
      </c>
    </row>
    <row r="605" spans="1:4">
      <c r="A605" t="s">
        <v>2206</v>
      </c>
      <c r="B605" t="s">
        <v>2207</v>
      </c>
      <c r="C605" t="s">
        <v>2206</v>
      </c>
      <c r="D605">
        <v>2833</v>
      </c>
    </row>
    <row r="606" spans="1:4">
      <c r="A606" t="s">
        <v>2208</v>
      </c>
      <c r="B606" t="s">
        <v>2209</v>
      </c>
      <c r="C606" t="s">
        <v>2208</v>
      </c>
      <c r="D606">
        <v>3679</v>
      </c>
    </row>
    <row r="607" spans="1:4">
      <c r="A607" t="s">
        <v>2210</v>
      </c>
      <c r="B607" t="s">
        <v>2211</v>
      </c>
      <c r="C607" t="s">
        <v>2210</v>
      </c>
      <c r="D607">
        <v>4700</v>
      </c>
    </row>
    <row r="608" spans="1:4">
      <c r="A608" t="s">
        <v>2212</v>
      </c>
      <c r="B608" t="s">
        <v>2213</v>
      </c>
      <c r="C608" t="s">
        <v>2212</v>
      </c>
      <c r="D608">
        <v>5661</v>
      </c>
    </row>
    <row r="609" spans="1:4">
      <c r="A609" t="s">
        <v>2214</v>
      </c>
      <c r="B609" t="s">
        <v>2215</v>
      </c>
      <c r="C609" t="s">
        <v>2214</v>
      </c>
      <c r="D609">
        <v>8742</v>
      </c>
    </row>
    <row r="610" spans="1:4">
      <c r="A610" t="s">
        <v>2216</v>
      </c>
      <c r="B610" t="s">
        <v>2217</v>
      </c>
      <c r="C610" t="s">
        <v>2216</v>
      </c>
      <c r="D610">
        <v>3714</v>
      </c>
    </row>
    <row r="611" spans="1:4">
      <c r="A611" t="s">
        <v>2218</v>
      </c>
      <c r="B611" t="s">
        <v>2219</v>
      </c>
      <c r="C611" t="s">
        <v>2218</v>
      </c>
      <c r="D611">
        <v>7373</v>
      </c>
    </row>
    <row r="612" spans="1:4">
      <c r="A612" t="s">
        <v>2220</v>
      </c>
      <c r="B612" t="s">
        <v>2221</v>
      </c>
      <c r="C612" t="s">
        <v>2220</v>
      </c>
      <c r="D612">
        <v>1381</v>
      </c>
    </row>
    <row r="613" spans="1:4">
      <c r="A613" t="s">
        <v>2222</v>
      </c>
      <c r="B613" t="s">
        <v>2223</v>
      </c>
      <c r="C613" t="s">
        <v>2222</v>
      </c>
      <c r="D613">
        <v>3576</v>
      </c>
    </row>
    <row r="614" spans="1:4">
      <c r="A614" t="s">
        <v>2224</v>
      </c>
      <c r="B614" t="s">
        <v>2225</v>
      </c>
      <c r="C614" t="s">
        <v>2224</v>
      </c>
      <c r="D614">
        <v>2082</v>
      </c>
    </row>
    <row r="615" spans="1:4">
      <c r="A615" t="s">
        <v>2226</v>
      </c>
      <c r="B615" t="s">
        <v>2227</v>
      </c>
      <c r="C615" t="s">
        <v>2226</v>
      </c>
      <c r="D615">
        <v>6798</v>
      </c>
    </row>
    <row r="616" spans="1:4">
      <c r="A616" t="s">
        <v>2228</v>
      </c>
      <c r="B616" t="s">
        <v>2229</v>
      </c>
      <c r="C616" t="s">
        <v>2228</v>
      </c>
      <c r="D616">
        <v>3841</v>
      </c>
    </row>
    <row r="617" spans="1:4">
      <c r="A617" t="s">
        <v>2230</v>
      </c>
      <c r="B617" t="s">
        <v>2231</v>
      </c>
      <c r="C617" t="s">
        <v>2230</v>
      </c>
      <c r="D617">
        <v>8742</v>
      </c>
    </row>
    <row r="618" spans="1:4">
      <c r="A618" t="s">
        <v>2232</v>
      </c>
      <c r="B618" t="s">
        <v>2233</v>
      </c>
      <c r="C618" t="s">
        <v>2232</v>
      </c>
      <c r="D618">
        <v>7372</v>
      </c>
    </row>
    <row r="619" spans="1:4">
      <c r="A619" t="s">
        <v>2234</v>
      </c>
      <c r="B619" t="s">
        <v>2235</v>
      </c>
      <c r="C619" t="s">
        <v>2234</v>
      </c>
      <c r="D619">
        <v>5961</v>
      </c>
    </row>
    <row r="620" spans="1:4">
      <c r="A620" t="s">
        <v>2236</v>
      </c>
      <c r="B620" t="s">
        <v>2237</v>
      </c>
      <c r="C620" t="s">
        <v>2236</v>
      </c>
      <c r="D620">
        <v>8200</v>
      </c>
    </row>
    <row r="621" spans="1:4">
      <c r="A621" t="s">
        <v>2238</v>
      </c>
      <c r="B621" t="s">
        <v>2239</v>
      </c>
      <c r="C621" t="s">
        <v>2238</v>
      </c>
      <c r="D621">
        <v>7011</v>
      </c>
    </row>
    <row r="622" spans="1:4">
      <c r="A622" t="s">
        <v>2240</v>
      </c>
      <c r="B622" t="s">
        <v>2241</v>
      </c>
      <c r="C622" t="s">
        <v>2240</v>
      </c>
      <c r="D622">
        <v>3990</v>
      </c>
    </row>
    <row r="623" spans="1:4">
      <c r="A623" t="s">
        <v>2242</v>
      </c>
      <c r="B623" t="s">
        <v>2243</v>
      </c>
      <c r="C623" t="s">
        <v>2242</v>
      </c>
      <c r="D623">
        <v>6798</v>
      </c>
    </row>
    <row r="624" spans="1:4">
      <c r="A624" t="s">
        <v>2244</v>
      </c>
      <c r="B624" t="s">
        <v>2245</v>
      </c>
      <c r="C624" t="s">
        <v>2244</v>
      </c>
      <c r="D624">
        <v>6798</v>
      </c>
    </row>
    <row r="625" spans="1:4">
      <c r="A625" t="s">
        <v>2246</v>
      </c>
      <c r="B625" t="s">
        <v>2247</v>
      </c>
      <c r="C625" t="s">
        <v>2246</v>
      </c>
      <c r="D625">
        <v>7372</v>
      </c>
    </row>
    <row r="626" spans="1:4">
      <c r="A626" t="s">
        <v>2248</v>
      </c>
      <c r="B626" t="s">
        <v>2249</v>
      </c>
      <c r="C626" t="s">
        <v>2248</v>
      </c>
      <c r="D626">
        <v>2836</v>
      </c>
    </row>
    <row r="627" spans="1:4">
      <c r="A627" t="s">
        <v>2250</v>
      </c>
      <c r="B627" t="s">
        <v>2251</v>
      </c>
      <c r="C627" t="s">
        <v>2250</v>
      </c>
      <c r="D627">
        <v>2834</v>
      </c>
    </row>
    <row r="628" spans="1:4">
      <c r="A628" t="s">
        <v>2252</v>
      </c>
      <c r="B628" t="s">
        <v>2253</v>
      </c>
      <c r="C628" t="s">
        <v>2252</v>
      </c>
      <c r="D628">
        <v>7372</v>
      </c>
    </row>
    <row r="629" spans="1:4">
      <c r="A629" t="s">
        <v>2254</v>
      </c>
      <c r="B629" t="s">
        <v>2255</v>
      </c>
      <c r="C629" t="s">
        <v>2254</v>
      </c>
      <c r="D629">
        <v>6022</v>
      </c>
    </row>
    <row r="630" spans="1:4">
      <c r="A630" t="s">
        <v>2256</v>
      </c>
      <c r="B630" t="s">
        <v>2257</v>
      </c>
      <c r="C630" t="s">
        <v>2256</v>
      </c>
      <c r="D630">
        <v>2013</v>
      </c>
    </row>
    <row r="631" spans="1:4">
      <c r="A631" t="s">
        <v>2258</v>
      </c>
      <c r="B631" t="s">
        <v>2259</v>
      </c>
      <c r="C631" t="s">
        <v>2258</v>
      </c>
      <c r="D631">
        <v>1311</v>
      </c>
    </row>
    <row r="632" spans="1:4">
      <c r="A632" t="s">
        <v>2260</v>
      </c>
      <c r="B632" t="s">
        <v>2261</v>
      </c>
      <c r="C632" t="s">
        <v>2260</v>
      </c>
      <c r="D632">
        <v>6324</v>
      </c>
    </row>
    <row r="633" spans="1:4">
      <c r="A633" t="s">
        <v>2262</v>
      </c>
      <c r="B633" t="s">
        <v>2263</v>
      </c>
      <c r="C633" t="s">
        <v>2262</v>
      </c>
      <c r="D633">
        <v>8351</v>
      </c>
    </row>
    <row r="634" spans="1:4">
      <c r="A634" t="s">
        <v>2264</v>
      </c>
      <c r="B634" t="s">
        <v>2265</v>
      </c>
      <c r="C634" t="s">
        <v>2264</v>
      </c>
      <c r="D634">
        <v>8200</v>
      </c>
    </row>
    <row r="635" spans="1:4">
      <c r="A635" t="s">
        <v>2266</v>
      </c>
      <c r="B635" t="s">
        <v>2267</v>
      </c>
      <c r="C635" t="s">
        <v>2266</v>
      </c>
      <c r="D635">
        <v>7374</v>
      </c>
    </row>
    <row r="636" spans="1:4">
      <c r="A636" t="s">
        <v>2268</v>
      </c>
      <c r="B636" t="s">
        <v>2269</v>
      </c>
      <c r="C636" t="s">
        <v>2268</v>
      </c>
      <c r="D636">
        <v>6311</v>
      </c>
    </row>
    <row r="637" spans="1:4">
      <c r="A637" t="s">
        <v>2270</v>
      </c>
      <c r="B637" t="s">
        <v>2271</v>
      </c>
      <c r="C637" t="s">
        <v>2270</v>
      </c>
      <c r="D637">
        <v>6282</v>
      </c>
    </row>
    <row r="638" spans="1:4">
      <c r="A638" t="s">
        <v>2272</v>
      </c>
      <c r="B638" t="s">
        <v>2273</v>
      </c>
      <c r="C638" t="s">
        <v>2272</v>
      </c>
      <c r="D638">
        <v>6798</v>
      </c>
    </row>
    <row r="639" spans="1:4">
      <c r="A639" t="s">
        <v>2274</v>
      </c>
      <c r="B639" t="s">
        <v>2275</v>
      </c>
      <c r="C639" t="s">
        <v>2274</v>
      </c>
      <c r="D639">
        <v>700</v>
      </c>
    </row>
    <row r="640" spans="1:4">
      <c r="A640" t="s">
        <v>2276</v>
      </c>
      <c r="B640" t="s">
        <v>2277</v>
      </c>
      <c r="C640" t="s">
        <v>2276</v>
      </c>
      <c r="D640">
        <v>3910</v>
      </c>
    </row>
    <row r="641" spans="1:4">
      <c r="A641" t="s">
        <v>2278</v>
      </c>
      <c r="B641" t="s">
        <v>2279</v>
      </c>
      <c r="C641" t="s">
        <v>2278</v>
      </c>
      <c r="D641">
        <v>5812</v>
      </c>
    </row>
    <row r="642" spans="1:4">
      <c r="A642" t="s">
        <v>2280</v>
      </c>
      <c r="B642" t="s">
        <v>2281</v>
      </c>
      <c r="C642" t="s">
        <v>2280</v>
      </c>
      <c r="D642">
        <v>4731</v>
      </c>
    </row>
    <row r="643" spans="1:4">
      <c r="A643" t="s">
        <v>2282</v>
      </c>
      <c r="B643" t="s">
        <v>2283</v>
      </c>
      <c r="C643" t="s">
        <v>2282</v>
      </c>
      <c r="D643">
        <v>2834</v>
      </c>
    </row>
    <row r="644" spans="1:4">
      <c r="A644" t="s">
        <v>2284</v>
      </c>
      <c r="B644" t="s">
        <v>2285</v>
      </c>
      <c r="C644" t="s">
        <v>2284</v>
      </c>
      <c r="D644">
        <v>4522</v>
      </c>
    </row>
    <row r="645" spans="1:4">
      <c r="A645" t="s">
        <v>2286</v>
      </c>
      <c r="B645" t="s">
        <v>2287</v>
      </c>
      <c r="C645" t="s">
        <v>2286</v>
      </c>
      <c r="D645">
        <v>6798</v>
      </c>
    </row>
    <row r="646" spans="1:4">
      <c r="A646" t="s">
        <v>2288</v>
      </c>
      <c r="B646" t="s">
        <v>2289</v>
      </c>
      <c r="C646" t="s">
        <v>2288</v>
      </c>
      <c r="D646">
        <v>6500</v>
      </c>
    </row>
    <row r="647" spans="1:4">
      <c r="A647" t="s">
        <v>2290</v>
      </c>
      <c r="B647" t="s">
        <v>2291</v>
      </c>
      <c r="C647" t="s">
        <v>2290</v>
      </c>
      <c r="D647">
        <v>3674</v>
      </c>
    </row>
    <row r="648" spans="1:4">
      <c r="A648" t="s">
        <v>2292</v>
      </c>
      <c r="B648" t="s">
        <v>2293</v>
      </c>
      <c r="C648" t="s">
        <v>2292</v>
      </c>
      <c r="D648">
        <v>6798</v>
      </c>
    </row>
    <row r="649" spans="1:4">
      <c r="A649" t="s">
        <v>2294</v>
      </c>
      <c r="B649" t="s">
        <v>2295</v>
      </c>
      <c r="C649" t="s">
        <v>2294</v>
      </c>
      <c r="D649">
        <v>7389</v>
      </c>
    </row>
    <row r="650" spans="1:4">
      <c r="A650" t="s">
        <v>2296</v>
      </c>
      <c r="B650" t="s">
        <v>2297</v>
      </c>
      <c r="C650" t="s">
        <v>2296</v>
      </c>
      <c r="D650">
        <v>6798</v>
      </c>
    </row>
    <row r="651" spans="1:4">
      <c r="A651" t="s">
        <v>2298</v>
      </c>
      <c r="B651" t="s">
        <v>2299</v>
      </c>
      <c r="C651" t="s">
        <v>2298</v>
      </c>
      <c r="D651">
        <v>6035</v>
      </c>
    </row>
    <row r="652" spans="1:4">
      <c r="A652" t="s">
        <v>2300</v>
      </c>
      <c r="B652" t="s">
        <v>2301</v>
      </c>
      <c r="C652" t="s">
        <v>2300</v>
      </c>
      <c r="D652">
        <v>3360</v>
      </c>
    </row>
    <row r="653" spans="1:4">
      <c r="A653" t="s">
        <v>2302</v>
      </c>
      <c r="B653" t="s">
        <v>2303</v>
      </c>
      <c r="C653" t="s">
        <v>2302</v>
      </c>
      <c r="D653">
        <v>8050</v>
      </c>
    </row>
    <row r="654" spans="1:4">
      <c r="A654" t="s">
        <v>2304</v>
      </c>
      <c r="B654" t="s">
        <v>2305</v>
      </c>
      <c r="C654" t="s">
        <v>2304</v>
      </c>
      <c r="D654">
        <v>6035</v>
      </c>
    </row>
    <row r="655" spans="1:4">
      <c r="A655" t="s">
        <v>2306</v>
      </c>
      <c r="B655" t="s">
        <v>2307</v>
      </c>
      <c r="C655" t="s">
        <v>2306</v>
      </c>
      <c r="D655">
        <v>3559</v>
      </c>
    </row>
    <row r="656" spans="1:4">
      <c r="A656" t="s">
        <v>2308</v>
      </c>
      <c r="B656" t="s">
        <v>2309</v>
      </c>
      <c r="C656" t="s">
        <v>2308</v>
      </c>
      <c r="D656">
        <v>6411</v>
      </c>
    </row>
    <row r="657" spans="1:4">
      <c r="A657" t="s">
        <v>2310</v>
      </c>
      <c r="B657" t="s">
        <v>2311</v>
      </c>
      <c r="C657" t="s">
        <v>2310</v>
      </c>
      <c r="D657">
        <v>2080</v>
      </c>
    </row>
    <row r="658" spans="1:4">
      <c r="A658" t="s">
        <v>2312</v>
      </c>
      <c r="B658" t="s">
        <v>2313</v>
      </c>
      <c r="C658" t="s">
        <v>2312</v>
      </c>
      <c r="D658">
        <v>6798</v>
      </c>
    </row>
    <row r="659" spans="1:4">
      <c r="A659" t="s">
        <v>2314</v>
      </c>
      <c r="B659" t="s">
        <v>2315</v>
      </c>
      <c r="C659" t="s">
        <v>2314</v>
      </c>
      <c r="D659">
        <v>3826</v>
      </c>
    </row>
    <row r="660" spans="1:4">
      <c r="A660" t="s">
        <v>2316</v>
      </c>
      <c r="B660" t="s">
        <v>2317</v>
      </c>
      <c r="C660" t="s">
        <v>2316</v>
      </c>
      <c r="D660">
        <v>3510</v>
      </c>
    </row>
    <row r="661" spans="1:4">
      <c r="A661" t="s">
        <v>2318</v>
      </c>
      <c r="B661" t="s">
        <v>2319</v>
      </c>
      <c r="C661" t="s">
        <v>2318</v>
      </c>
      <c r="D661">
        <v>7389</v>
      </c>
    </row>
    <row r="662" spans="1:4">
      <c r="A662" t="s">
        <v>2320</v>
      </c>
      <c r="B662" t="s">
        <v>2321</v>
      </c>
      <c r="C662" t="s">
        <v>2320</v>
      </c>
      <c r="D662">
        <v>7371</v>
      </c>
    </row>
    <row r="663" spans="1:4">
      <c r="A663" t="s">
        <v>2322</v>
      </c>
      <c r="B663" t="s">
        <v>2323</v>
      </c>
      <c r="C663" t="s">
        <v>2322</v>
      </c>
      <c r="D663">
        <v>5651</v>
      </c>
    </row>
    <row r="664" spans="1:4">
      <c r="A664" t="s">
        <v>2324</v>
      </c>
      <c r="B664" t="s">
        <v>2325</v>
      </c>
      <c r="C664" t="s">
        <v>2324</v>
      </c>
      <c r="D664">
        <v>5945</v>
      </c>
    </row>
    <row r="665" spans="1:4">
      <c r="A665" t="s">
        <v>2326</v>
      </c>
      <c r="B665" t="s">
        <v>2327</v>
      </c>
      <c r="C665" t="s">
        <v>2326</v>
      </c>
      <c r="D665">
        <v>5211</v>
      </c>
    </row>
    <row r="666" spans="1:4">
      <c r="A666" t="s">
        <v>2328</v>
      </c>
      <c r="B666" t="s">
        <v>2329</v>
      </c>
      <c r="C666" t="s">
        <v>2328</v>
      </c>
      <c r="D666">
        <v>7370</v>
      </c>
    </row>
    <row r="667" spans="1:4">
      <c r="A667" t="s">
        <v>2330</v>
      </c>
      <c r="B667" t="s">
        <v>2331</v>
      </c>
      <c r="C667" t="s">
        <v>2330</v>
      </c>
      <c r="D667">
        <v>2070</v>
      </c>
    </row>
    <row r="668" spans="1:4">
      <c r="A668" t="s">
        <v>2332</v>
      </c>
      <c r="B668" t="s">
        <v>2333</v>
      </c>
      <c r="C668" t="s">
        <v>2332</v>
      </c>
      <c r="D668">
        <v>6199</v>
      </c>
    </row>
    <row r="669" spans="1:4">
      <c r="A669" t="s">
        <v>2334</v>
      </c>
      <c r="B669" t="s">
        <v>2335</v>
      </c>
      <c r="C669" t="s">
        <v>2334</v>
      </c>
      <c r="D669">
        <v>5311</v>
      </c>
    </row>
    <row r="670" spans="1:4">
      <c r="A670" t="s">
        <v>2336</v>
      </c>
      <c r="B670" t="s">
        <v>2337</v>
      </c>
      <c r="C670" t="s">
        <v>2336</v>
      </c>
      <c r="D670">
        <v>8071</v>
      </c>
    </row>
    <row r="671" spans="1:4">
      <c r="A671" t="s">
        <v>2338</v>
      </c>
      <c r="B671" t="s">
        <v>2339</v>
      </c>
      <c r="C671" t="s">
        <v>2338</v>
      </c>
      <c r="D671">
        <v>6022</v>
      </c>
    </row>
    <row r="672" spans="1:4">
      <c r="A672" t="s">
        <v>2340</v>
      </c>
      <c r="B672" t="s">
        <v>2341</v>
      </c>
      <c r="C672" t="s">
        <v>2340</v>
      </c>
      <c r="D672">
        <v>7990</v>
      </c>
    </row>
    <row r="673" spans="1:4">
      <c r="A673" t="s">
        <v>2342</v>
      </c>
      <c r="B673" t="s">
        <v>2343</v>
      </c>
      <c r="C673" t="s">
        <v>2342</v>
      </c>
      <c r="D673">
        <v>3844</v>
      </c>
    </row>
    <row r="674" spans="1:4">
      <c r="A674" t="s">
        <v>2344</v>
      </c>
      <c r="B674" t="s">
        <v>2345</v>
      </c>
      <c r="C674" t="s">
        <v>2344</v>
      </c>
      <c r="D674">
        <v>4899</v>
      </c>
    </row>
    <row r="675" spans="1:4">
      <c r="A675" t="s">
        <v>2346</v>
      </c>
      <c r="B675" t="s">
        <v>2347</v>
      </c>
      <c r="C675" t="s">
        <v>2346</v>
      </c>
      <c r="D675">
        <v>3510</v>
      </c>
    </row>
    <row r="676" spans="1:4">
      <c r="A676" t="s">
        <v>2348</v>
      </c>
      <c r="B676" t="s">
        <v>2349</v>
      </c>
      <c r="C676" t="s">
        <v>2348</v>
      </c>
      <c r="D676">
        <v>6022</v>
      </c>
    </row>
    <row r="677" spans="1:4">
      <c r="A677" t="s">
        <v>2350</v>
      </c>
      <c r="B677" t="s">
        <v>2351</v>
      </c>
      <c r="C677" t="s">
        <v>2350</v>
      </c>
      <c r="D677">
        <v>3690</v>
      </c>
    </row>
    <row r="678" spans="1:4">
      <c r="A678" t="s">
        <v>2352</v>
      </c>
      <c r="B678" t="s">
        <v>2353</v>
      </c>
      <c r="C678" t="s">
        <v>2352</v>
      </c>
      <c r="D678">
        <v>4731</v>
      </c>
    </row>
    <row r="679" spans="1:4">
      <c r="A679" t="s">
        <v>2354</v>
      </c>
      <c r="B679" t="s">
        <v>2355</v>
      </c>
      <c r="C679" t="s">
        <v>2354</v>
      </c>
      <c r="D679">
        <v>7372</v>
      </c>
    </row>
    <row r="680" spans="1:4">
      <c r="A680" t="s">
        <v>2356</v>
      </c>
      <c r="B680" t="s">
        <v>2357</v>
      </c>
      <c r="C680" t="s">
        <v>2356</v>
      </c>
      <c r="D680">
        <v>4841</v>
      </c>
    </row>
    <row r="681" spans="1:4">
      <c r="A681" t="s">
        <v>2358</v>
      </c>
      <c r="B681" t="s">
        <v>2359</v>
      </c>
      <c r="C681" t="s">
        <v>2358</v>
      </c>
      <c r="D681">
        <v>2890</v>
      </c>
    </row>
    <row r="682" spans="1:4">
      <c r="A682" t="s">
        <v>2360</v>
      </c>
      <c r="B682" t="s">
        <v>2361</v>
      </c>
      <c r="C682" t="s">
        <v>2360</v>
      </c>
      <c r="D682">
        <v>7373</v>
      </c>
    </row>
    <row r="683" spans="1:4">
      <c r="A683" t="s">
        <v>2362</v>
      </c>
      <c r="B683" t="s">
        <v>2363</v>
      </c>
      <c r="C683" t="s">
        <v>2362</v>
      </c>
      <c r="D683">
        <v>3533</v>
      </c>
    </row>
    <row r="684" spans="1:4">
      <c r="A684" t="s">
        <v>2364</v>
      </c>
      <c r="B684" t="s">
        <v>2365</v>
      </c>
      <c r="C684" t="s">
        <v>2364</v>
      </c>
      <c r="D684">
        <v>7372</v>
      </c>
    </row>
    <row r="685" spans="1:4">
      <c r="A685" t="s">
        <v>2366</v>
      </c>
      <c r="B685" t="s">
        <v>2367</v>
      </c>
      <c r="C685" t="s">
        <v>2366</v>
      </c>
      <c r="D685">
        <v>4941</v>
      </c>
    </row>
    <row r="686" spans="1:4">
      <c r="A686" t="s">
        <v>2368</v>
      </c>
      <c r="B686" t="s">
        <v>2369</v>
      </c>
      <c r="C686" t="s">
        <v>2368</v>
      </c>
      <c r="D686">
        <v>3842</v>
      </c>
    </row>
    <row r="687" spans="1:4">
      <c r="A687" t="s">
        <v>2370</v>
      </c>
      <c r="B687" t="s">
        <v>2371</v>
      </c>
      <c r="C687" t="s">
        <v>2370</v>
      </c>
      <c r="D687">
        <v>7011</v>
      </c>
    </row>
    <row r="688" spans="1:4">
      <c r="A688" t="s">
        <v>2372</v>
      </c>
      <c r="B688" t="s">
        <v>2373</v>
      </c>
      <c r="C688" t="s">
        <v>2372</v>
      </c>
      <c r="D688">
        <v>3281</v>
      </c>
    </row>
    <row r="689" spans="1:4">
      <c r="A689" t="s">
        <v>2374</v>
      </c>
      <c r="B689" t="s">
        <v>2375</v>
      </c>
      <c r="C689" t="s">
        <v>2374</v>
      </c>
      <c r="D689">
        <v>200</v>
      </c>
    </row>
    <row r="690" spans="1:4">
      <c r="A690" t="s">
        <v>2376</v>
      </c>
      <c r="B690" t="s">
        <v>2377</v>
      </c>
      <c r="C690" t="s">
        <v>2376</v>
      </c>
      <c r="D690">
        <v>3663</v>
      </c>
    </row>
    <row r="691" spans="1:4">
      <c r="A691" t="s">
        <v>2378</v>
      </c>
      <c r="B691" t="s">
        <v>2379</v>
      </c>
      <c r="C691" t="s">
        <v>2378</v>
      </c>
      <c r="D691">
        <v>700</v>
      </c>
    </row>
    <row r="692" spans="1:4">
      <c r="A692" t="s">
        <v>2380</v>
      </c>
      <c r="B692" t="s">
        <v>2381</v>
      </c>
      <c r="C692" t="s">
        <v>2380</v>
      </c>
      <c r="D692">
        <v>3140</v>
      </c>
    </row>
    <row r="693" spans="1:4">
      <c r="A693" t="s">
        <v>2382</v>
      </c>
      <c r="B693" t="s">
        <v>2383</v>
      </c>
      <c r="C693" t="s">
        <v>2382</v>
      </c>
      <c r="D693">
        <v>6022</v>
      </c>
    </row>
    <row r="694" spans="1:4">
      <c r="A694" t="s">
        <v>2384</v>
      </c>
      <c r="B694" t="s">
        <v>2385</v>
      </c>
      <c r="C694" t="s">
        <v>2384</v>
      </c>
      <c r="D694">
        <v>4941</v>
      </c>
    </row>
    <row r="695" spans="1:4">
      <c r="A695" t="s">
        <v>2386</v>
      </c>
      <c r="B695" t="s">
        <v>2387</v>
      </c>
      <c r="C695" t="s">
        <v>2386</v>
      </c>
      <c r="D695">
        <v>4899</v>
      </c>
    </row>
    <row r="696" spans="1:4">
      <c r="A696" t="s">
        <v>2388</v>
      </c>
      <c r="B696" t="s">
        <v>2389</v>
      </c>
      <c r="C696" t="s">
        <v>2388</v>
      </c>
      <c r="D696">
        <v>3949</v>
      </c>
    </row>
    <row r="697" spans="1:4">
      <c r="A697" t="s">
        <v>2390</v>
      </c>
      <c r="B697" t="s">
        <v>2391</v>
      </c>
      <c r="C697" t="s">
        <v>2390</v>
      </c>
      <c r="D697">
        <v>1311</v>
      </c>
    </row>
    <row r="698" spans="1:4">
      <c r="A698" t="s">
        <v>2392</v>
      </c>
      <c r="B698" t="s">
        <v>2393</v>
      </c>
      <c r="C698" t="s">
        <v>2392</v>
      </c>
      <c r="D698">
        <v>2911</v>
      </c>
    </row>
    <row r="699" spans="1:4">
      <c r="A699" t="s">
        <v>2394</v>
      </c>
      <c r="B699" t="s">
        <v>2395</v>
      </c>
      <c r="C699" t="s">
        <v>2394</v>
      </c>
      <c r="D699">
        <v>3663</v>
      </c>
    </row>
    <row r="700" spans="1:4">
      <c r="A700" t="s">
        <v>2396</v>
      </c>
      <c r="B700" t="s">
        <v>2397</v>
      </c>
      <c r="C700" t="s">
        <v>2396</v>
      </c>
      <c r="D700">
        <v>6022</v>
      </c>
    </row>
    <row r="701" spans="1:4">
      <c r="A701" t="s">
        <v>2398</v>
      </c>
      <c r="B701" t="s">
        <v>2399</v>
      </c>
      <c r="C701" t="s">
        <v>2398</v>
      </c>
      <c r="D701">
        <v>6021</v>
      </c>
    </row>
    <row r="702" spans="1:4">
      <c r="A702" t="s">
        <v>2400</v>
      </c>
      <c r="B702" t="s">
        <v>2401</v>
      </c>
      <c r="C702" t="s">
        <v>2400</v>
      </c>
      <c r="D702">
        <v>6798</v>
      </c>
    </row>
    <row r="703" spans="1:4">
      <c r="A703" t="s">
        <v>2402</v>
      </c>
      <c r="B703" t="s">
        <v>2403</v>
      </c>
      <c r="C703" t="s">
        <v>2402</v>
      </c>
      <c r="D703">
        <v>2000</v>
      </c>
    </row>
    <row r="704" spans="1:4">
      <c r="A704" t="s">
        <v>2404</v>
      </c>
      <c r="B704" t="s">
        <v>2405</v>
      </c>
      <c r="C704" t="s">
        <v>2404</v>
      </c>
      <c r="D704">
        <v>5500</v>
      </c>
    </row>
    <row r="705" spans="1:4">
      <c r="A705" t="s">
        <v>2406</v>
      </c>
      <c r="B705" t="s">
        <v>2407</v>
      </c>
      <c r="C705" t="s">
        <v>2406</v>
      </c>
      <c r="D705">
        <v>3827</v>
      </c>
    </row>
    <row r="706" spans="1:4">
      <c r="A706" t="s">
        <v>2408</v>
      </c>
      <c r="B706" t="s">
        <v>2409</v>
      </c>
      <c r="C706" t="s">
        <v>2408</v>
      </c>
      <c r="D706">
        <v>3674</v>
      </c>
    </row>
    <row r="707" spans="1:4">
      <c r="A707" t="s">
        <v>2410</v>
      </c>
      <c r="B707" t="s">
        <v>2411</v>
      </c>
      <c r="C707" t="s">
        <v>2410</v>
      </c>
      <c r="D707">
        <v>3674</v>
      </c>
    </row>
    <row r="708" spans="1:4">
      <c r="A708" t="s">
        <v>2412</v>
      </c>
      <c r="B708" t="s">
        <v>2413</v>
      </c>
      <c r="C708" t="s">
        <v>2412</v>
      </c>
      <c r="D708">
        <v>2836</v>
      </c>
    </row>
    <row r="709" spans="1:4">
      <c r="A709" t="s">
        <v>2414</v>
      </c>
      <c r="B709" t="s">
        <v>2415</v>
      </c>
      <c r="C709" t="s">
        <v>2414</v>
      </c>
      <c r="D709">
        <v>7372</v>
      </c>
    </row>
    <row r="710" spans="1:4">
      <c r="A710" t="s">
        <v>2416</v>
      </c>
      <c r="B710" t="s">
        <v>2417</v>
      </c>
      <c r="C710" t="s">
        <v>2416</v>
      </c>
      <c r="D710">
        <v>5810</v>
      </c>
    </row>
    <row r="711" spans="1:4">
      <c r="A711" t="s">
        <v>2418</v>
      </c>
      <c r="B711" t="s">
        <v>2419</v>
      </c>
      <c r="C711" t="s">
        <v>2418</v>
      </c>
      <c r="D711">
        <v>8011</v>
      </c>
    </row>
    <row r="712" spans="1:4">
      <c r="A712" t="s">
        <v>2420</v>
      </c>
      <c r="B712" t="s">
        <v>2421</v>
      </c>
      <c r="C712" t="s">
        <v>2420</v>
      </c>
      <c r="D712">
        <v>3714</v>
      </c>
    </row>
    <row r="713" spans="1:4">
      <c r="A713" t="s">
        <v>2422</v>
      </c>
      <c r="B713" t="s">
        <v>2423</v>
      </c>
      <c r="C713" t="s">
        <v>2422</v>
      </c>
      <c r="D713">
        <v>3578</v>
      </c>
    </row>
    <row r="714" spans="1:4">
      <c r="A714" t="s">
        <v>2424</v>
      </c>
      <c r="B714" t="s">
        <v>2425</v>
      </c>
      <c r="C714" t="s">
        <v>2424</v>
      </c>
      <c r="D714">
        <v>7948</v>
      </c>
    </row>
    <row r="715" spans="1:4">
      <c r="A715" t="s">
        <v>2426</v>
      </c>
      <c r="B715" t="s">
        <v>2427</v>
      </c>
      <c r="C715" t="s">
        <v>2426</v>
      </c>
      <c r="D715">
        <v>6021</v>
      </c>
    </row>
    <row r="716" spans="1:4">
      <c r="A716" t="s">
        <v>2428</v>
      </c>
      <c r="B716" t="s">
        <v>2429</v>
      </c>
      <c r="C716" t="s">
        <v>2428</v>
      </c>
      <c r="D716">
        <v>6022</v>
      </c>
    </row>
    <row r="717" spans="1:4">
      <c r="A717" t="s">
        <v>2430</v>
      </c>
      <c r="B717" t="s">
        <v>2431</v>
      </c>
      <c r="C717" t="s">
        <v>2430</v>
      </c>
      <c r="D717">
        <v>6021</v>
      </c>
    </row>
    <row r="718" spans="1:4">
      <c r="A718" t="s">
        <v>2432</v>
      </c>
      <c r="B718" t="s">
        <v>2433</v>
      </c>
      <c r="C718" t="s">
        <v>2432</v>
      </c>
      <c r="D718">
        <v>6035</v>
      </c>
    </row>
    <row r="719" spans="1:4">
      <c r="A719" t="s">
        <v>2434</v>
      </c>
      <c r="B719" t="s">
        <v>2435</v>
      </c>
      <c r="C719" t="s">
        <v>2434</v>
      </c>
      <c r="D719">
        <v>3100</v>
      </c>
    </row>
    <row r="720" spans="1:4">
      <c r="A720" t="s">
        <v>2436</v>
      </c>
      <c r="B720" t="s">
        <v>2437</v>
      </c>
      <c r="C720" t="s">
        <v>2436</v>
      </c>
      <c r="D720">
        <v>2834</v>
      </c>
    </row>
    <row r="721" spans="1:4">
      <c r="A721" t="s">
        <v>2438</v>
      </c>
      <c r="B721" t="s">
        <v>2439</v>
      </c>
      <c r="C721" t="s">
        <v>2438</v>
      </c>
      <c r="D721">
        <v>6022</v>
      </c>
    </row>
    <row r="722" spans="1:4">
      <c r="A722" t="s">
        <v>2440</v>
      </c>
      <c r="B722" t="s">
        <v>2441</v>
      </c>
      <c r="C722" t="s">
        <v>2440</v>
      </c>
      <c r="D722">
        <v>3510</v>
      </c>
    </row>
    <row r="723" spans="1:4">
      <c r="A723" t="s">
        <v>2442</v>
      </c>
      <c r="B723" t="s">
        <v>2443</v>
      </c>
      <c r="C723" t="s">
        <v>2442</v>
      </c>
      <c r="D723">
        <v>2834</v>
      </c>
    </row>
    <row r="724" spans="1:4">
      <c r="A724" t="s">
        <v>2444</v>
      </c>
      <c r="B724" t="s">
        <v>2445</v>
      </c>
      <c r="C724" t="s">
        <v>2444</v>
      </c>
      <c r="D724">
        <v>2836</v>
      </c>
    </row>
    <row r="725" spans="1:4">
      <c r="A725" t="s">
        <v>2446</v>
      </c>
      <c r="B725" t="s">
        <v>2447</v>
      </c>
      <c r="C725" t="s">
        <v>2446</v>
      </c>
      <c r="D725">
        <v>5122</v>
      </c>
    </row>
    <row r="726" spans="1:4">
      <c r="A726" t="s">
        <v>2448</v>
      </c>
      <c r="B726" t="s">
        <v>2449</v>
      </c>
      <c r="C726" t="s">
        <v>2448</v>
      </c>
      <c r="D726">
        <v>3841</v>
      </c>
    </row>
    <row r="727" spans="1:4">
      <c r="A727" t="s">
        <v>2450</v>
      </c>
      <c r="B727" t="s">
        <v>2451</v>
      </c>
      <c r="C727" t="s">
        <v>2450</v>
      </c>
      <c r="D727">
        <v>7370</v>
      </c>
    </row>
    <row r="728" spans="1:4">
      <c r="A728" t="s">
        <v>2452</v>
      </c>
      <c r="B728" t="s">
        <v>2453</v>
      </c>
      <c r="C728" t="s">
        <v>2452</v>
      </c>
      <c r="D728">
        <v>7372</v>
      </c>
    </row>
    <row r="729" spans="1:4">
      <c r="A729" t="s">
        <v>2454</v>
      </c>
      <c r="B729" t="s">
        <v>2455</v>
      </c>
      <c r="C729" t="s">
        <v>2454</v>
      </c>
      <c r="D729">
        <v>8071</v>
      </c>
    </row>
    <row r="730" spans="1:4">
      <c r="A730" t="s">
        <v>2456</v>
      </c>
      <c r="B730" t="s">
        <v>2457</v>
      </c>
      <c r="C730" t="s">
        <v>2456</v>
      </c>
      <c r="D730">
        <v>8050</v>
      </c>
    </row>
    <row r="731" spans="1:4">
      <c r="A731" t="s">
        <v>2458</v>
      </c>
      <c r="B731" t="s">
        <v>2459</v>
      </c>
      <c r="C731" t="s">
        <v>2458</v>
      </c>
      <c r="D731">
        <v>6798</v>
      </c>
    </row>
    <row r="732" spans="1:4">
      <c r="A732" t="s">
        <v>2460</v>
      </c>
      <c r="B732" t="s">
        <v>2461</v>
      </c>
      <c r="C732" t="s">
        <v>2460</v>
      </c>
      <c r="D732">
        <v>7374</v>
      </c>
    </row>
    <row r="733" spans="1:4">
      <c r="A733" t="s">
        <v>2462</v>
      </c>
      <c r="B733" t="s">
        <v>2463</v>
      </c>
      <c r="C733" t="s">
        <v>2462</v>
      </c>
      <c r="D733">
        <v>2836</v>
      </c>
    </row>
    <row r="734" spans="1:4">
      <c r="A734" t="s">
        <v>2464</v>
      </c>
      <c r="B734" t="s">
        <v>2465</v>
      </c>
      <c r="C734" t="s">
        <v>2464</v>
      </c>
      <c r="D734">
        <v>3060</v>
      </c>
    </row>
    <row r="735" spans="1:4">
      <c r="A735" t="s">
        <v>2466</v>
      </c>
      <c r="B735" t="s">
        <v>2467</v>
      </c>
      <c r="C735" t="s">
        <v>2466</v>
      </c>
      <c r="D735">
        <v>5500</v>
      </c>
    </row>
    <row r="736" spans="1:4">
      <c r="A736" t="s">
        <v>2468</v>
      </c>
      <c r="B736" t="s">
        <v>2469</v>
      </c>
      <c r="C736" t="s">
        <v>2468</v>
      </c>
      <c r="D736">
        <v>6282</v>
      </c>
    </row>
    <row r="737" spans="1:4">
      <c r="A737" t="s">
        <v>2470</v>
      </c>
      <c r="B737" t="s">
        <v>2471</v>
      </c>
      <c r="C737" t="s">
        <v>2470</v>
      </c>
      <c r="D737">
        <v>5500</v>
      </c>
    </row>
    <row r="738" spans="1:4">
      <c r="A738" t="s">
        <v>461</v>
      </c>
      <c r="B738" t="s">
        <v>462</v>
      </c>
      <c r="C738" t="s">
        <v>461</v>
      </c>
      <c r="D738">
        <v>4400</v>
      </c>
    </row>
    <row r="739" spans="1:4">
      <c r="A739" t="s">
        <v>2472</v>
      </c>
      <c r="B739" t="s">
        <v>2473</v>
      </c>
      <c r="C739" t="s">
        <v>2472</v>
      </c>
      <c r="D739">
        <v>5531</v>
      </c>
    </row>
    <row r="740" spans="1:4">
      <c r="A740" t="s">
        <v>2474</v>
      </c>
      <c r="B740" t="s">
        <v>2475</v>
      </c>
      <c r="C740" t="s">
        <v>2474</v>
      </c>
      <c r="D740">
        <v>3312</v>
      </c>
    </row>
    <row r="741" spans="1:4">
      <c r="A741" t="s">
        <v>2476</v>
      </c>
      <c r="B741" t="s">
        <v>2477</v>
      </c>
      <c r="C741" t="s">
        <v>2476</v>
      </c>
      <c r="D741">
        <v>7200</v>
      </c>
    </row>
    <row r="742" spans="1:4">
      <c r="A742" t="s">
        <v>2478</v>
      </c>
      <c r="B742" t="s">
        <v>2479</v>
      </c>
      <c r="C742" t="s">
        <v>2478</v>
      </c>
      <c r="D742">
        <v>3585</v>
      </c>
    </row>
    <row r="743" spans="1:4">
      <c r="A743" t="s">
        <v>2480</v>
      </c>
      <c r="B743" t="s">
        <v>2481</v>
      </c>
      <c r="C743" t="s">
        <v>2480</v>
      </c>
      <c r="D743">
        <v>5812</v>
      </c>
    </row>
    <row r="744" spans="1:4">
      <c r="A744" t="s">
        <v>2482</v>
      </c>
      <c r="B744" t="s">
        <v>2483</v>
      </c>
      <c r="C744" t="s">
        <v>2482</v>
      </c>
      <c r="D744">
        <v>7374</v>
      </c>
    </row>
    <row r="745" spans="1:4">
      <c r="A745" t="s">
        <v>2484</v>
      </c>
      <c r="B745" t="s">
        <v>2485</v>
      </c>
      <c r="C745" t="s">
        <v>2484</v>
      </c>
      <c r="D745">
        <v>6021</v>
      </c>
    </row>
    <row r="746" spans="1:4">
      <c r="A746" t="s">
        <v>2486</v>
      </c>
      <c r="B746" t="s">
        <v>2487</v>
      </c>
      <c r="C746" t="s">
        <v>2486</v>
      </c>
      <c r="D746">
        <v>2300</v>
      </c>
    </row>
    <row r="747" spans="1:4">
      <c r="A747" t="s">
        <v>2488</v>
      </c>
      <c r="B747" t="s">
        <v>2489</v>
      </c>
      <c r="C747" t="s">
        <v>2488</v>
      </c>
      <c r="D747">
        <v>5500</v>
      </c>
    </row>
    <row r="748" spans="1:4">
      <c r="A748" t="s">
        <v>2490</v>
      </c>
      <c r="B748" t="s">
        <v>2491</v>
      </c>
      <c r="C748" t="s">
        <v>2490</v>
      </c>
      <c r="D748">
        <v>6035</v>
      </c>
    </row>
    <row r="749" spans="1:4">
      <c r="A749" t="s">
        <v>2492</v>
      </c>
      <c r="B749" t="s">
        <v>2493</v>
      </c>
      <c r="C749" t="s">
        <v>2492</v>
      </c>
      <c r="D749">
        <v>3663</v>
      </c>
    </row>
    <row r="750" spans="1:4">
      <c r="A750" t="s">
        <v>2494</v>
      </c>
      <c r="B750" t="s">
        <v>2495</v>
      </c>
      <c r="C750" t="s">
        <v>2494</v>
      </c>
      <c r="D750">
        <v>4953</v>
      </c>
    </row>
    <row r="751" spans="1:4">
      <c r="A751" t="s">
        <v>2496</v>
      </c>
      <c r="B751" t="s">
        <v>2497</v>
      </c>
      <c r="C751" t="s">
        <v>2496</v>
      </c>
      <c r="D751">
        <v>5500</v>
      </c>
    </row>
    <row r="752" spans="1:4">
      <c r="A752" t="s">
        <v>2498</v>
      </c>
      <c r="B752" t="s">
        <v>2499</v>
      </c>
      <c r="C752" t="s">
        <v>2498</v>
      </c>
      <c r="D752">
        <v>2836</v>
      </c>
    </row>
    <row r="753" spans="1:4">
      <c r="A753" t="s">
        <v>2500</v>
      </c>
      <c r="B753" t="s">
        <v>2501</v>
      </c>
      <c r="C753" t="s">
        <v>2500</v>
      </c>
      <c r="D753">
        <v>7389</v>
      </c>
    </row>
    <row r="754" spans="1:4">
      <c r="A754" t="s">
        <v>2502</v>
      </c>
      <c r="B754" t="s">
        <v>2503</v>
      </c>
      <c r="C754" t="s">
        <v>2502</v>
      </c>
      <c r="D754">
        <v>8071</v>
      </c>
    </row>
    <row r="755" spans="1:4">
      <c r="A755" t="s">
        <v>2504</v>
      </c>
      <c r="B755" t="s">
        <v>2505</v>
      </c>
      <c r="C755" t="s">
        <v>2504</v>
      </c>
      <c r="D755">
        <v>4412</v>
      </c>
    </row>
    <row r="756" spans="1:4">
      <c r="A756" t="s">
        <v>2506</v>
      </c>
      <c r="B756" t="s">
        <v>2507</v>
      </c>
      <c r="C756" t="s">
        <v>2506</v>
      </c>
      <c r="D756">
        <v>2834</v>
      </c>
    </row>
    <row r="757" spans="1:4">
      <c r="A757" t="s">
        <v>2508</v>
      </c>
      <c r="B757" t="s">
        <v>2509</v>
      </c>
      <c r="C757" t="s">
        <v>2508</v>
      </c>
      <c r="D757">
        <v>6035</v>
      </c>
    </row>
    <row r="758" spans="1:4">
      <c r="A758" t="s">
        <v>2510</v>
      </c>
      <c r="B758" t="s">
        <v>2511</v>
      </c>
      <c r="C758" t="s">
        <v>2510</v>
      </c>
      <c r="D758">
        <v>2834</v>
      </c>
    </row>
    <row r="759" spans="1:4">
      <c r="A759" t="s">
        <v>2512</v>
      </c>
      <c r="B759" t="s">
        <v>2513</v>
      </c>
      <c r="C759" t="s">
        <v>2512</v>
      </c>
      <c r="D759">
        <v>2834</v>
      </c>
    </row>
    <row r="760" spans="1:4">
      <c r="A760" t="s">
        <v>2514</v>
      </c>
      <c r="B760" t="s">
        <v>2515</v>
      </c>
      <c r="C760" t="s">
        <v>2514</v>
      </c>
      <c r="D760">
        <v>6798</v>
      </c>
    </row>
    <row r="761" spans="1:4">
      <c r="A761" t="s">
        <v>2516</v>
      </c>
      <c r="B761" t="s">
        <v>2517</v>
      </c>
      <c r="C761" t="s">
        <v>2516</v>
      </c>
      <c r="D761">
        <v>3531</v>
      </c>
    </row>
    <row r="762" spans="1:4">
      <c r="A762" t="s">
        <v>2518</v>
      </c>
      <c r="B762" t="s">
        <v>2519</v>
      </c>
      <c r="C762" t="s">
        <v>2518</v>
      </c>
      <c r="D762">
        <v>6022</v>
      </c>
    </row>
    <row r="763" spans="1:4">
      <c r="A763" t="s">
        <v>2520</v>
      </c>
      <c r="B763" t="s">
        <v>2521</v>
      </c>
      <c r="C763" t="s">
        <v>2520</v>
      </c>
      <c r="D763">
        <v>5621</v>
      </c>
    </row>
    <row r="764" spans="1:4">
      <c r="A764" t="s">
        <v>2522</v>
      </c>
      <c r="B764" t="s">
        <v>2523</v>
      </c>
      <c r="C764" t="s">
        <v>2522</v>
      </c>
      <c r="D764">
        <v>2451</v>
      </c>
    </row>
    <row r="765" spans="1:4">
      <c r="A765" t="s">
        <v>2524</v>
      </c>
      <c r="B765" t="s">
        <v>2525</v>
      </c>
      <c r="C765" t="s">
        <v>2524</v>
      </c>
      <c r="D765">
        <v>6022</v>
      </c>
    </row>
    <row r="766" spans="1:4">
      <c r="A766" t="s">
        <v>2526</v>
      </c>
      <c r="B766" t="s">
        <v>2527</v>
      </c>
      <c r="C766" t="s">
        <v>2526</v>
      </c>
      <c r="D766">
        <v>3690</v>
      </c>
    </row>
    <row r="767" spans="1:4">
      <c r="A767" t="s">
        <v>2528</v>
      </c>
      <c r="B767" t="s">
        <v>2529</v>
      </c>
      <c r="C767" t="s">
        <v>2528</v>
      </c>
      <c r="D767">
        <v>2844</v>
      </c>
    </row>
    <row r="768" spans="1:4">
      <c r="A768" t="s">
        <v>2530</v>
      </c>
      <c r="B768" t="s">
        <v>2531</v>
      </c>
      <c r="C768" t="s">
        <v>2530</v>
      </c>
      <c r="D768">
        <v>7389</v>
      </c>
    </row>
    <row r="769" spans="1:4">
      <c r="A769" t="s">
        <v>2532</v>
      </c>
      <c r="B769" t="s">
        <v>2533</v>
      </c>
      <c r="C769" t="s">
        <v>2532</v>
      </c>
      <c r="D769">
        <v>6798</v>
      </c>
    </row>
    <row r="770" spans="1:4">
      <c r="A770" t="s">
        <v>2534</v>
      </c>
      <c r="B770" t="s">
        <v>2535</v>
      </c>
      <c r="C770" t="s">
        <v>2534</v>
      </c>
      <c r="D770">
        <v>6200</v>
      </c>
    </row>
    <row r="771" spans="1:4">
      <c r="A771" t="s">
        <v>2536</v>
      </c>
      <c r="B771" t="s">
        <v>2537</v>
      </c>
      <c r="C771" t="s">
        <v>2536</v>
      </c>
      <c r="D771">
        <v>6500</v>
      </c>
    </row>
    <row r="772" spans="1:4">
      <c r="A772" t="s">
        <v>2538</v>
      </c>
      <c r="B772" t="s">
        <v>2539</v>
      </c>
      <c r="C772" t="s">
        <v>2538</v>
      </c>
      <c r="D772">
        <v>6021</v>
      </c>
    </row>
    <row r="773" spans="1:4">
      <c r="A773" t="s">
        <v>2540</v>
      </c>
      <c r="B773" t="s">
        <v>2541</v>
      </c>
      <c r="C773" t="s">
        <v>2540</v>
      </c>
      <c r="D773">
        <v>7372</v>
      </c>
    </row>
    <row r="774" spans="1:4">
      <c r="A774" t="s">
        <v>2542</v>
      </c>
      <c r="B774" t="s">
        <v>2543</v>
      </c>
      <c r="C774" t="s">
        <v>2542</v>
      </c>
      <c r="D774">
        <v>7389</v>
      </c>
    </row>
    <row r="775" spans="1:4">
      <c r="A775" t="s">
        <v>2544</v>
      </c>
      <c r="B775" t="s">
        <v>2545</v>
      </c>
      <c r="C775" t="s">
        <v>2544</v>
      </c>
      <c r="D775">
        <v>5961</v>
      </c>
    </row>
    <row r="776" spans="1:4">
      <c r="A776" t="s">
        <v>2546</v>
      </c>
      <c r="B776" t="s">
        <v>2547</v>
      </c>
      <c r="C776" t="s">
        <v>2546</v>
      </c>
      <c r="D776">
        <v>3564</v>
      </c>
    </row>
    <row r="777" spans="1:4">
      <c r="A777" t="s">
        <v>2548</v>
      </c>
      <c r="B777" t="s">
        <v>2549</v>
      </c>
      <c r="C777" t="s">
        <v>2548</v>
      </c>
      <c r="D777">
        <v>7990</v>
      </c>
    </row>
    <row r="778" spans="1:4">
      <c r="A778" t="s">
        <v>2550</v>
      </c>
      <c r="B778" t="s">
        <v>2551</v>
      </c>
      <c r="C778" t="s">
        <v>2550</v>
      </c>
      <c r="D778">
        <v>6798</v>
      </c>
    </row>
    <row r="779" spans="1:4">
      <c r="A779" t="s">
        <v>2552</v>
      </c>
      <c r="B779" t="s">
        <v>2553</v>
      </c>
      <c r="C779" t="s">
        <v>2552</v>
      </c>
      <c r="D779">
        <v>2820</v>
      </c>
    </row>
    <row r="780" spans="1:4">
      <c r="A780" t="s">
        <v>2554</v>
      </c>
      <c r="B780" t="s">
        <v>2555</v>
      </c>
      <c r="C780" t="s">
        <v>2554</v>
      </c>
      <c r="D780">
        <v>2835</v>
      </c>
    </row>
    <row r="781" spans="1:4">
      <c r="A781" t="s">
        <v>2556</v>
      </c>
      <c r="B781" t="s">
        <v>2557</v>
      </c>
      <c r="C781" t="s">
        <v>2556</v>
      </c>
      <c r="D781">
        <v>7372</v>
      </c>
    </row>
    <row r="782" spans="1:4">
      <c r="A782" t="s">
        <v>2558</v>
      </c>
      <c r="B782" t="s">
        <v>2559</v>
      </c>
      <c r="C782" t="s">
        <v>2558</v>
      </c>
      <c r="D782">
        <v>2834</v>
      </c>
    </row>
    <row r="783" spans="1:4">
      <c r="A783" t="s">
        <v>2560</v>
      </c>
      <c r="B783" t="s">
        <v>2561</v>
      </c>
      <c r="C783" t="s">
        <v>2560</v>
      </c>
      <c r="D783">
        <v>2086</v>
      </c>
    </row>
    <row r="784" spans="1:4">
      <c r="A784" t="s">
        <v>2562</v>
      </c>
      <c r="B784" t="s">
        <v>2563</v>
      </c>
      <c r="C784" t="s">
        <v>2562</v>
      </c>
      <c r="D784">
        <v>2834</v>
      </c>
    </row>
    <row r="785" spans="1:4">
      <c r="A785" t="s">
        <v>2564</v>
      </c>
      <c r="B785" t="s">
        <v>2565</v>
      </c>
      <c r="C785" t="s">
        <v>2564</v>
      </c>
      <c r="D785">
        <v>6324</v>
      </c>
    </row>
    <row r="786" spans="1:4">
      <c r="A786" t="s">
        <v>2566</v>
      </c>
      <c r="B786" t="s">
        <v>2567</v>
      </c>
      <c r="C786" t="s">
        <v>2566</v>
      </c>
      <c r="D786">
        <v>1311</v>
      </c>
    </row>
    <row r="787" spans="1:4">
      <c r="A787" t="s">
        <v>2568</v>
      </c>
      <c r="B787" t="s">
        <v>2569</v>
      </c>
      <c r="C787" t="s">
        <v>2568</v>
      </c>
      <c r="D787">
        <v>4911</v>
      </c>
    </row>
    <row r="788" spans="1:4">
      <c r="A788" t="s">
        <v>2570</v>
      </c>
      <c r="B788" t="s">
        <v>2571</v>
      </c>
      <c r="C788" t="s">
        <v>2570</v>
      </c>
      <c r="D788">
        <v>6798</v>
      </c>
    </row>
    <row r="789" spans="1:4">
      <c r="A789" t="s">
        <v>2572</v>
      </c>
      <c r="B789" t="s">
        <v>2573</v>
      </c>
      <c r="C789" t="s">
        <v>2572</v>
      </c>
      <c r="D789">
        <v>5190</v>
      </c>
    </row>
    <row r="790" spans="1:4">
      <c r="A790" t="s">
        <v>2574</v>
      </c>
      <c r="B790" t="s">
        <v>2575</v>
      </c>
      <c r="C790" t="s">
        <v>2574</v>
      </c>
      <c r="D790">
        <v>6022</v>
      </c>
    </row>
    <row r="791" spans="1:4">
      <c r="A791" t="s">
        <v>2576</v>
      </c>
      <c r="B791" t="s">
        <v>2577</v>
      </c>
      <c r="C791" t="s">
        <v>2576</v>
      </c>
      <c r="D791">
        <v>6022</v>
      </c>
    </row>
    <row r="792" spans="1:4">
      <c r="A792" t="s">
        <v>2578</v>
      </c>
      <c r="B792" t="s">
        <v>2579</v>
      </c>
      <c r="C792" t="s">
        <v>2578</v>
      </c>
      <c r="D792">
        <v>1400</v>
      </c>
    </row>
    <row r="793" spans="1:4">
      <c r="A793" t="s">
        <v>2580</v>
      </c>
      <c r="B793" t="s">
        <v>2581</v>
      </c>
      <c r="C793" t="s">
        <v>2580</v>
      </c>
      <c r="D793">
        <v>3334</v>
      </c>
    </row>
    <row r="794" spans="1:4">
      <c r="A794" t="s">
        <v>2582</v>
      </c>
      <c r="B794" t="s">
        <v>2583</v>
      </c>
      <c r="C794" t="s">
        <v>2582</v>
      </c>
      <c r="D794">
        <v>7011</v>
      </c>
    </row>
    <row r="795" spans="1:4">
      <c r="A795" t="s">
        <v>2584</v>
      </c>
      <c r="B795" t="s">
        <v>2585</v>
      </c>
      <c r="C795" t="s">
        <v>2584</v>
      </c>
      <c r="D795">
        <v>1531</v>
      </c>
    </row>
    <row r="796" spans="1:4">
      <c r="A796" t="s">
        <v>2586</v>
      </c>
      <c r="B796" t="s">
        <v>2587</v>
      </c>
      <c r="C796" t="s">
        <v>2586</v>
      </c>
      <c r="D796">
        <v>3663</v>
      </c>
    </row>
    <row r="797" spans="1:4">
      <c r="A797" t="s">
        <v>2588</v>
      </c>
      <c r="B797" t="s">
        <v>2589</v>
      </c>
      <c r="C797" t="s">
        <v>2588</v>
      </c>
      <c r="D797">
        <v>8742</v>
      </c>
    </row>
    <row r="798" spans="1:4">
      <c r="A798" t="s">
        <v>2590</v>
      </c>
      <c r="B798" t="s">
        <v>2591</v>
      </c>
      <c r="C798" t="s">
        <v>2590</v>
      </c>
      <c r="D798">
        <v>7372</v>
      </c>
    </row>
    <row r="799" spans="1:4">
      <c r="A799" t="s">
        <v>2592</v>
      </c>
      <c r="B799" t="s">
        <v>2593</v>
      </c>
      <c r="C799" t="s">
        <v>2592</v>
      </c>
      <c r="D799">
        <v>7372</v>
      </c>
    </row>
    <row r="800" spans="1:4">
      <c r="A800" t="s">
        <v>2594</v>
      </c>
      <c r="B800" t="s">
        <v>2595</v>
      </c>
      <c r="C800" t="s">
        <v>2594</v>
      </c>
      <c r="D800">
        <v>7372</v>
      </c>
    </row>
    <row r="801" spans="1:4">
      <c r="A801" t="s">
        <v>2596</v>
      </c>
      <c r="B801" t="s">
        <v>2597</v>
      </c>
      <c r="C801" t="s">
        <v>2596</v>
      </c>
      <c r="D801">
        <v>3841</v>
      </c>
    </row>
    <row r="802" spans="1:4">
      <c r="A802" t="s">
        <v>2598</v>
      </c>
      <c r="B802" t="s">
        <v>2599</v>
      </c>
      <c r="C802" t="s">
        <v>2598</v>
      </c>
      <c r="D802">
        <v>7370</v>
      </c>
    </row>
    <row r="803" spans="1:4">
      <c r="A803" t="s">
        <v>2600</v>
      </c>
      <c r="B803" t="s">
        <v>2601</v>
      </c>
      <c r="C803" t="s">
        <v>2600</v>
      </c>
      <c r="D803">
        <v>6021</v>
      </c>
    </row>
    <row r="804" spans="1:4">
      <c r="A804" t="s">
        <v>2602</v>
      </c>
      <c r="B804" t="s">
        <v>2603</v>
      </c>
      <c r="C804" t="s">
        <v>2602</v>
      </c>
      <c r="D804">
        <v>2870</v>
      </c>
    </row>
    <row r="805" spans="1:4">
      <c r="A805" t="s">
        <v>2604</v>
      </c>
      <c r="B805" t="s">
        <v>2605</v>
      </c>
      <c r="C805" t="s">
        <v>2604</v>
      </c>
      <c r="D805">
        <v>2836</v>
      </c>
    </row>
    <row r="806" spans="1:4">
      <c r="A806" t="s">
        <v>2606</v>
      </c>
      <c r="B806" t="s">
        <v>2607</v>
      </c>
      <c r="C806" t="s">
        <v>2606</v>
      </c>
      <c r="D806">
        <v>3530</v>
      </c>
    </row>
    <row r="807" spans="1:4">
      <c r="A807" t="s">
        <v>2608</v>
      </c>
      <c r="B807" t="s">
        <v>2609</v>
      </c>
      <c r="C807" t="s">
        <v>2608</v>
      </c>
      <c r="D807">
        <v>7374</v>
      </c>
    </row>
    <row r="808" spans="1:4">
      <c r="A808" t="s">
        <v>2610</v>
      </c>
      <c r="B808" t="s">
        <v>2611</v>
      </c>
      <c r="C808" t="s">
        <v>2610</v>
      </c>
      <c r="D808">
        <v>7372</v>
      </c>
    </row>
    <row r="809" spans="1:4">
      <c r="A809" t="s">
        <v>2612</v>
      </c>
      <c r="B809" t="s">
        <v>2613</v>
      </c>
      <c r="C809" t="s">
        <v>2612</v>
      </c>
      <c r="D809">
        <v>4955</v>
      </c>
    </row>
    <row r="810" spans="1:4">
      <c r="A810" t="s">
        <v>2614</v>
      </c>
      <c r="B810" t="s">
        <v>2615</v>
      </c>
      <c r="C810" t="s">
        <v>2614</v>
      </c>
      <c r="D810">
        <v>4822</v>
      </c>
    </row>
    <row r="811" spans="1:4">
      <c r="A811" t="s">
        <v>2616</v>
      </c>
      <c r="B811" t="s">
        <v>2617</v>
      </c>
      <c r="C811" t="s">
        <v>2616</v>
      </c>
      <c r="D811">
        <v>3790</v>
      </c>
    </row>
    <row r="812" spans="1:4">
      <c r="A812" t="s">
        <v>2618</v>
      </c>
      <c r="B812" t="s">
        <v>2619</v>
      </c>
      <c r="C812" t="s">
        <v>2618</v>
      </c>
      <c r="D812">
        <v>3910</v>
      </c>
    </row>
    <row r="813" spans="1:4">
      <c r="A813" t="s">
        <v>2620</v>
      </c>
      <c r="B813" t="s">
        <v>2621</v>
      </c>
      <c r="C813" t="s">
        <v>2620</v>
      </c>
      <c r="D813">
        <v>8731</v>
      </c>
    </row>
    <row r="814" spans="1:4">
      <c r="A814" t="s">
        <v>2622</v>
      </c>
      <c r="B814" t="s">
        <v>2623</v>
      </c>
      <c r="C814" t="s">
        <v>2622</v>
      </c>
      <c r="D814">
        <v>100</v>
      </c>
    </row>
    <row r="815" spans="1:4">
      <c r="A815" t="s">
        <v>2624</v>
      </c>
      <c r="B815" t="s">
        <v>2625</v>
      </c>
      <c r="C815" t="s">
        <v>2624</v>
      </c>
      <c r="D815">
        <v>3443</v>
      </c>
    </row>
    <row r="816" spans="1:4">
      <c r="A816" t="s">
        <v>2626</v>
      </c>
      <c r="B816" t="s">
        <v>2627</v>
      </c>
      <c r="C816" t="s">
        <v>2626</v>
      </c>
      <c r="D816">
        <v>4841</v>
      </c>
    </row>
    <row r="817" spans="1:4">
      <c r="A817" t="s">
        <v>2628</v>
      </c>
      <c r="B817" t="s">
        <v>2629</v>
      </c>
      <c r="C817" t="s">
        <v>2628</v>
      </c>
      <c r="D817">
        <v>3640</v>
      </c>
    </row>
    <row r="818" spans="1:4">
      <c r="A818" t="s">
        <v>2630</v>
      </c>
      <c r="B818" t="s">
        <v>2631</v>
      </c>
      <c r="C818" t="s">
        <v>2630</v>
      </c>
      <c r="D818">
        <v>6798</v>
      </c>
    </row>
    <row r="819" spans="1:4">
      <c r="A819" t="s">
        <v>2632</v>
      </c>
      <c r="B819" t="s">
        <v>2633</v>
      </c>
      <c r="C819" t="s">
        <v>2632</v>
      </c>
      <c r="D819">
        <v>7372</v>
      </c>
    </row>
    <row r="820" spans="1:4">
      <c r="A820" t="s">
        <v>2634</v>
      </c>
      <c r="B820" t="s">
        <v>2635</v>
      </c>
      <c r="C820" t="s">
        <v>2634</v>
      </c>
      <c r="D820">
        <v>5812</v>
      </c>
    </row>
    <row r="821" spans="1:4">
      <c r="A821" t="s">
        <v>2636</v>
      </c>
      <c r="B821" t="s">
        <v>2637</v>
      </c>
      <c r="C821" t="s">
        <v>2636</v>
      </c>
      <c r="D821">
        <v>7372</v>
      </c>
    </row>
    <row r="822" spans="1:4">
      <c r="A822" t="s">
        <v>2638</v>
      </c>
      <c r="B822" t="s">
        <v>2639</v>
      </c>
      <c r="C822" t="s">
        <v>2638</v>
      </c>
      <c r="D822">
        <v>5141</v>
      </c>
    </row>
    <row r="823" spans="1:4">
      <c r="A823" t="s">
        <v>2640</v>
      </c>
      <c r="B823" t="s">
        <v>2641</v>
      </c>
      <c r="C823" t="s">
        <v>2640</v>
      </c>
      <c r="D823">
        <v>8200</v>
      </c>
    </row>
    <row r="824" spans="1:4">
      <c r="A824" t="s">
        <v>2642</v>
      </c>
      <c r="B824" t="s">
        <v>2643</v>
      </c>
      <c r="C824" t="s">
        <v>2642</v>
      </c>
      <c r="D824">
        <v>2834</v>
      </c>
    </row>
    <row r="825" spans="1:4">
      <c r="A825" t="s">
        <v>2644</v>
      </c>
      <c r="B825" t="s">
        <v>2645</v>
      </c>
      <c r="C825" t="s">
        <v>2644</v>
      </c>
      <c r="D825">
        <v>8082</v>
      </c>
    </row>
    <row r="826" spans="1:4">
      <c r="A826" t="s">
        <v>2646</v>
      </c>
      <c r="B826" t="s">
        <v>2647</v>
      </c>
      <c r="C826" t="s">
        <v>2646</v>
      </c>
      <c r="D826">
        <v>2834</v>
      </c>
    </row>
    <row r="827" spans="1:4">
      <c r="A827" t="s">
        <v>2648</v>
      </c>
      <c r="B827" t="s">
        <v>2649</v>
      </c>
      <c r="C827" t="s">
        <v>2648</v>
      </c>
      <c r="D827">
        <v>2800</v>
      </c>
    </row>
    <row r="828" spans="1:4">
      <c r="A828" t="s">
        <v>2650</v>
      </c>
      <c r="B828" t="s">
        <v>2651</v>
      </c>
      <c r="C828" t="s">
        <v>2650</v>
      </c>
      <c r="D828">
        <v>6022</v>
      </c>
    </row>
    <row r="829" spans="1:4">
      <c r="A829" t="s">
        <v>2652</v>
      </c>
      <c r="B829" t="s">
        <v>2653</v>
      </c>
      <c r="C829" t="s">
        <v>2652</v>
      </c>
      <c r="D829">
        <v>4924</v>
      </c>
    </row>
    <row r="830" spans="1:4">
      <c r="A830" t="s">
        <v>2654</v>
      </c>
      <c r="B830" t="s">
        <v>2655</v>
      </c>
      <c r="C830" t="s">
        <v>2654</v>
      </c>
      <c r="D830">
        <v>4924</v>
      </c>
    </row>
    <row r="831" spans="1:4">
      <c r="A831" t="s">
        <v>2656</v>
      </c>
      <c r="B831" t="s">
        <v>2657</v>
      </c>
      <c r="C831" t="s">
        <v>2656</v>
      </c>
      <c r="D831">
        <v>6798</v>
      </c>
    </row>
    <row r="832" spans="1:4">
      <c r="A832" t="s">
        <v>2658</v>
      </c>
      <c r="B832" t="s">
        <v>2659</v>
      </c>
      <c r="C832" t="s">
        <v>2658</v>
      </c>
      <c r="D832">
        <v>1311</v>
      </c>
    </row>
    <row r="833" spans="1:4">
      <c r="A833" t="s">
        <v>2660</v>
      </c>
      <c r="B833" t="s">
        <v>2661</v>
      </c>
      <c r="C833" t="s">
        <v>2660</v>
      </c>
      <c r="D833">
        <v>4923</v>
      </c>
    </row>
    <row r="834" spans="1:4">
      <c r="A834" t="s">
        <v>2662</v>
      </c>
      <c r="B834" t="s">
        <v>2663</v>
      </c>
      <c r="C834" t="s">
        <v>2662</v>
      </c>
      <c r="D834">
        <v>2911</v>
      </c>
    </row>
    <row r="835" spans="1:4">
      <c r="A835" t="s">
        <v>2664</v>
      </c>
      <c r="B835" t="s">
        <v>2665</v>
      </c>
      <c r="C835" t="s">
        <v>2664</v>
      </c>
      <c r="D835">
        <v>5961</v>
      </c>
    </row>
    <row r="836" spans="1:4">
      <c r="A836" t="s">
        <v>2666</v>
      </c>
      <c r="B836" t="s">
        <v>2667</v>
      </c>
      <c r="C836" t="s">
        <v>2666</v>
      </c>
      <c r="D836">
        <v>3540</v>
      </c>
    </row>
    <row r="837" spans="1:4">
      <c r="A837" t="s">
        <v>2668</v>
      </c>
      <c r="B837" t="s">
        <v>2669</v>
      </c>
      <c r="C837" t="s">
        <v>2668</v>
      </c>
      <c r="D837">
        <v>7819</v>
      </c>
    </row>
    <row r="838" spans="1:4">
      <c r="A838" t="s">
        <v>2670</v>
      </c>
      <c r="B838" t="s">
        <v>2671</v>
      </c>
      <c r="C838" t="s">
        <v>2670</v>
      </c>
      <c r="D838">
        <v>5621</v>
      </c>
    </row>
    <row r="839" spans="1:4">
      <c r="A839" t="s">
        <v>2672</v>
      </c>
      <c r="B839" t="s">
        <v>2673</v>
      </c>
      <c r="C839" t="s">
        <v>2672</v>
      </c>
      <c r="D839">
        <v>5651</v>
      </c>
    </row>
    <row r="840" spans="1:4">
      <c r="A840" t="s">
        <v>2674</v>
      </c>
      <c r="B840" t="s">
        <v>2675</v>
      </c>
      <c r="C840" t="s">
        <v>2674</v>
      </c>
      <c r="D840">
        <v>6798</v>
      </c>
    </row>
    <row r="841" spans="1:4">
      <c r="A841" t="s">
        <v>2676</v>
      </c>
      <c r="B841" t="s">
        <v>2677</v>
      </c>
      <c r="C841" t="s">
        <v>2676</v>
      </c>
      <c r="D841">
        <v>2834</v>
      </c>
    </row>
    <row r="842" spans="1:4">
      <c r="A842" t="s">
        <v>2678</v>
      </c>
      <c r="B842" t="s">
        <v>2679</v>
      </c>
      <c r="C842" t="s">
        <v>2678</v>
      </c>
      <c r="D842">
        <v>3714</v>
      </c>
    </row>
    <row r="843" spans="1:4">
      <c r="A843" t="s">
        <v>2680</v>
      </c>
      <c r="B843" t="s">
        <v>2681</v>
      </c>
      <c r="C843" t="s">
        <v>2680</v>
      </c>
      <c r="D843">
        <v>2870</v>
      </c>
    </row>
    <row r="844" spans="1:4">
      <c r="A844" t="s">
        <v>2682</v>
      </c>
      <c r="B844" t="s">
        <v>2683</v>
      </c>
      <c r="C844" t="s">
        <v>2682</v>
      </c>
      <c r="D844">
        <v>8200</v>
      </c>
    </row>
    <row r="845" spans="1:4">
      <c r="A845" t="s">
        <v>2684</v>
      </c>
      <c r="B845" t="s">
        <v>2685</v>
      </c>
      <c r="C845" t="s">
        <v>2684</v>
      </c>
      <c r="D845">
        <v>2834</v>
      </c>
    </row>
    <row r="846" spans="1:4">
      <c r="A846" t="s">
        <v>2686</v>
      </c>
      <c r="B846" t="s">
        <v>2687</v>
      </c>
      <c r="C846" t="s">
        <v>2686</v>
      </c>
      <c r="D846">
        <v>2834</v>
      </c>
    </row>
    <row r="847" spans="1:4">
      <c r="A847" t="s">
        <v>2688</v>
      </c>
      <c r="B847" t="s">
        <v>2689</v>
      </c>
      <c r="C847" t="s">
        <v>2688</v>
      </c>
      <c r="D847">
        <v>6411</v>
      </c>
    </row>
    <row r="848" spans="1:4">
      <c r="A848" t="s">
        <v>2690</v>
      </c>
      <c r="B848" t="s">
        <v>2691</v>
      </c>
      <c r="C848" t="s">
        <v>2690</v>
      </c>
      <c r="D848">
        <v>7370</v>
      </c>
    </row>
    <row r="849" spans="1:4">
      <c r="A849" t="s">
        <v>2692</v>
      </c>
      <c r="B849" t="s">
        <v>2693</v>
      </c>
      <c r="C849" t="s">
        <v>2692</v>
      </c>
      <c r="D849">
        <v>2834</v>
      </c>
    </row>
    <row r="850" spans="1:4">
      <c r="A850" t="s">
        <v>2694</v>
      </c>
      <c r="B850" t="s">
        <v>2695</v>
      </c>
      <c r="C850" t="s">
        <v>2694</v>
      </c>
      <c r="D850">
        <v>5812</v>
      </c>
    </row>
    <row r="851" spans="1:4">
      <c r="A851" t="s">
        <v>2696</v>
      </c>
      <c r="B851" t="s">
        <v>2697</v>
      </c>
      <c r="C851" t="s">
        <v>2696</v>
      </c>
      <c r="D851">
        <v>7011</v>
      </c>
    </row>
    <row r="852" spans="1:4">
      <c r="A852" t="s">
        <v>2698</v>
      </c>
      <c r="B852" t="s">
        <v>2699</v>
      </c>
      <c r="C852" t="s">
        <v>2698</v>
      </c>
      <c r="D852">
        <v>6022</v>
      </c>
    </row>
    <row r="853" spans="1:4">
      <c r="A853" t="s">
        <v>2700</v>
      </c>
      <c r="B853" t="s">
        <v>2701</v>
      </c>
      <c r="C853" t="s">
        <v>2700</v>
      </c>
      <c r="D853">
        <v>2833</v>
      </c>
    </row>
    <row r="854" spans="1:4">
      <c r="A854" t="s">
        <v>2702</v>
      </c>
      <c r="B854" t="s">
        <v>2703</v>
      </c>
      <c r="C854" t="s">
        <v>2702</v>
      </c>
      <c r="D854">
        <v>6331</v>
      </c>
    </row>
    <row r="855" spans="1:4">
      <c r="A855" t="s">
        <v>2704</v>
      </c>
      <c r="B855" t="s">
        <v>2705</v>
      </c>
      <c r="C855" t="s">
        <v>2704</v>
      </c>
      <c r="D855">
        <v>2840</v>
      </c>
    </row>
    <row r="856" spans="1:4">
      <c r="A856" t="s">
        <v>2706</v>
      </c>
      <c r="B856" t="s">
        <v>2707</v>
      </c>
      <c r="C856" t="s">
        <v>2706</v>
      </c>
      <c r="D856">
        <v>7948</v>
      </c>
    </row>
    <row r="857" spans="1:4">
      <c r="A857" t="s">
        <v>2708</v>
      </c>
      <c r="B857" t="s">
        <v>2709</v>
      </c>
      <c r="C857" t="s">
        <v>2708</v>
      </c>
      <c r="D857">
        <v>5812</v>
      </c>
    </row>
    <row r="858" spans="1:4">
      <c r="A858" t="s">
        <v>2710</v>
      </c>
      <c r="B858" t="s">
        <v>2711</v>
      </c>
      <c r="C858" t="s">
        <v>2710</v>
      </c>
      <c r="D858">
        <v>3661</v>
      </c>
    </row>
    <row r="859" spans="1:4">
      <c r="A859" t="s">
        <v>2712</v>
      </c>
      <c r="B859" t="s">
        <v>2713</v>
      </c>
      <c r="C859" t="s">
        <v>2712</v>
      </c>
      <c r="D859">
        <v>6324</v>
      </c>
    </row>
    <row r="860" spans="1:4">
      <c r="A860" t="s">
        <v>2714</v>
      </c>
      <c r="B860" t="s">
        <v>2715</v>
      </c>
      <c r="C860" t="s">
        <v>2714</v>
      </c>
      <c r="D860">
        <v>2750</v>
      </c>
    </row>
    <row r="861" spans="1:4">
      <c r="A861" t="s">
        <v>2716</v>
      </c>
      <c r="B861" t="s">
        <v>2717</v>
      </c>
      <c r="C861" t="s">
        <v>2716</v>
      </c>
      <c r="D861">
        <v>6035</v>
      </c>
    </row>
    <row r="862" spans="1:4">
      <c r="A862" t="s">
        <v>2718</v>
      </c>
      <c r="B862" t="s">
        <v>2719</v>
      </c>
      <c r="C862" t="s">
        <v>2718</v>
      </c>
      <c r="D862">
        <v>6331</v>
      </c>
    </row>
    <row r="863" spans="1:4">
      <c r="A863" t="s">
        <v>2720</v>
      </c>
      <c r="B863" t="s">
        <v>2721</v>
      </c>
      <c r="C863" t="s">
        <v>2720</v>
      </c>
      <c r="D863">
        <v>7841</v>
      </c>
    </row>
    <row r="864" spans="1:4">
      <c r="A864" t="s">
        <v>2722</v>
      </c>
      <c r="B864" t="s">
        <v>2723</v>
      </c>
      <c r="C864" t="s">
        <v>2722</v>
      </c>
      <c r="D864">
        <v>7830</v>
      </c>
    </row>
    <row r="865" spans="1:4">
      <c r="A865" t="s">
        <v>2724</v>
      </c>
      <c r="B865" t="s">
        <v>2725</v>
      </c>
      <c r="C865" t="s">
        <v>2724</v>
      </c>
      <c r="D865">
        <v>2320</v>
      </c>
    </row>
    <row r="866" spans="1:4">
      <c r="A866" t="s">
        <v>2726</v>
      </c>
      <c r="B866" t="s">
        <v>2727</v>
      </c>
      <c r="C866" t="s">
        <v>2726</v>
      </c>
      <c r="D866">
        <v>3490</v>
      </c>
    </row>
    <row r="867" spans="1:4">
      <c r="A867" t="s">
        <v>2728</v>
      </c>
      <c r="B867" t="s">
        <v>2729</v>
      </c>
      <c r="C867" t="s">
        <v>2728</v>
      </c>
      <c r="D867">
        <v>3674</v>
      </c>
    </row>
    <row r="868" spans="1:4">
      <c r="A868" t="s">
        <v>2730</v>
      </c>
      <c r="B868" t="s">
        <v>2731</v>
      </c>
      <c r="C868" t="s">
        <v>2730</v>
      </c>
      <c r="D868">
        <v>3576</v>
      </c>
    </row>
    <row r="869" spans="1:4">
      <c r="A869" t="s">
        <v>2732</v>
      </c>
      <c r="B869" t="s">
        <v>2733</v>
      </c>
      <c r="C869" t="s">
        <v>2732</v>
      </c>
      <c r="D869">
        <v>5600</v>
      </c>
    </row>
    <row r="870" spans="1:4">
      <c r="A870" t="s">
        <v>2734</v>
      </c>
      <c r="B870" t="s">
        <v>2735</v>
      </c>
      <c r="C870" t="s">
        <v>2734</v>
      </c>
      <c r="D870">
        <v>6021</v>
      </c>
    </row>
    <row r="871" spans="1:4">
      <c r="A871" t="s">
        <v>2736</v>
      </c>
      <c r="B871" t="s">
        <v>2737</v>
      </c>
      <c r="C871" t="s">
        <v>2736</v>
      </c>
      <c r="D871">
        <v>2834</v>
      </c>
    </row>
    <row r="872" spans="1:4">
      <c r="A872" t="s">
        <v>2738</v>
      </c>
      <c r="B872" t="s">
        <v>2739</v>
      </c>
      <c r="C872" t="s">
        <v>2738</v>
      </c>
      <c r="D872">
        <v>6022</v>
      </c>
    </row>
    <row r="873" spans="1:4">
      <c r="A873" t="s">
        <v>2740</v>
      </c>
      <c r="B873" t="s">
        <v>2741</v>
      </c>
      <c r="C873" t="s">
        <v>2740</v>
      </c>
      <c r="D873">
        <v>6035</v>
      </c>
    </row>
    <row r="874" spans="1:4">
      <c r="A874" t="s">
        <v>2742</v>
      </c>
      <c r="B874" t="s">
        <v>2743</v>
      </c>
      <c r="C874" t="s">
        <v>2742</v>
      </c>
      <c r="D874">
        <v>6022</v>
      </c>
    </row>
    <row r="875" spans="1:4">
      <c r="A875" t="s">
        <v>2744</v>
      </c>
      <c r="B875" t="s">
        <v>2745</v>
      </c>
      <c r="C875" t="s">
        <v>2744</v>
      </c>
      <c r="D875">
        <v>6022</v>
      </c>
    </row>
    <row r="876" spans="1:4">
      <c r="A876" t="s">
        <v>2746</v>
      </c>
      <c r="B876" t="s">
        <v>2747</v>
      </c>
      <c r="C876" t="s">
        <v>2746</v>
      </c>
      <c r="D876">
        <v>6022</v>
      </c>
    </row>
    <row r="877" spans="1:4">
      <c r="A877" t="s">
        <v>2748</v>
      </c>
      <c r="B877" t="s">
        <v>2749</v>
      </c>
      <c r="C877" t="s">
        <v>2748</v>
      </c>
      <c r="D877">
        <v>6311</v>
      </c>
    </row>
    <row r="878" spans="1:4">
      <c r="A878" t="s">
        <v>2750</v>
      </c>
      <c r="B878" t="s">
        <v>2751</v>
      </c>
      <c r="C878" t="s">
        <v>2750</v>
      </c>
      <c r="D878">
        <v>7372</v>
      </c>
    </row>
    <row r="879" spans="1:4">
      <c r="A879" t="s">
        <v>2752</v>
      </c>
      <c r="B879" t="s">
        <v>2753</v>
      </c>
      <c r="C879" t="s">
        <v>2752</v>
      </c>
      <c r="D879">
        <v>6021</v>
      </c>
    </row>
    <row r="880" spans="1:4">
      <c r="A880" t="s">
        <v>2754</v>
      </c>
      <c r="B880" t="s">
        <v>2755</v>
      </c>
      <c r="C880" t="s">
        <v>2754</v>
      </c>
      <c r="D880">
        <v>6798</v>
      </c>
    </row>
    <row r="881" spans="1:4">
      <c r="A881" t="s">
        <v>2756</v>
      </c>
      <c r="B881" t="s">
        <v>2757</v>
      </c>
      <c r="C881" t="s">
        <v>2756</v>
      </c>
      <c r="D881">
        <v>7000</v>
      </c>
    </row>
    <row r="882" spans="1:4">
      <c r="A882" t="s">
        <v>2758</v>
      </c>
      <c r="B882" t="s">
        <v>2759</v>
      </c>
      <c r="C882" t="s">
        <v>2758</v>
      </c>
      <c r="D882">
        <v>6022</v>
      </c>
    </row>
    <row r="883" spans="1:4">
      <c r="A883" t="s">
        <v>2760</v>
      </c>
      <c r="B883" t="s">
        <v>2761</v>
      </c>
      <c r="C883" t="s">
        <v>2760</v>
      </c>
      <c r="D883">
        <v>1311</v>
      </c>
    </row>
    <row r="884" spans="1:4">
      <c r="A884" t="s">
        <v>2762</v>
      </c>
      <c r="B884" t="s">
        <v>2763</v>
      </c>
      <c r="C884" t="s">
        <v>2762</v>
      </c>
      <c r="D884">
        <v>1311</v>
      </c>
    </row>
    <row r="885" spans="1:4">
      <c r="A885" t="s">
        <v>2764</v>
      </c>
      <c r="B885" t="s">
        <v>2765</v>
      </c>
      <c r="C885" t="s">
        <v>2764</v>
      </c>
      <c r="D885">
        <v>7374</v>
      </c>
    </row>
    <row r="886" spans="1:4">
      <c r="A886" t="s">
        <v>2766</v>
      </c>
      <c r="B886" t="s">
        <v>2767</v>
      </c>
      <c r="C886" t="s">
        <v>2766</v>
      </c>
      <c r="D886">
        <v>6500</v>
      </c>
    </row>
    <row r="887" spans="1:4">
      <c r="A887" t="s">
        <v>2768</v>
      </c>
      <c r="B887" t="s">
        <v>2769</v>
      </c>
      <c r="C887" t="s">
        <v>2768</v>
      </c>
      <c r="D887">
        <v>3949</v>
      </c>
    </row>
    <row r="888" spans="1:4">
      <c r="A888" t="s">
        <v>2770</v>
      </c>
      <c r="B888" t="s">
        <v>2771</v>
      </c>
      <c r="C888" t="s">
        <v>2770</v>
      </c>
      <c r="D888">
        <v>4932</v>
      </c>
    </row>
    <row r="889" spans="1:4">
      <c r="A889" t="s">
        <v>2772</v>
      </c>
      <c r="B889" t="s">
        <v>2773</v>
      </c>
      <c r="C889" t="s">
        <v>2772</v>
      </c>
      <c r="D889">
        <v>4955</v>
      </c>
    </row>
    <row r="890" spans="1:4">
      <c r="A890" t="s">
        <v>2774</v>
      </c>
      <c r="B890" t="s">
        <v>2775</v>
      </c>
      <c r="C890" t="s">
        <v>2774</v>
      </c>
      <c r="D890">
        <v>7373</v>
      </c>
    </row>
    <row r="891" spans="1:4">
      <c r="A891" t="s">
        <v>2776</v>
      </c>
      <c r="B891" t="s">
        <v>2777</v>
      </c>
      <c r="C891" t="s">
        <v>2776</v>
      </c>
      <c r="D891">
        <v>7310</v>
      </c>
    </row>
    <row r="892" spans="1:4">
      <c r="A892" t="s">
        <v>2778</v>
      </c>
      <c r="B892" t="s">
        <v>2779</v>
      </c>
      <c r="C892" t="s">
        <v>2778</v>
      </c>
      <c r="D892">
        <v>7372</v>
      </c>
    </row>
    <row r="893" spans="1:4">
      <c r="A893" t="s">
        <v>2780</v>
      </c>
      <c r="B893" t="s">
        <v>2781</v>
      </c>
      <c r="C893" t="s">
        <v>2780</v>
      </c>
      <c r="D893">
        <v>3663</v>
      </c>
    </row>
    <row r="894" spans="1:4">
      <c r="A894" t="s">
        <v>2782</v>
      </c>
      <c r="B894" t="s">
        <v>2783</v>
      </c>
      <c r="C894" t="s">
        <v>2782</v>
      </c>
      <c r="D894">
        <v>3661</v>
      </c>
    </row>
    <row r="895" spans="1:4">
      <c r="A895" t="s">
        <v>2784</v>
      </c>
      <c r="B895" t="s">
        <v>2785</v>
      </c>
      <c r="C895" t="s">
        <v>2784</v>
      </c>
      <c r="D895">
        <v>3661</v>
      </c>
    </row>
    <row r="896" spans="1:4">
      <c r="A896" t="s">
        <v>2786</v>
      </c>
      <c r="B896" t="s">
        <v>2787</v>
      </c>
      <c r="C896" t="s">
        <v>2786</v>
      </c>
      <c r="D896">
        <v>3841</v>
      </c>
    </row>
    <row r="897" spans="1:4">
      <c r="A897" t="s">
        <v>2788</v>
      </c>
      <c r="B897" t="s">
        <v>2789</v>
      </c>
      <c r="C897" t="s">
        <v>2788</v>
      </c>
      <c r="D897">
        <v>2834</v>
      </c>
    </row>
    <row r="898" spans="1:4">
      <c r="A898" t="s">
        <v>2790</v>
      </c>
      <c r="B898" t="s">
        <v>2791</v>
      </c>
      <c r="C898" t="s">
        <v>2790</v>
      </c>
      <c r="D898">
        <v>7372</v>
      </c>
    </row>
    <row r="899" spans="1:4">
      <c r="A899" t="s">
        <v>2792</v>
      </c>
      <c r="B899" t="s">
        <v>2793</v>
      </c>
      <c r="C899" t="s">
        <v>2792</v>
      </c>
      <c r="D899">
        <v>2631</v>
      </c>
    </row>
    <row r="900" spans="1:4">
      <c r="A900" t="s">
        <v>2794</v>
      </c>
      <c r="B900" t="s">
        <v>2795</v>
      </c>
      <c r="C900" t="s">
        <v>2794</v>
      </c>
      <c r="D900">
        <v>4911</v>
      </c>
    </row>
    <row r="901" spans="1:4">
      <c r="A901" t="s">
        <v>2796</v>
      </c>
      <c r="B901" t="s">
        <v>2797</v>
      </c>
      <c r="C901" t="s">
        <v>2796</v>
      </c>
      <c r="D901">
        <v>2834</v>
      </c>
    </row>
    <row r="902" spans="1:4">
      <c r="A902" t="s">
        <v>2798</v>
      </c>
      <c r="B902" t="s">
        <v>2799</v>
      </c>
      <c r="C902" t="s">
        <v>2798</v>
      </c>
      <c r="D902">
        <v>1000</v>
      </c>
    </row>
    <row r="903" spans="1:4">
      <c r="A903" t="s">
        <v>2800</v>
      </c>
      <c r="B903" t="s">
        <v>2801</v>
      </c>
      <c r="C903" t="s">
        <v>2800</v>
      </c>
      <c r="D903">
        <v>2834</v>
      </c>
    </row>
    <row r="904" spans="1:4">
      <c r="A904" t="s">
        <v>2802</v>
      </c>
      <c r="B904" t="s">
        <v>2803</v>
      </c>
      <c r="C904" t="s">
        <v>2802</v>
      </c>
      <c r="D904">
        <v>6798</v>
      </c>
    </row>
    <row r="905" spans="1:4">
      <c r="A905" t="s">
        <v>2804</v>
      </c>
      <c r="B905" t="s">
        <v>2805</v>
      </c>
      <c r="C905" t="s">
        <v>2804</v>
      </c>
      <c r="D905">
        <v>2842</v>
      </c>
    </row>
    <row r="906" spans="1:4">
      <c r="A906" t="s">
        <v>2806</v>
      </c>
      <c r="B906" t="s">
        <v>2807</v>
      </c>
      <c r="C906" t="s">
        <v>2806</v>
      </c>
      <c r="D906">
        <v>7372</v>
      </c>
    </row>
    <row r="907" spans="1:4">
      <c r="A907" t="s">
        <v>2808</v>
      </c>
      <c r="B907" t="s">
        <v>2809</v>
      </c>
      <c r="C907" t="s">
        <v>2808</v>
      </c>
      <c r="D907">
        <v>6324</v>
      </c>
    </row>
    <row r="908" spans="1:4">
      <c r="A908" t="s">
        <v>2810</v>
      </c>
      <c r="B908" t="s">
        <v>2811</v>
      </c>
      <c r="C908" t="s">
        <v>2810</v>
      </c>
      <c r="D908">
        <v>2834</v>
      </c>
    </row>
    <row r="909" spans="1:4">
      <c r="A909" t="s">
        <v>2812</v>
      </c>
      <c r="B909" t="s">
        <v>2813</v>
      </c>
      <c r="C909" t="s">
        <v>2812</v>
      </c>
      <c r="D909">
        <v>7372</v>
      </c>
    </row>
    <row r="910" spans="1:4">
      <c r="A910" t="s">
        <v>2814</v>
      </c>
      <c r="B910" t="s">
        <v>2815</v>
      </c>
      <c r="C910" t="s">
        <v>2814</v>
      </c>
      <c r="D910">
        <v>5900</v>
      </c>
    </row>
    <row r="911" spans="1:4">
      <c r="A911" t="s">
        <v>2816</v>
      </c>
      <c r="B911" t="s">
        <v>2817</v>
      </c>
      <c r="C911" t="s">
        <v>2816</v>
      </c>
      <c r="D911">
        <v>3674</v>
      </c>
    </row>
    <row r="912" spans="1:4">
      <c r="A912" t="s">
        <v>2818</v>
      </c>
      <c r="B912" t="s">
        <v>2819</v>
      </c>
      <c r="C912" t="s">
        <v>2818</v>
      </c>
      <c r="D912">
        <v>6200</v>
      </c>
    </row>
    <row r="913" spans="1:4">
      <c r="A913" t="s">
        <v>2820</v>
      </c>
      <c r="B913" t="s">
        <v>2821</v>
      </c>
      <c r="C913" t="s">
        <v>2820</v>
      </c>
      <c r="D913">
        <v>4931</v>
      </c>
    </row>
    <row r="914" spans="1:4">
      <c r="A914" t="s">
        <v>2822</v>
      </c>
      <c r="B914" t="s">
        <v>2823</v>
      </c>
      <c r="C914" t="s">
        <v>2822</v>
      </c>
      <c r="D914">
        <v>2860</v>
      </c>
    </row>
    <row r="915" spans="1:4">
      <c r="A915" t="s">
        <v>2824</v>
      </c>
      <c r="B915" t="s">
        <v>2825</v>
      </c>
      <c r="C915" t="s">
        <v>2824</v>
      </c>
      <c r="D915">
        <v>6331</v>
      </c>
    </row>
    <row r="916" spans="1:4">
      <c r="A916" t="s">
        <v>2826</v>
      </c>
      <c r="B916" t="s">
        <v>2827</v>
      </c>
      <c r="C916" t="s">
        <v>2826</v>
      </c>
      <c r="D916">
        <v>6022</v>
      </c>
    </row>
    <row r="917" spans="1:4">
      <c r="A917" t="s">
        <v>2828</v>
      </c>
      <c r="B917" t="s">
        <v>2829</v>
      </c>
      <c r="C917" t="s">
        <v>2828</v>
      </c>
      <c r="D917">
        <v>3531</v>
      </c>
    </row>
    <row r="918" spans="1:4">
      <c r="A918" t="s">
        <v>2830</v>
      </c>
      <c r="B918" t="s">
        <v>2831</v>
      </c>
      <c r="C918" t="s">
        <v>2830</v>
      </c>
      <c r="D918">
        <v>6321</v>
      </c>
    </row>
    <row r="919" spans="1:4">
      <c r="A919" t="s">
        <v>2832</v>
      </c>
      <c r="B919" t="s">
        <v>2833</v>
      </c>
      <c r="C919" t="s">
        <v>2832</v>
      </c>
      <c r="D919">
        <v>1311</v>
      </c>
    </row>
    <row r="920" spans="1:4">
      <c r="A920" t="s">
        <v>2834</v>
      </c>
      <c r="B920" t="s">
        <v>2835</v>
      </c>
      <c r="C920" t="s">
        <v>2834</v>
      </c>
      <c r="D920">
        <v>3841</v>
      </c>
    </row>
    <row r="921" spans="1:4">
      <c r="A921" t="s">
        <v>2836</v>
      </c>
      <c r="B921" t="s">
        <v>2837</v>
      </c>
      <c r="C921" t="s">
        <v>2836</v>
      </c>
      <c r="D921">
        <v>6022</v>
      </c>
    </row>
    <row r="922" spans="1:4">
      <c r="A922" t="s">
        <v>2838</v>
      </c>
      <c r="B922" t="s">
        <v>2839</v>
      </c>
      <c r="C922" t="s">
        <v>2838</v>
      </c>
      <c r="D922">
        <v>2080</v>
      </c>
    </row>
    <row r="923" spans="1:4">
      <c r="A923" t="s">
        <v>2840</v>
      </c>
      <c r="B923" t="s">
        <v>2841</v>
      </c>
      <c r="C923" t="s">
        <v>2840</v>
      </c>
      <c r="D923">
        <v>2086</v>
      </c>
    </row>
    <row r="924" spans="1:4">
      <c r="A924" t="s">
        <v>2842</v>
      </c>
      <c r="B924" t="s">
        <v>2843</v>
      </c>
      <c r="C924" t="s">
        <v>2842</v>
      </c>
      <c r="D924">
        <v>2834</v>
      </c>
    </row>
    <row r="925" spans="1:4">
      <c r="A925" t="s">
        <v>2844</v>
      </c>
      <c r="B925" t="s">
        <v>2845</v>
      </c>
      <c r="C925" t="s">
        <v>2844</v>
      </c>
      <c r="D925">
        <v>3812</v>
      </c>
    </row>
    <row r="926" spans="1:4">
      <c r="A926" t="s">
        <v>2846</v>
      </c>
      <c r="B926" t="s">
        <v>2847</v>
      </c>
      <c r="C926" t="s">
        <v>2846</v>
      </c>
      <c r="D926">
        <v>5050</v>
      </c>
    </row>
    <row r="927" spans="1:4">
      <c r="A927" t="s">
        <v>2848</v>
      </c>
      <c r="B927" t="s">
        <v>2849</v>
      </c>
      <c r="C927" t="s">
        <v>2848</v>
      </c>
      <c r="D927">
        <v>3826</v>
      </c>
    </row>
    <row r="928" spans="1:4">
      <c r="A928" t="s">
        <v>2850</v>
      </c>
      <c r="B928" t="s">
        <v>2851</v>
      </c>
      <c r="C928" t="s">
        <v>2850</v>
      </c>
      <c r="D928">
        <v>2860</v>
      </c>
    </row>
    <row r="929" spans="1:4">
      <c r="A929" t="s">
        <v>2852</v>
      </c>
      <c r="B929" t="s">
        <v>2853</v>
      </c>
      <c r="C929" t="s">
        <v>2852</v>
      </c>
      <c r="D929">
        <v>2836</v>
      </c>
    </row>
    <row r="930" spans="1:4">
      <c r="A930" t="s">
        <v>2854</v>
      </c>
      <c r="B930" t="s">
        <v>2855</v>
      </c>
      <c r="C930" t="s">
        <v>2854</v>
      </c>
      <c r="D930">
        <v>6035</v>
      </c>
    </row>
    <row r="931" spans="1:4">
      <c r="A931" t="s">
        <v>2856</v>
      </c>
      <c r="B931" t="s">
        <v>2857</v>
      </c>
      <c r="C931" t="s">
        <v>2856</v>
      </c>
      <c r="D931">
        <v>1040</v>
      </c>
    </row>
    <row r="932" spans="1:4">
      <c r="A932" t="s">
        <v>2858</v>
      </c>
      <c r="B932" t="s">
        <v>2859</v>
      </c>
      <c r="C932" t="s">
        <v>2858</v>
      </c>
      <c r="D932">
        <v>2090</v>
      </c>
    </row>
    <row r="933" spans="1:4">
      <c r="A933" t="s">
        <v>2860</v>
      </c>
      <c r="B933" t="s">
        <v>2861</v>
      </c>
      <c r="C933" t="s">
        <v>2860</v>
      </c>
      <c r="D933">
        <v>2834</v>
      </c>
    </row>
    <row r="934" spans="1:4">
      <c r="A934" t="s">
        <v>2862</v>
      </c>
      <c r="B934" t="s">
        <v>2863</v>
      </c>
      <c r="C934" t="s">
        <v>2862</v>
      </c>
      <c r="D934">
        <v>4899</v>
      </c>
    </row>
    <row r="935" spans="1:4">
      <c r="A935" t="s">
        <v>2864</v>
      </c>
      <c r="B935" t="s">
        <v>2865</v>
      </c>
      <c r="C935" t="s">
        <v>2864</v>
      </c>
      <c r="D935">
        <v>3823</v>
      </c>
    </row>
    <row r="936" spans="1:4">
      <c r="A936" t="s">
        <v>2866</v>
      </c>
      <c r="B936" t="s">
        <v>2867</v>
      </c>
      <c r="C936" t="s">
        <v>2866</v>
      </c>
      <c r="D936">
        <v>7371</v>
      </c>
    </row>
    <row r="937" spans="1:4">
      <c r="A937" t="s">
        <v>2868</v>
      </c>
      <c r="B937" t="s">
        <v>2869</v>
      </c>
      <c r="C937" t="s">
        <v>2868</v>
      </c>
      <c r="D937">
        <v>7372</v>
      </c>
    </row>
    <row r="938" spans="1:4">
      <c r="A938" t="s">
        <v>2870</v>
      </c>
      <c r="B938" t="s">
        <v>2871</v>
      </c>
      <c r="C938" t="s">
        <v>2870</v>
      </c>
      <c r="D938">
        <v>2834</v>
      </c>
    </row>
    <row r="939" spans="1:4">
      <c r="A939" t="s">
        <v>2872</v>
      </c>
      <c r="B939" t="s">
        <v>2873</v>
      </c>
      <c r="C939" t="s">
        <v>2872</v>
      </c>
      <c r="D939">
        <v>6211</v>
      </c>
    </row>
    <row r="940" spans="1:4">
      <c r="A940" t="s">
        <v>2874</v>
      </c>
      <c r="B940" t="s">
        <v>2875</v>
      </c>
      <c r="C940" t="s">
        <v>2874</v>
      </c>
      <c r="D940">
        <v>6282</v>
      </c>
    </row>
    <row r="941" spans="1:4">
      <c r="A941" t="s">
        <v>2876</v>
      </c>
      <c r="B941" t="s">
        <v>2877</v>
      </c>
      <c r="C941" t="s">
        <v>2876</v>
      </c>
      <c r="D941">
        <v>2836</v>
      </c>
    </row>
    <row r="942" spans="1:4">
      <c r="A942" t="s">
        <v>2878</v>
      </c>
      <c r="B942" t="s">
        <v>2879</v>
      </c>
      <c r="C942" t="s">
        <v>2878</v>
      </c>
      <c r="D942">
        <v>3825</v>
      </c>
    </row>
    <row r="943" spans="1:4">
      <c r="A943" t="s">
        <v>2880</v>
      </c>
      <c r="B943" t="s">
        <v>2881</v>
      </c>
      <c r="C943" t="s">
        <v>2880</v>
      </c>
      <c r="D943">
        <v>6199</v>
      </c>
    </row>
    <row r="944" spans="1:4">
      <c r="A944" t="s">
        <v>2882</v>
      </c>
      <c r="B944" t="s">
        <v>2883</v>
      </c>
      <c r="C944" t="s">
        <v>2882</v>
      </c>
      <c r="D944">
        <v>2844</v>
      </c>
    </row>
    <row r="945" spans="1:4">
      <c r="A945" t="s">
        <v>2884</v>
      </c>
      <c r="B945" t="s">
        <v>2885</v>
      </c>
      <c r="C945" t="s">
        <v>2884</v>
      </c>
      <c r="D945">
        <v>2834</v>
      </c>
    </row>
    <row r="946" spans="1:4">
      <c r="A946" t="s">
        <v>2886</v>
      </c>
      <c r="B946" t="s">
        <v>2887</v>
      </c>
      <c r="C946" t="s">
        <v>2886</v>
      </c>
      <c r="D946">
        <v>6500</v>
      </c>
    </row>
    <row r="947" spans="1:4">
      <c r="A947" t="s">
        <v>2888</v>
      </c>
      <c r="B947" t="s">
        <v>2889</v>
      </c>
      <c r="C947" t="s">
        <v>2888</v>
      </c>
      <c r="D947">
        <v>3842</v>
      </c>
    </row>
    <row r="948" spans="1:4">
      <c r="A948" t="s">
        <v>2890</v>
      </c>
      <c r="B948" t="s">
        <v>2891</v>
      </c>
      <c r="C948" t="s">
        <v>2890</v>
      </c>
      <c r="D948">
        <v>6022</v>
      </c>
    </row>
    <row r="949" spans="1:4">
      <c r="A949" t="s">
        <v>2892</v>
      </c>
      <c r="B949" t="s">
        <v>2893</v>
      </c>
      <c r="C949" t="s">
        <v>2892</v>
      </c>
      <c r="D949">
        <v>6022</v>
      </c>
    </row>
    <row r="950" spans="1:4">
      <c r="A950" t="s">
        <v>2894</v>
      </c>
      <c r="B950" t="s">
        <v>2895</v>
      </c>
      <c r="C950" t="s">
        <v>2894</v>
      </c>
      <c r="D950">
        <v>6035</v>
      </c>
    </row>
    <row r="951" spans="1:4">
      <c r="A951" t="s">
        <v>2896</v>
      </c>
      <c r="B951" t="s">
        <v>2897</v>
      </c>
      <c r="C951" t="s">
        <v>2896</v>
      </c>
      <c r="D951">
        <v>2300</v>
      </c>
    </row>
    <row r="952" spans="1:4">
      <c r="A952" t="s">
        <v>2898</v>
      </c>
      <c r="B952" t="s">
        <v>2899</v>
      </c>
      <c r="C952" t="s">
        <v>2898</v>
      </c>
      <c r="D952">
        <v>3531</v>
      </c>
    </row>
    <row r="953" spans="1:4">
      <c r="A953" t="s">
        <v>2900</v>
      </c>
      <c r="B953" t="s">
        <v>2901</v>
      </c>
      <c r="C953" t="s">
        <v>2900</v>
      </c>
      <c r="D953">
        <v>4841</v>
      </c>
    </row>
    <row r="954" spans="1:4">
      <c r="A954" t="s">
        <v>2902</v>
      </c>
      <c r="B954" t="s">
        <v>2903</v>
      </c>
      <c r="C954" t="s">
        <v>2902</v>
      </c>
      <c r="D954">
        <v>6021</v>
      </c>
    </row>
    <row r="955" spans="1:4">
      <c r="A955" t="s">
        <v>2904</v>
      </c>
      <c r="B955" t="s">
        <v>2905</v>
      </c>
      <c r="C955" t="s">
        <v>2904</v>
      </c>
      <c r="D955">
        <v>1731</v>
      </c>
    </row>
    <row r="956" spans="1:4">
      <c r="A956" t="s">
        <v>2906</v>
      </c>
      <c r="B956" t="s">
        <v>2907</v>
      </c>
      <c r="C956" t="s">
        <v>2906</v>
      </c>
      <c r="D956">
        <v>6022</v>
      </c>
    </row>
    <row r="957" spans="1:4">
      <c r="A957" t="s">
        <v>2908</v>
      </c>
      <c r="B957" t="s">
        <v>2909</v>
      </c>
      <c r="C957" t="s">
        <v>2908</v>
      </c>
      <c r="D957">
        <v>3312</v>
      </c>
    </row>
    <row r="958" spans="1:4">
      <c r="A958" t="s">
        <v>2910</v>
      </c>
      <c r="B958" t="s">
        <v>2911</v>
      </c>
      <c r="C958" t="s">
        <v>2910</v>
      </c>
      <c r="D958">
        <v>3714</v>
      </c>
    </row>
    <row r="959" spans="1:4">
      <c r="A959" t="s">
        <v>2912</v>
      </c>
      <c r="B959" t="s">
        <v>2913</v>
      </c>
      <c r="C959" t="s">
        <v>2912</v>
      </c>
      <c r="D959">
        <v>3663</v>
      </c>
    </row>
    <row r="960" spans="1:4">
      <c r="A960" t="s">
        <v>2914</v>
      </c>
      <c r="B960" t="s">
        <v>2915</v>
      </c>
      <c r="C960" t="s">
        <v>2914</v>
      </c>
      <c r="D960">
        <v>6021</v>
      </c>
    </row>
    <row r="961" spans="1:4">
      <c r="A961" t="s">
        <v>2916</v>
      </c>
      <c r="B961" t="s">
        <v>2917</v>
      </c>
      <c r="C961" t="s">
        <v>2916</v>
      </c>
      <c r="D961">
        <v>6021</v>
      </c>
    </row>
    <row r="962" spans="1:4">
      <c r="A962" t="s">
        <v>2918</v>
      </c>
      <c r="B962" t="s">
        <v>2919</v>
      </c>
      <c r="C962" t="s">
        <v>2918</v>
      </c>
      <c r="D962">
        <v>6022</v>
      </c>
    </row>
    <row r="963" spans="1:4">
      <c r="A963" t="s">
        <v>2920</v>
      </c>
      <c r="B963" t="s">
        <v>2921</v>
      </c>
      <c r="C963" t="s">
        <v>2920</v>
      </c>
      <c r="D963">
        <v>8062</v>
      </c>
    </row>
    <row r="964" spans="1:4">
      <c r="A964" t="s">
        <v>2922</v>
      </c>
      <c r="B964" t="s">
        <v>2923</v>
      </c>
      <c r="C964" t="s">
        <v>2922</v>
      </c>
      <c r="D964">
        <v>6798</v>
      </c>
    </row>
    <row r="965" spans="1:4">
      <c r="A965" t="s">
        <v>2924</v>
      </c>
      <c r="B965" t="s">
        <v>2925</v>
      </c>
      <c r="C965" t="s">
        <v>2924</v>
      </c>
      <c r="D965">
        <v>6022</v>
      </c>
    </row>
    <row r="966" spans="1:4">
      <c r="A966" t="s">
        <v>2926</v>
      </c>
      <c r="B966" t="s">
        <v>2927</v>
      </c>
      <c r="C966" t="s">
        <v>2926</v>
      </c>
      <c r="D966">
        <v>6022</v>
      </c>
    </row>
    <row r="967" spans="1:4">
      <c r="A967" t="s">
        <v>2928</v>
      </c>
      <c r="B967" t="s">
        <v>2929</v>
      </c>
      <c r="C967" t="s">
        <v>2928</v>
      </c>
      <c r="D967">
        <v>7372</v>
      </c>
    </row>
    <row r="968" spans="1:4">
      <c r="A968" t="s">
        <v>2930</v>
      </c>
      <c r="B968" t="s">
        <v>2931</v>
      </c>
      <c r="C968" t="s">
        <v>2930</v>
      </c>
      <c r="D968">
        <v>2510</v>
      </c>
    </row>
    <row r="969" spans="1:4">
      <c r="A969" t="s">
        <v>2932</v>
      </c>
      <c r="B969" t="s">
        <v>2933</v>
      </c>
      <c r="C969" t="s">
        <v>2932</v>
      </c>
      <c r="D969">
        <v>1400</v>
      </c>
    </row>
    <row r="970" spans="1:4">
      <c r="A970" t="s">
        <v>2934</v>
      </c>
      <c r="B970" t="s">
        <v>2935</v>
      </c>
      <c r="C970" t="s">
        <v>2934</v>
      </c>
      <c r="D970">
        <v>7371</v>
      </c>
    </row>
    <row r="971" spans="1:4">
      <c r="A971" t="s">
        <v>2936</v>
      </c>
      <c r="B971" t="s">
        <v>2937</v>
      </c>
      <c r="C971" t="s">
        <v>2936</v>
      </c>
      <c r="D971">
        <v>6199</v>
      </c>
    </row>
    <row r="972" spans="1:4">
      <c r="A972" t="s">
        <v>2938</v>
      </c>
      <c r="B972" t="s">
        <v>2939</v>
      </c>
      <c r="C972" t="s">
        <v>2938</v>
      </c>
      <c r="D972">
        <v>2836</v>
      </c>
    </row>
    <row r="973" spans="1:4">
      <c r="A973" t="s">
        <v>2940</v>
      </c>
      <c r="B973" t="s">
        <v>2941</v>
      </c>
      <c r="C973" t="s">
        <v>2940</v>
      </c>
      <c r="D973">
        <v>7371</v>
      </c>
    </row>
    <row r="974" spans="1:4">
      <c r="A974" t="s">
        <v>2942</v>
      </c>
      <c r="B974" t="s">
        <v>2943</v>
      </c>
      <c r="C974" t="s">
        <v>2942</v>
      </c>
      <c r="D974">
        <v>7371</v>
      </c>
    </row>
    <row r="975" spans="1:4">
      <c r="A975" t="s">
        <v>2944</v>
      </c>
      <c r="B975" t="s">
        <v>2945</v>
      </c>
      <c r="C975" t="s">
        <v>2944</v>
      </c>
      <c r="D975">
        <v>3420</v>
      </c>
    </row>
    <row r="976" spans="1:4">
      <c r="A976" t="s">
        <v>2946</v>
      </c>
      <c r="B976" t="s">
        <v>2947</v>
      </c>
      <c r="C976" t="s">
        <v>2946</v>
      </c>
      <c r="D976">
        <v>7389</v>
      </c>
    </row>
    <row r="977" spans="1:4">
      <c r="A977" t="s">
        <v>2948</v>
      </c>
      <c r="B977" t="s">
        <v>2949</v>
      </c>
      <c r="C977" t="s">
        <v>2948</v>
      </c>
      <c r="D977">
        <v>3669</v>
      </c>
    </row>
    <row r="978" spans="1:4">
      <c r="A978" t="s">
        <v>2950</v>
      </c>
      <c r="B978" t="s">
        <v>2951</v>
      </c>
      <c r="C978" t="s">
        <v>2950</v>
      </c>
      <c r="D978">
        <v>6500</v>
      </c>
    </row>
    <row r="979" spans="1:4">
      <c r="A979" t="s">
        <v>2952</v>
      </c>
      <c r="B979" t="s">
        <v>2953</v>
      </c>
      <c r="C979" t="s">
        <v>2952</v>
      </c>
      <c r="D979">
        <v>1040</v>
      </c>
    </row>
    <row r="980" spans="1:4">
      <c r="A980" t="s">
        <v>2954</v>
      </c>
      <c r="B980" t="s">
        <v>2955</v>
      </c>
      <c r="C980" t="s">
        <v>2954</v>
      </c>
      <c r="D980">
        <v>1311</v>
      </c>
    </row>
    <row r="981" spans="1:4">
      <c r="A981" t="s">
        <v>2956</v>
      </c>
      <c r="B981" t="s">
        <v>2957</v>
      </c>
      <c r="C981" t="s">
        <v>2956</v>
      </c>
      <c r="D981">
        <v>3663</v>
      </c>
    </row>
    <row r="982" spans="1:4">
      <c r="A982" t="s">
        <v>2958</v>
      </c>
      <c r="B982" t="s">
        <v>2959</v>
      </c>
      <c r="C982" t="s">
        <v>2958</v>
      </c>
      <c r="D982">
        <v>2000</v>
      </c>
    </row>
    <row r="983" spans="1:4">
      <c r="A983" t="s">
        <v>2960</v>
      </c>
      <c r="B983" t="s">
        <v>2961</v>
      </c>
      <c r="C983" t="s">
        <v>2960</v>
      </c>
      <c r="D983">
        <v>7389</v>
      </c>
    </row>
    <row r="984" spans="1:4">
      <c r="A984" t="s">
        <v>2962</v>
      </c>
      <c r="B984" t="s">
        <v>2963</v>
      </c>
      <c r="C984" t="s">
        <v>2962</v>
      </c>
      <c r="D984">
        <v>2834</v>
      </c>
    </row>
    <row r="985" spans="1:4">
      <c r="A985" t="s">
        <v>2964</v>
      </c>
      <c r="B985" t="s">
        <v>2965</v>
      </c>
      <c r="C985" t="s">
        <v>2964</v>
      </c>
      <c r="D985">
        <v>8011</v>
      </c>
    </row>
    <row r="986" spans="1:4">
      <c r="A986" t="s">
        <v>2966</v>
      </c>
      <c r="B986" t="s">
        <v>2967</v>
      </c>
      <c r="C986" t="s">
        <v>2966</v>
      </c>
      <c r="D986">
        <v>1700</v>
      </c>
    </row>
    <row r="987" spans="1:4">
      <c r="A987" t="s">
        <v>2968</v>
      </c>
      <c r="B987" t="s">
        <v>2969</v>
      </c>
      <c r="C987" t="s">
        <v>2968</v>
      </c>
      <c r="D987">
        <v>7389</v>
      </c>
    </row>
    <row r="988" spans="1:4">
      <c r="A988" t="s">
        <v>2970</v>
      </c>
      <c r="B988" t="s">
        <v>2971</v>
      </c>
      <c r="C988" t="s">
        <v>2970</v>
      </c>
      <c r="D988">
        <v>7372</v>
      </c>
    </row>
    <row r="989" spans="1:4">
      <c r="A989" t="s">
        <v>2972</v>
      </c>
      <c r="B989" t="s">
        <v>2973</v>
      </c>
      <c r="C989" t="s">
        <v>2972</v>
      </c>
      <c r="D989">
        <v>3842</v>
      </c>
    </row>
    <row r="990" spans="1:4">
      <c r="A990" t="s">
        <v>2974</v>
      </c>
      <c r="B990" t="s">
        <v>2975</v>
      </c>
      <c r="C990" t="s">
        <v>2974</v>
      </c>
      <c r="D990">
        <v>6331</v>
      </c>
    </row>
    <row r="991" spans="1:4">
      <c r="A991" t="s">
        <v>2976</v>
      </c>
      <c r="B991" t="s">
        <v>2977</v>
      </c>
      <c r="C991" t="s">
        <v>2976</v>
      </c>
      <c r="D991">
        <v>3845</v>
      </c>
    </row>
    <row r="992" spans="1:4">
      <c r="A992" t="s">
        <v>2978</v>
      </c>
      <c r="B992" t="s">
        <v>2979</v>
      </c>
      <c r="C992" t="s">
        <v>2978</v>
      </c>
      <c r="D992">
        <v>6022</v>
      </c>
    </row>
    <row r="993" spans="1:4">
      <c r="A993" t="s">
        <v>2980</v>
      </c>
      <c r="B993" t="s">
        <v>2981</v>
      </c>
      <c r="C993" t="s">
        <v>2980</v>
      </c>
      <c r="D993">
        <v>5731</v>
      </c>
    </row>
    <row r="994" spans="1:4">
      <c r="A994" t="s">
        <v>2982</v>
      </c>
      <c r="B994" t="s">
        <v>2983</v>
      </c>
      <c r="C994" t="s">
        <v>2982</v>
      </c>
      <c r="D994">
        <v>2911</v>
      </c>
    </row>
    <row r="995" spans="1:4">
      <c r="A995" t="s">
        <v>2984</v>
      </c>
      <c r="B995" t="s">
        <v>2985</v>
      </c>
      <c r="C995" t="s">
        <v>2984</v>
      </c>
      <c r="D995">
        <v>7372</v>
      </c>
    </row>
    <row r="996" spans="1:4">
      <c r="A996" t="s">
        <v>2986</v>
      </c>
      <c r="B996" t="s">
        <v>2987</v>
      </c>
      <c r="C996" t="s">
        <v>2986</v>
      </c>
      <c r="D996">
        <v>1220</v>
      </c>
    </row>
    <row r="997" spans="1:4">
      <c r="A997" t="s">
        <v>2988</v>
      </c>
      <c r="B997" t="s">
        <v>2989</v>
      </c>
      <c r="C997" t="s">
        <v>2988</v>
      </c>
      <c r="D997">
        <v>4813</v>
      </c>
    </row>
    <row r="998" spans="1:4">
      <c r="A998" t="s">
        <v>2990</v>
      </c>
      <c r="B998" t="s">
        <v>2991</v>
      </c>
      <c r="C998" t="s">
        <v>2990</v>
      </c>
      <c r="D998">
        <v>4931</v>
      </c>
    </row>
    <row r="999" spans="1:4">
      <c r="A999" t="s">
        <v>2992</v>
      </c>
      <c r="B999" t="s">
        <v>2993</v>
      </c>
      <c r="C999" t="s">
        <v>2992</v>
      </c>
      <c r="D999">
        <v>4941</v>
      </c>
    </row>
    <row r="1000" spans="1:4">
      <c r="A1000" t="s">
        <v>2994</v>
      </c>
      <c r="B1000" t="s">
        <v>2995</v>
      </c>
      <c r="C1000" t="s">
        <v>2994</v>
      </c>
      <c r="D1000">
        <v>2080</v>
      </c>
    </row>
    <row r="1001" spans="1:4">
      <c r="A1001" t="s">
        <v>2996</v>
      </c>
      <c r="B1001" t="s">
        <v>2997</v>
      </c>
      <c r="C1001" t="s">
        <v>2996</v>
      </c>
      <c r="D1001">
        <v>1600</v>
      </c>
    </row>
    <row r="1002" spans="1:4">
      <c r="A1002" t="s">
        <v>2998</v>
      </c>
      <c r="B1002" t="s">
        <v>2999</v>
      </c>
      <c r="C1002" t="s">
        <v>2998</v>
      </c>
      <c r="D1002">
        <v>6199</v>
      </c>
    </row>
    <row r="1003" spans="1:4">
      <c r="A1003" t="s">
        <v>3000</v>
      </c>
      <c r="B1003" t="s">
        <v>3001</v>
      </c>
      <c r="C1003" t="s">
        <v>3000</v>
      </c>
      <c r="D1003">
        <v>6021</v>
      </c>
    </row>
    <row r="1004" spans="1:4">
      <c r="A1004" t="s">
        <v>3002</v>
      </c>
      <c r="B1004" t="s">
        <v>3003</v>
      </c>
      <c r="C1004" t="s">
        <v>3002</v>
      </c>
      <c r="D1004">
        <v>5700</v>
      </c>
    </row>
    <row r="1005" spans="1:4">
      <c r="A1005" t="s">
        <v>3004</v>
      </c>
      <c r="B1005" t="s">
        <v>3005</v>
      </c>
      <c r="C1005" t="s">
        <v>3004</v>
      </c>
      <c r="D1005">
        <v>5961</v>
      </c>
    </row>
    <row r="1006" spans="1:4">
      <c r="A1006" t="s">
        <v>3006</v>
      </c>
      <c r="B1006" t="s">
        <v>3007</v>
      </c>
      <c r="C1006" t="s">
        <v>3006</v>
      </c>
      <c r="D1006">
        <v>1311</v>
      </c>
    </row>
    <row r="1007" spans="1:4">
      <c r="A1007" t="s">
        <v>3008</v>
      </c>
      <c r="B1007" t="s">
        <v>3009</v>
      </c>
      <c r="C1007" t="s">
        <v>3008</v>
      </c>
      <c r="D1007">
        <v>8090</v>
      </c>
    </row>
    <row r="1008" spans="1:4">
      <c r="A1008" t="s">
        <v>3010</v>
      </c>
      <c r="B1008" t="s">
        <v>3011</v>
      </c>
      <c r="C1008" t="s">
        <v>3010</v>
      </c>
      <c r="D1008">
        <v>3851</v>
      </c>
    </row>
    <row r="1009" spans="1:4">
      <c r="A1009" t="s">
        <v>3012</v>
      </c>
      <c r="B1009" t="s">
        <v>3013</v>
      </c>
      <c r="C1009" t="s">
        <v>3012</v>
      </c>
      <c r="D1009">
        <v>3714</v>
      </c>
    </row>
    <row r="1010" spans="1:4">
      <c r="A1010" t="s">
        <v>3014</v>
      </c>
      <c r="B1010" t="s">
        <v>3015</v>
      </c>
      <c r="C1010" t="s">
        <v>3014</v>
      </c>
      <c r="D1010">
        <v>5500</v>
      </c>
    </row>
    <row r="1011" spans="1:4">
      <c r="A1011" t="s">
        <v>3016</v>
      </c>
      <c r="B1011" t="s">
        <v>3017</v>
      </c>
      <c r="C1011" t="s">
        <v>3016</v>
      </c>
      <c r="D1011">
        <v>2834</v>
      </c>
    </row>
    <row r="1012" spans="1:4">
      <c r="A1012" t="s">
        <v>3018</v>
      </c>
      <c r="B1012" t="s">
        <v>3019</v>
      </c>
      <c r="C1012" t="s">
        <v>3018</v>
      </c>
      <c r="D1012">
        <v>2834</v>
      </c>
    </row>
    <row r="1013" spans="1:4">
      <c r="A1013" t="s">
        <v>3020</v>
      </c>
      <c r="B1013" t="s">
        <v>3021</v>
      </c>
      <c r="C1013" t="s">
        <v>3020</v>
      </c>
      <c r="D1013">
        <v>5099</v>
      </c>
    </row>
    <row r="1014" spans="1:4">
      <c r="A1014" t="s">
        <v>3022</v>
      </c>
      <c r="B1014" t="s">
        <v>3023</v>
      </c>
      <c r="C1014" t="s">
        <v>3022</v>
      </c>
      <c r="D1014">
        <v>1389</v>
      </c>
    </row>
    <row r="1015" spans="1:4">
      <c r="A1015" t="s">
        <v>3024</v>
      </c>
      <c r="B1015" t="s">
        <v>3025</v>
      </c>
      <c r="C1015" t="s">
        <v>3024</v>
      </c>
      <c r="D1015">
        <v>3089</v>
      </c>
    </row>
    <row r="1016" spans="1:4">
      <c r="A1016" t="s">
        <v>3026</v>
      </c>
      <c r="B1016" t="s">
        <v>3027</v>
      </c>
      <c r="C1016" t="s">
        <v>3026</v>
      </c>
      <c r="D1016">
        <v>7372</v>
      </c>
    </row>
    <row r="1017" spans="1:4">
      <c r="A1017" t="s">
        <v>3028</v>
      </c>
      <c r="B1017" t="s">
        <v>3029</v>
      </c>
      <c r="C1017" t="s">
        <v>3028</v>
      </c>
      <c r="D1017">
        <v>6798</v>
      </c>
    </row>
    <row r="1018" spans="1:4">
      <c r="A1018" t="s">
        <v>3030</v>
      </c>
      <c r="B1018" t="s">
        <v>3031</v>
      </c>
      <c r="C1018" t="s">
        <v>3030</v>
      </c>
      <c r="D1018">
        <v>6798</v>
      </c>
    </row>
    <row r="1019" spans="1:4">
      <c r="A1019" t="s">
        <v>3032</v>
      </c>
      <c r="B1019" t="s">
        <v>3033</v>
      </c>
      <c r="C1019" t="s">
        <v>3032</v>
      </c>
      <c r="D1019">
        <v>2834</v>
      </c>
    </row>
    <row r="1020" spans="1:4">
      <c r="A1020" t="s">
        <v>3034</v>
      </c>
      <c r="B1020" t="s">
        <v>3035</v>
      </c>
      <c r="C1020" t="s">
        <v>3034</v>
      </c>
      <c r="D1020">
        <v>3448</v>
      </c>
    </row>
    <row r="1021" spans="1:4">
      <c r="A1021" t="s">
        <v>3036</v>
      </c>
      <c r="B1021" t="s">
        <v>3037</v>
      </c>
      <c r="C1021" t="s">
        <v>3036</v>
      </c>
      <c r="D1021">
        <v>3357</v>
      </c>
    </row>
    <row r="1022" spans="1:4">
      <c r="A1022" t="s">
        <v>3038</v>
      </c>
      <c r="B1022" t="s">
        <v>3039</v>
      </c>
      <c r="C1022" t="s">
        <v>3038</v>
      </c>
      <c r="D1022">
        <v>4923</v>
      </c>
    </row>
    <row r="1023" spans="1:4">
      <c r="A1023" t="s">
        <v>3040</v>
      </c>
      <c r="B1023" t="s">
        <v>3041</v>
      </c>
      <c r="C1023" t="s">
        <v>3040</v>
      </c>
      <c r="D1023">
        <v>6798</v>
      </c>
    </row>
    <row r="1024" spans="1:4">
      <c r="A1024" t="s">
        <v>3042</v>
      </c>
      <c r="B1024" t="s">
        <v>3043</v>
      </c>
      <c r="C1024" t="s">
        <v>3042</v>
      </c>
      <c r="D1024">
        <v>3577</v>
      </c>
    </row>
    <row r="1025" spans="1:4">
      <c r="A1025" t="s">
        <v>3044</v>
      </c>
      <c r="B1025" t="s">
        <v>3045</v>
      </c>
      <c r="C1025" t="s">
        <v>3044</v>
      </c>
      <c r="D1025">
        <v>100</v>
      </c>
    </row>
    <row r="1026" spans="1:4">
      <c r="A1026" t="s">
        <v>3046</v>
      </c>
      <c r="B1026" t="s">
        <v>3047</v>
      </c>
      <c r="C1026" t="s">
        <v>3046</v>
      </c>
      <c r="D1026">
        <v>6411</v>
      </c>
    </row>
    <row r="1027" spans="1:4">
      <c r="A1027" t="s">
        <v>3048</v>
      </c>
      <c r="B1027" t="s">
        <v>3049</v>
      </c>
      <c r="C1027" t="s">
        <v>3048</v>
      </c>
      <c r="D1027">
        <v>4210</v>
      </c>
    </row>
    <row r="1028" spans="1:4">
      <c r="A1028" t="s">
        <v>3050</v>
      </c>
      <c r="B1028" t="s">
        <v>3051</v>
      </c>
      <c r="C1028" t="s">
        <v>3050</v>
      </c>
      <c r="D1028">
        <v>4412</v>
      </c>
    </row>
    <row r="1029" spans="1:4">
      <c r="A1029" t="s">
        <v>3052</v>
      </c>
      <c r="B1029" t="s">
        <v>3053</v>
      </c>
      <c r="C1029" t="s">
        <v>3052</v>
      </c>
      <c r="D1029">
        <v>7389</v>
      </c>
    </row>
    <row r="1030" spans="1:4">
      <c r="A1030" t="s">
        <v>3054</v>
      </c>
      <c r="B1030" t="s">
        <v>3055</v>
      </c>
      <c r="C1030" t="s">
        <v>3054</v>
      </c>
      <c r="D1030">
        <v>5331</v>
      </c>
    </row>
    <row r="1031" spans="1:4">
      <c r="A1031" t="s">
        <v>3056</v>
      </c>
      <c r="B1031" t="s">
        <v>3057</v>
      </c>
      <c r="C1031" t="s">
        <v>3056</v>
      </c>
      <c r="D1031">
        <v>1311</v>
      </c>
    </row>
    <row r="1032" spans="1:4">
      <c r="A1032" t="s">
        <v>3058</v>
      </c>
      <c r="B1032" t="s">
        <v>3059</v>
      </c>
      <c r="C1032" t="s">
        <v>3058</v>
      </c>
      <c r="D1032">
        <v>2844</v>
      </c>
    </row>
    <row r="1033" spans="1:4">
      <c r="A1033" t="s">
        <v>3060</v>
      </c>
      <c r="B1033" t="s">
        <v>3061</v>
      </c>
      <c r="C1033" t="s">
        <v>3060</v>
      </c>
      <c r="D1033">
        <v>7372</v>
      </c>
    </row>
    <row r="1034" spans="1:4">
      <c r="A1034" t="s">
        <v>3062</v>
      </c>
      <c r="B1034" t="s">
        <v>3063</v>
      </c>
      <c r="C1034" t="s">
        <v>3062</v>
      </c>
      <c r="D1034">
        <v>7372</v>
      </c>
    </row>
    <row r="1035" spans="1:4">
      <c r="A1035" t="s">
        <v>3064</v>
      </c>
      <c r="B1035" t="s">
        <v>3065</v>
      </c>
      <c r="C1035" t="s">
        <v>3064</v>
      </c>
      <c r="D1035">
        <v>5961</v>
      </c>
    </row>
    <row r="1036" spans="1:4">
      <c r="A1036" t="s">
        <v>3066</v>
      </c>
      <c r="B1036" t="s">
        <v>3067</v>
      </c>
      <c r="C1036" t="s">
        <v>3066</v>
      </c>
      <c r="D1036">
        <v>7372</v>
      </c>
    </row>
    <row r="1037" spans="1:4">
      <c r="A1037" t="s">
        <v>3068</v>
      </c>
      <c r="B1037" t="s">
        <v>3069</v>
      </c>
      <c r="C1037" t="s">
        <v>3068</v>
      </c>
      <c r="D1037">
        <v>6798</v>
      </c>
    </row>
    <row r="1038" spans="1:4">
      <c r="A1038" t="s">
        <v>3070</v>
      </c>
      <c r="B1038" t="s">
        <v>3071</v>
      </c>
      <c r="C1038" t="s">
        <v>3070</v>
      </c>
      <c r="D1038">
        <v>4213</v>
      </c>
    </row>
    <row r="1039" spans="1:4">
      <c r="A1039" t="s">
        <v>3072</v>
      </c>
      <c r="B1039" t="s">
        <v>3073</v>
      </c>
      <c r="C1039" t="s">
        <v>3072</v>
      </c>
      <c r="D1039">
        <v>5912</v>
      </c>
    </row>
    <row r="1040" spans="1:4">
      <c r="A1040" t="s">
        <v>3074</v>
      </c>
      <c r="B1040" t="s">
        <v>3075</v>
      </c>
      <c r="C1040" t="s">
        <v>3074</v>
      </c>
      <c r="D1040">
        <v>6211</v>
      </c>
    </row>
    <row r="1041" spans="1:4">
      <c r="A1041" t="s">
        <v>3076</v>
      </c>
      <c r="B1041" t="s">
        <v>3077</v>
      </c>
      <c r="C1041" t="s">
        <v>3076</v>
      </c>
      <c r="D1041">
        <v>2750</v>
      </c>
    </row>
    <row r="1042" spans="1:4">
      <c r="A1042" t="s">
        <v>3078</v>
      </c>
      <c r="B1042" t="s">
        <v>3079</v>
      </c>
      <c r="C1042" t="s">
        <v>3078</v>
      </c>
      <c r="D1042">
        <v>8111</v>
      </c>
    </row>
    <row r="1043" spans="1:4">
      <c r="A1043" t="s">
        <v>3080</v>
      </c>
      <c r="B1043" t="s">
        <v>3081</v>
      </c>
      <c r="C1043" t="s">
        <v>3080</v>
      </c>
      <c r="D1043">
        <v>5812</v>
      </c>
    </row>
    <row r="1044" spans="1:4">
      <c r="A1044" t="s">
        <v>3082</v>
      </c>
      <c r="B1044" t="s">
        <v>3083</v>
      </c>
      <c r="C1044" t="s">
        <v>3082</v>
      </c>
      <c r="D1044">
        <v>3490</v>
      </c>
    </row>
    <row r="1045" spans="1:4">
      <c r="A1045" t="s">
        <v>3084</v>
      </c>
      <c r="B1045" t="s">
        <v>3085</v>
      </c>
      <c r="C1045" t="s">
        <v>3084</v>
      </c>
      <c r="D1045">
        <v>6411</v>
      </c>
    </row>
    <row r="1046" spans="1:4">
      <c r="A1046" t="s">
        <v>3086</v>
      </c>
      <c r="B1046" t="s">
        <v>3087</v>
      </c>
      <c r="C1046" t="s">
        <v>3086</v>
      </c>
      <c r="D1046">
        <v>3823</v>
      </c>
    </row>
    <row r="1047" spans="1:4">
      <c r="A1047" t="s">
        <v>3088</v>
      </c>
      <c r="B1047" t="s">
        <v>3089</v>
      </c>
      <c r="C1047" t="s">
        <v>3088</v>
      </c>
      <c r="D1047">
        <v>6798</v>
      </c>
    </row>
    <row r="1048" spans="1:4">
      <c r="A1048" t="s">
        <v>3090</v>
      </c>
      <c r="B1048" t="s">
        <v>3091</v>
      </c>
      <c r="C1048" t="s">
        <v>3090</v>
      </c>
      <c r="D1048">
        <v>6141</v>
      </c>
    </row>
    <row r="1049" spans="1:4">
      <c r="A1049" t="s">
        <v>3092</v>
      </c>
      <c r="B1049" t="s">
        <v>3093</v>
      </c>
      <c r="C1049" t="s">
        <v>3092</v>
      </c>
      <c r="D1049">
        <v>7320</v>
      </c>
    </row>
    <row r="1050" spans="1:4">
      <c r="A1050" t="s">
        <v>3094</v>
      </c>
      <c r="B1050" t="s">
        <v>3095</v>
      </c>
      <c r="C1050" t="s">
        <v>3094</v>
      </c>
      <c r="D1050">
        <v>3674</v>
      </c>
    </row>
    <row r="1051" spans="1:4">
      <c r="A1051" t="s">
        <v>3096</v>
      </c>
      <c r="B1051" t="s">
        <v>3097</v>
      </c>
      <c r="C1051" t="s">
        <v>3096</v>
      </c>
      <c r="D1051">
        <v>1311</v>
      </c>
    </row>
    <row r="1052" spans="1:4">
      <c r="A1052" t="s">
        <v>3098</v>
      </c>
      <c r="B1052" t="s">
        <v>3099</v>
      </c>
      <c r="C1052" t="s">
        <v>3098</v>
      </c>
      <c r="D1052">
        <v>4923</v>
      </c>
    </row>
    <row r="1053" spans="1:4">
      <c r="A1053" t="s">
        <v>3100</v>
      </c>
      <c r="B1053" t="s">
        <v>3101</v>
      </c>
      <c r="C1053" t="s">
        <v>3100</v>
      </c>
      <c r="D1053">
        <v>4813</v>
      </c>
    </row>
    <row r="1054" spans="1:4">
      <c r="A1054" t="s">
        <v>3102</v>
      </c>
      <c r="B1054" t="s">
        <v>3103</v>
      </c>
      <c r="C1054" t="s">
        <v>3102</v>
      </c>
      <c r="D1054">
        <v>3559</v>
      </c>
    </row>
    <row r="1055" spans="1:4">
      <c r="A1055" t="s">
        <v>3104</v>
      </c>
      <c r="B1055" t="s">
        <v>3105</v>
      </c>
      <c r="C1055" t="s">
        <v>3104</v>
      </c>
      <c r="D1055">
        <v>2080</v>
      </c>
    </row>
    <row r="1056" spans="1:4">
      <c r="A1056" t="s">
        <v>3106</v>
      </c>
      <c r="B1056" t="s">
        <v>3107</v>
      </c>
      <c r="C1056" t="s">
        <v>3106</v>
      </c>
      <c r="D1056">
        <v>2834</v>
      </c>
    </row>
    <row r="1057" spans="1:4">
      <c r="A1057" t="s">
        <v>3108</v>
      </c>
      <c r="B1057" t="s">
        <v>3109</v>
      </c>
      <c r="C1057" t="s">
        <v>3108</v>
      </c>
      <c r="D1057">
        <v>2836</v>
      </c>
    </row>
    <row r="1058" spans="1:4">
      <c r="A1058" t="s">
        <v>3110</v>
      </c>
      <c r="B1058" t="s">
        <v>3111</v>
      </c>
      <c r="C1058" t="s">
        <v>3110</v>
      </c>
      <c r="D1058">
        <v>7311</v>
      </c>
    </row>
    <row r="1059" spans="1:4">
      <c r="A1059" t="s">
        <v>3112</v>
      </c>
      <c r="B1059" t="s">
        <v>3113</v>
      </c>
      <c r="C1059" t="s">
        <v>3112</v>
      </c>
      <c r="D1059">
        <v>3021</v>
      </c>
    </row>
    <row r="1060" spans="1:4">
      <c r="A1060" t="s">
        <v>3114</v>
      </c>
      <c r="B1060" t="s">
        <v>3115</v>
      </c>
      <c r="C1060" t="s">
        <v>3114</v>
      </c>
      <c r="D1060">
        <v>2833</v>
      </c>
    </row>
    <row r="1061" spans="1:4">
      <c r="A1061" t="s">
        <v>3116</v>
      </c>
      <c r="B1061" t="s">
        <v>3117</v>
      </c>
      <c r="C1061" t="s">
        <v>3116</v>
      </c>
      <c r="D1061">
        <v>7363</v>
      </c>
    </row>
    <row r="1062" spans="1:4">
      <c r="A1062" t="s">
        <v>3118</v>
      </c>
      <c r="B1062" t="s">
        <v>3119</v>
      </c>
      <c r="C1062" t="s">
        <v>3118</v>
      </c>
      <c r="D1062">
        <v>5172</v>
      </c>
    </row>
    <row r="1063" spans="1:4">
      <c r="A1063" t="s">
        <v>3120</v>
      </c>
      <c r="B1063" t="s">
        <v>3121</v>
      </c>
      <c r="C1063" t="s">
        <v>3120</v>
      </c>
      <c r="D1063">
        <v>6022</v>
      </c>
    </row>
    <row r="1064" spans="1:4">
      <c r="A1064" t="s">
        <v>3122</v>
      </c>
      <c r="B1064" t="s">
        <v>3123</v>
      </c>
      <c r="C1064" t="s">
        <v>3122</v>
      </c>
      <c r="D1064">
        <v>7372</v>
      </c>
    </row>
    <row r="1065" spans="1:4">
      <c r="A1065" t="s">
        <v>3124</v>
      </c>
      <c r="B1065" t="s">
        <v>3125</v>
      </c>
      <c r="C1065" t="s">
        <v>3124</v>
      </c>
      <c r="D1065">
        <v>6798</v>
      </c>
    </row>
    <row r="1066" spans="1:4">
      <c r="A1066" t="s">
        <v>3126</v>
      </c>
      <c r="B1066" t="s">
        <v>3127</v>
      </c>
      <c r="C1066" t="s">
        <v>3126</v>
      </c>
      <c r="D1066">
        <v>2211</v>
      </c>
    </row>
    <row r="1067" spans="1:4">
      <c r="A1067" t="s">
        <v>3128</v>
      </c>
      <c r="B1067" t="s">
        <v>3129</v>
      </c>
      <c r="C1067" t="s">
        <v>3128</v>
      </c>
      <c r="D1067">
        <v>3411</v>
      </c>
    </row>
    <row r="1068" spans="1:4">
      <c r="A1068" t="s">
        <v>3130</v>
      </c>
      <c r="B1068" t="s">
        <v>3131</v>
      </c>
      <c r="C1068" t="s">
        <v>3130</v>
      </c>
      <c r="D1068">
        <v>8090</v>
      </c>
    </row>
    <row r="1069" spans="1:4">
      <c r="A1069" t="s">
        <v>3132</v>
      </c>
      <c r="B1069" t="s">
        <v>3133</v>
      </c>
      <c r="C1069" t="s">
        <v>3132</v>
      </c>
      <c r="D1069">
        <v>2834</v>
      </c>
    </row>
    <row r="1070" spans="1:4">
      <c r="A1070" t="s">
        <v>3134</v>
      </c>
      <c r="B1070" t="s">
        <v>3135</v>
      </c>
      <c r="C1070" t="s">
        <v>3134</v>
      </c>
      <c r="D1070">
        <v>7372</v>
      </c>
    </row>
    <row r="1071" spans="1:4">
      <c r="A1071" t="s">
        <v>3136</v>
      </c>
      <c r="B1071" t="s">
        <v>3137</v>
      </c>
      <c r="C1071" t="s">
        <v>3136</v>
      </c>
      <c r="D1071">
        <v>6022</v>
      </c>
    </row>
    <row r="1072" spans="1:4">
      <c r="A1072" t="s">
        <v>3138</v>
      </c>
      <c r="B1072" t="s">
        <v>3139</v>
      </c>
      <c r="C1072" t="s">
        <v>3138</v>
      </c>
      <c r="D1072">
        <v>7374</v>
      </c>
    </row>
    <row r="1073" spans="1:4">
      <c r="A1073" t="s">
        <v>3140</v>
      </c>
      <c r="B1073" t="s">
        <v>3141</v>
      </c>
      <c r="C1073" t="s">
        <v>3140</v>
      </c>
      <c r="D1073">
        <v>1389</v>
      </c>
    </row>
    <row r="1074" spans="1:4">
      <c r="A1074" t="s">
        <v>3142</v>
      </c>
      <c r="B1074" t="s">
        <v>3143</v>
      </c>
      <c r="C1074" t="s">
        <v>3142</v>
      </c>
      <c r="D1074">
        <v>7373</v>
      </c>
    </row>
    <row r="1075" spans="1:4">
      <c r="A1075" t="s">
        <v>3144</v>
      </c>
      <c r="B1075" t="s">
        <v>3145</v>
      </c>
      <c r="C1075" t="s">
        <v>3144</v>
      </c>
      <c r="D1075">
        <v>2891</v>
      </c>
    </row>
    <row r="1076" spans="1:4">
      <c r="A1076" t="s">
        <v>3146</v>
      </c>
      <c r="B1076" t="s">
        <v>3147</v>
      </c>
      <c r="C1076" t="s">
        <v>3146</v>
      </c>
      <c r="D1076">
        <v>4011</v>
      </c>
    </row>
    <row r="1077" spans="1:4">
      <c r="A1077" t="s">
        <v>3148</v>
      </c>
      <c r="B1077" t="s">
        <v>3149</v>
      </c>
      <c r="C1077" t="s">
        <v>3148</v>
      </c>
      <c r="D1077">
        <v>6798</v>
      </c>
    </row>
    <row r="1078" spans="1:4">
      <c r="A1078" t="s">
        <v>3150</v>
      </c>
      <c r="B1078" t="s">
        <v>3151</v>
      </c>
      <c r="C1078" t="s">
        <v>3150</v>
      </c>
      <c r="D1078">
        <v>3672</v>
      </c>
    </row>
    <row r="1079" spans="1:4">
      <c r="A1079" t="s">
        <v>3152</v>
      </c>
      <c r="B1079" t="s">
        <v>3153</v>
      </c>
      <c r="C1079" t="s">
        <v>3152</v>
      </c>
      <c r="D1079">
        <v>6798</v>
      </c>
    </row>
    <row r="1080" spans="1:4">
      <c r="A1080" t="s">
        <v>3154</v>
      </c>
      <c r="B1080" t="s">
        <v>3155</v>
      </c>
      <c r="C1080" t="s">
        <v>3154</v>
      </c>
      <c r="D1080">
        <v>2834</v>
      </c>
    </row>
    <row r="1081" spans="1:4">
      <c r="A1081" t="s">
        <v>3156</v>
      </c>
      <c r="B1081" t="s">
        <v>3157</v>
      </c>
      <c r="C1081" t="s">
        <v>3156</v>
      </c>
      <c r="D1081">
        <v>3826</v>
      </c>
    </row>
    <row r="1082" spans="1:4">
      <c r="A1082" t="s">
        <v>3158</v>
      </c>
      <c r="B1082" t="s">
        <v>3159</v>
      </c>
      <c r="C1082" t="s">
        <v>3158</v>
      </c>
      <c r="D1082">
        <v>6021</v>
      </c>
    </row>
    <row r="1083" spans="1:4">
      <c r="A1083" t="s">
        <v>3160</v>
      </c>
      <c r="B1083" t="s">
        <v>3161</v>
      </c>
      <c r="C1083" t="s">
        <v>3160</v>
      </c>
      <c r="D1083">
        <v>6036</v>
      </c>
    </row>
    <row r="1084" spans="1:4">
      <c r="A1084" t="s">
        <v>3162</v>
      </c>
      <c r="B1084" t="s">
        <v>3163</v>
      </c>
      <c r="C1084" t="s">
        <v>3162</v>
      </c>
      <c r="D1084">
        <v>2211</v>
      </c>
    </row>
    <row r="1085" spans="1:4">
      <c r="A1085" t="s">
        <v>3164</v>
      </c>
      <c r="B1085" t="s">
        <v>3165</v>
      </c>
      <c r="C1085" t="s">
        <v>3164</v>
      </c>
      <c r="D1085">
        <v>2834</v>
      </c>
    </row>
    <row r="1086" spans="1:4">
      <c r="A1086" t="s">
        <v>3166</v>
      </c>
      <c r="B1086" t="s">
        <v>3167</v>
      </c>
      <c r="C1086" t="s">
        <v>3166</v>
      </c>
      <c r="D1086">
        <v>3510</v>
      </c>
    </row>
    <row r="1087" spans="1:4">
      <c r="A1087" t="s">
        <v>3168</v>
      </c>
      <c r="B1087" t="s">
        <v>3169</v>
      </c>
      <c r="C1087" t="s">
        <v>3168</v>
      </c>
      <c r="D1087">
        <v>4832</v>
      </c>
    </row>
    <row r="1088" spans="1:4">
      <c r="A1088" t="s">
        <v>3170</v>
      </c>
      <c r="B1088" t="s">
        <v>3171</v>
      </c>
      <c r="C1088" t="s">
        <v>3170</v>
      </c>
      <c r="D1088">
        <v>2834</v>
      </c>
    </row>
    <row r="1089" spans="1:4">
      <c r="A1089" t="s">
        <v>3172</v>
      </c>
      <c r="B1089" t="s">
        <v>3173</v>
      </c>
      <c r="C1089" t="s">
        <v>3172</v>
      </c>
      <c r="D1089">
        <v>7812</v>
      </c>
    </row>
    <row r="1090" spans="1:4">
      <c r="A1090" t="s">
        <v>3174</v>
      </c>
      <c r="B1090" t="s">
        <v>3175</v>
      </c>
      <c r="C1090" t="s">
        <v>3174</v>
      </c>
      <c r="D1090">
        <v>2836</v>
      </c>
    </row>
    <row r="1091" spans="1:4">
      <c r="A1091" t="s">
        <v>3176</v>
      </c>
      <c r="B1091" t="s">
        <v>3177</v>
      </c>
      <c r="C1091" t="s">
        <v>3176</v>
      </c>
      <c r="D1091">
        <v>6199</v>
      </c>
    </row>
    <row r="1092" spans="1:4">
      <c r="A1092" t="s">
        <v>3178</v>
      </c>
      <c r="B1092" t="s">
        <v>3179</v>
      </c>
      <c r="C1092" t="s">
        <v>3178</v>
      </c>
      <c r="D1092">
        <v>3590</v>
      </c>
    </row>
    <row r="1093" spans="1:4">
      <c r="A1093" t="s">
        <v>3180</v>
      </c>
      <c r="B1093" t="s">
        <v>3181</v>
      </c>
      <c r="C1093" t="s">
        <v>3180</v>
      </c>
      <c r="D1093">
        <v>6500</v>
      </c>
    </row>
    <row r="1094" spans="1:4">
      <c r="A1094" t="s">
        <v>3182</v>
      </c>
      <c r="B1094" t="s">
        <v>3183</v>
      </c>
      <c r="C1094" t="s">
        <v>3182</v>
      </c>
      <c r="D1094">
        <v>7359</v>
      </c>
    </row>
    <row r="1095" spans="1:4">
      <c r="A1095" t="s">
        <v>3184</v>
      </c>
      <c r="B1095" t="s">
        <v>3185</v>
      </c>
      <c r="C1095" t="s">
        <v>3184</v>
      </c>
      <c r="D1095">
        <v>6022</v>
      </c>
    </row>
    <row r="1096" spans="1:4">
      <c r="A1096" t="s">
        <v>3186</v>
      </c>
      <c r="B1096" t="s">
        <v>3187</v>
      </c>
      <c r="C1096" t="s">
        <v>3186</v>
      </c>
      <c r="D1096">
        <v>3845</v>
      </c>
    </row>
    <row r="1097" spans="1:4">
      <c r="A1097" t="s">
        <v>3188</v>
      </c>
      <c r="B1097" t="s">
        <v>3189</v>
      </c>
      <c r="C1097" t="s">
        <v>3188</v>
      </c>
      <c r="D1097">
        <v>6022</v>
      </c>
    </row>
    <row r="1098" spans="1:4">
      <c r="A1098" t="s">
        <v>3190</v>
      </c>
      <c r="B1098" t="s">
        <v>3191</v>
      </c>
      <c r="C1098" t="s">
        <v>3190</v>
      </c>
      <c r="D1098">
        <v>3559</v>
      </c>
    </row>
    <row r="1099" spans="1:4">
      <c r="A1099" t="s">
        <v>3192</v>
      </c>
      <c r="B1099" t="s">
        <v>3193</v>
      </c>
      <c r="C1099" t="s">
        <v>3192</v>
      </c>
      <c r="D1099">
        <v>7372</v>
      </c>
    </row>
    <row r="1100" spans="1:4">
      <c r="A1100" t="s">
        <v>3194</v>
      </c>
      <c r="B1100" t="s">
        <v>3195</v>
      </c>
      <c r="C1100" t="s">
        <v>3194</v>
      </c>
      <c r="D1100">
        <v>2911</v>
      </c>
    </row>
    <row r="1101" spans="1:4">
      <c r="A1101" t="s">
        <v>3196</v>
      </c>
      <c r="B1101" t="s">
        <v>3197</v>
      </c>
      <c r="C1101" t="s">
        <v>3196</v>
      </c>
      <c r="D1101">
        <v>2870</v>
      </c>
    </row>
    <row r="1102" spans="1:4">
      <c r="A1102" t="s">
        <v>3198</v>
      </c>
      <c r="B1102" t="s">
        <v>3199</v>
      </c>
      <c r="C1102" t="s">
        <v>3198</v>
      </c>
      <c r="D1102">
        <v>3841</v>
      </c>
    </row>
    <row r="1103" spans="1:4">
      <c r="A1103" t="s">
        <v>3200</v>
      </c>
      <c r="B1103" t="s">
        <v>3201</v>
      </c>
      <c r="C1103" t="s">
        <v>3200</v>
      </c>
      <c r="D1103">
        <v>5912</v>
      </c>
    </row>
    <row r="1104" spans="1:4">
      <c r="A1104" t="s">
        <v>3202</v>
      </c>
      <c r="B1104" t="s">
        <v>3203</v>
      </c>
      <c r="C1104" t="s">
        <v>3202</v>
      </c>
      <c r="D1104">
        <v>2833</v>
      </c>
    </row>
    <row r="1105" spans="1:4">
      <c r="A1105" t="s">
        <v>3204</v>
      </c>
      <c r="B1105" t="s">
        <v>3205</v>
      </c>
      <c r="C1105" t="s">
        <v>3204</v>
      </c>
      <c r="D1105">
        <v>7372</v>
      </c>
    </row>
    <row r="1106" spans="1:4">
      <c r="A1106" t="s">
        <v>3206</v>
      </c>
      <c r="B1106" t="s">
        <v>3207</v>
      </c>
      <c r="C1106" t="s">
        <v>3206</v>
      </c>
      <c r="D1106">
        <v>3827</v>
      </c>
    </row>
    <row r="1107" spans="1:4">
      <c r="A1107" t="s">
        <v>3208</v>
      </c>
      <c r="B1107" t="s">
        <v>3209</v>
      </c>
      <c r="C1107" t="s">
        <v>3208</v>
      </c>
      <c r="D1107">
        <v>2834</v>
      </c>
    </row>
    <row r="1108" spans="1:4">
      <c r="A1108" t="s">
        <v>3210</v>
      </c>
      <c r="B1108" t="s">
        <v>3211</v>
      </c>
      <c r="C1108" t="s">
        <v>3210</v>
      </c>
      <c r="D1108">
        <v>2860</v>
      </c>
    </row>
    <row r="1109" spans="1:4">
      <c r="A1109" t="s">
        <v>3212</v>
      </c>
      <c r="B1109" t="s">
        <v>3213</v>
      </c>
      <c r="C1109" t="s">
        <v>3212</v>
      </c>
      <c r="D1109">
        <v>7389</v>
      </c>
    </row>
    <row r="1110" spans="1:4">
      <c r="A1110" t="s">
        <v>3214</v>
      </c>
      <c r="B1110" t="s">
        <v>3215</v>
      </c>
      <c r="C1110" t="s">
        <v>3214</v>
      </c>
      <c r="D1110">
        <v>7372</v>
      </c>
    </row>
    <row r="1111" spans="1:4">
      <c r="A1111" t="s">
        <v>3216</v>
      </c>
      <c r="B1111" t="s">
        <v>3217</v>
      </c>
      <c r="C1111" t="s">
        <v>3216</v>
      </c>
      <c r="D1111">
        <v>3826</v>
      </c>
    </row>
    <row r="1112" spans="1:4">
      <c r="A1112" t="s">
        <v>3218</v>
      </c>
      <c r="B1112" t="s">
        <v>3219</v>
      </c>
      <c r="C1112" t="s">
        <v>3218</v>
      </c>
      <c r="D1112">
        <v>2834</v>
      </c>
    </row>
    <row r="1113" spans="1:4">
      <c r="A1113" t="s">
        <v>3220</v>
      </c>
      <c r="B1113" t="s">
        <v>3221</v>
      </c>
      <c r="C1113" t="s">
        <v>3220</v>
      </c>
      <c r="D1113">
        <v>2834</v>
      </c>
    </row>
    <row r="1114" spans="1:4">
      <c r="A1114" t="s">
        <v>3222</v>
      </c>
      <c r="B1114" t="s">
        <v>3223</v>
      </c>
      <c r="C1114" t="s">
        <v>3222</v>
      </c>
      <c r="D1114">
        <v>3841</v>
      </c>
    </row>
    <row r="1115" spans="1:4">
      <c r="A1115" t="s">
        <v>3224</v>
      </c>
      <c r="B1115" t="s">
        <v>3225</v>
      </c>
      <c r="C1115" t="s">
        <v>3224</v>
      </c>
      <c r="D1115">
        <v>7370</v>
      </c>
    </row>
    <row r="1116" spans="1:4">
      <c r="A1116" t="s">
        <v>3226</v>
      </c>
      <c r="B1116" t="s">
        <v>3227</v>
      </c>
      <c r="C1116" t="s">
        <v>3226</v>
      </c>
      <c r="D1116">
        <v>7370</v>
      </c>
    </row>
    <row r="1117" spans="1:4">
      <c r="A1117" t="s">
        <v>3228</v>
      </c>
      <c r="B1117" t="s">
        <v>3229</v>
      </c>
      <c r="C1117" t="s">
        <v>3228</v>
      </c>
      <c r="D1117">
        <v>2711</v>
      </c>
    </row>
    <row r="1118" spans="1:4">
      <c r="A1118" t="s">
        <v>3230</v>
      </c>
      <c r="B1118" t="s">
        <v>3231</v>
      </c>
      <c r="C1118" t="s">
        <v>3230</v>
      </c>
      <c r="D1118">
        <v>3990</v>
      </c>
    </row>
    <row r="1119" spans="1:4">
      <c r="A1119" t="s">
        <v>3232</v>
      </c>
      <c r="B1119" t="s">
        <v>3233</v>
      </c>
      <c r="C1119" t="s">
        <v>3232</v>
      </c>
      <c r="D1119">
        <v>2711</v>
      </c>
    </row>
    <row r="1120" spans="1:4">
      <c r="A1120" t="s">
        <v>3234</v>
      </c>
      <c r="B1120" t="s">
        <v>3235</v>
      </c>
      <c r="C1120" t="s">
        <v>3234</v>
      </c>
      <c r="D1120">
        <v>3714</v>
      </c>
    </row>
    <row r="1121" spans="1:4">
      <c r="A1121" t="s">
        <v>3236</v>
      </c>
      <c r="B1121" t="s">
        <v>3237</v>
      </c>
      <c r="C1121" t="s">
        <v>3236</v>
      </c>
      <c r="D1121">
        <v>3823</v>
      </c>
    </row>
    <row r="1122" spans="1:4">
      <c r="A1122" t="s">
        <v>3238</v>
      </c>
      <c r="B1122" t="s">
        <v>3239</v>
      </c>
      <c r="C1122" t="s">
        <v>3238</v>
      </c>
      <c r="D1122">
        <v>4412</v>
      </c>
    </row>
    <row r="1123" spans="1:4">
      <c r="A1123" t="s">
        <v>3240</v>
      </c>
      <c r="B1123" t="s">
        <v>3241</v>
      </c>
      <c r="C1123" t="s">
        <v>3240</v>
      </c>
      <c r="D1123">
        <v>2821</v>
      </c>
    </row>
    <row r="1124" spans="1:4">
      <c r="A1124" t="s">
        <v>3242</v>
      </c>
      <c r="B1124" t="s">
        <v>3243</v>
      </c>
      <c r="C1124" t="s">
        <v>3242</v>
      </c>
      <c r="D1124">
        <v>3674</v>
      </c>
    </row>
    <row r="1125" spans="1:4">
      <c r="A1125" t="s">
        <v>3244</v>
      </c>
      <c r="B1125" t="s">
        <v>3245</v>
      </c>
      <c r="C1125" t="s">
        <v>3244</v>
      </c>
      <c r="D1125">
        <v>5812</v>
      </c>
    </row>
    <row r="1126" spans="1:4">
      <c r="A1126" t="s">
        <v>3246</v>
      </c>
      <c r="B1126" t="s">
        <v>3247</v>
      </c>
      <c r="C1126" t="s">
        <v>3246</v>
      </c>
      <c r="D1126">
        <v>3841</v>
      </c>
    </row>
    <row r="1127" spans="1:4">
      <c r="A1127" t="s">
        <v>3248</v>
      </c>
      <c r="B1127" t="s">
        <v>3249</v>
      </c>
      <c r="C1127" t="s">
        <v>3248</v>
      </c>
      <c r="D1127">
        <v>2070</v>
      </c>
    </row>
    <row r="1128" spans="1:4">
      <c r="A1128" t="s">
        <v>3250</v>
      </c>
      <c r="B1128" t="s">
        <v>3251</v>
      </c>
      <c r="C1128" t="s">
        <v>3250</v>
      </c>
      <c r="D1128">
        <v>4700</v>
      </c>
    </row>
    <row r="1129" spans="1:4">
      <c r="A1129" t="s">
        <v>3252</v>
      </c>
      <c r="B1129" t="s">
        <v>3253</v>
      </c>
      <c r="C1129" t="s">
        <v>3252</v>
      </c>
      <c r="D1129">
        <v>3825</v>
      </c>
    </row>
    <row r="1130" spans="1:4">
      <c r="A1130" t="s">
        <v>3254</v>
      </c>
      <c r="B1130" t="s">
        <v>3255</v>
      </c>
      <c r="C1130" t="s">
        <v>3254</v>
      </c>
      <c r="D1130">
        <v>7372</v>
      </c>
    </row>
    <row r="1131" spans="1:4">
      <c r="A1131" t="s">
        <v>3256</v>
      </c>
      <c r="B1131" t="s">
        <v>3257</v>
      </c>
      <c r="C1131" t="s">
        <v>3256</v>
      </c>
      <c r="D1131">
        <v>5812</v>
      </c>
    </row>
    <row r="1132" spans="1:4">
      <c r="A1132" t="s">
        <v>3258</v>
      </c>
      <c r="B1132" t="s">
        <v>3259</v>
      </c>
      <c r="C1132" t="s">
        <v>3258</v>
      </c>
      <c r="D1132">
        <v>8090</v>
      </c>
    </row>
    <row r="1133" spans="1:4">
      <c r="A1133" t="s">
        <v>3260</v>
      </c>
      <c r="B1133" t="s">
        <v>3261</v>
      </c>
      <c r="C1133" t="s">
        <v>3260</v>
      </c>
      <c r="D1133">
        <v>1382</v>
      </c>
    </row>
    <row r="1134" spans="1:4">
      <c r="A1134" t="s">
        <v>3262</v>
      </c>
      <c r="B1134" t="s">
        <v>3263</v>
      </c>
      <c r="C1134" t="s">
        <v>3262</v>
      </c>
      <c r="D1134">
        <v>2836</v>
      </c>
    </row>
    <row r="1135" spans="1:4">
      <c r="A1135" t="s">
        <v>3264</v>
      </c>
      <c r="B1135" t="s">
        <v>3265</v>
      </c>
      <c r="C1135" t="s">
        <v>3264</v>
      </c>
      <c r="D1135">
        <v>4922</v>
      </c>
    </row>
    <row r="1136" spans="1:4">
      <c r="A1136" t="s">
        <v>3266</v>
      </c>
      <c r="B1136" t="s">
        <v>3267</v>
      </c>
      <c r="C1136" t="s">
        <v>3266</v>
      </c>
      <c r="D1136">
        <v>2834</v>
      </c>
    </row>
    <row r="1137" spans="1:4">
      <c r="A1137" t="s">
        <v>3268</v>
      </c>
      <c r="B1137" t="s">
        <v>3269</v>
      </c>
      <c r="C1137" t="s">
        <v>3268</v>
      </c>
      <c r="D1137">
        <v>7370</v>
      </c>
    </row>
    <row r="1138" spans="1:4">
      <c r="A1138" t="s">
        <v>3270</v>
      </c>
      <c r="B1138" t="s">
        <v>3271</v>
      </c>
      <c r="C1138" t="s">
        <v>3270</v>
      </c>
      <c r="D1138">
        <v>3021</v>
      </c>
    </row>
    <row r="1139" spans="1:4">
      <c r="A1139" t="s">
        <v>3272</v>
      </c>
      <c r="B1139" t="s">
        <v>3273</v>
      </c>
      <c r="C1139" t="s">
        <v>3272</v>
      </c>
      <c r="D1139">
        <v>3523</v>
      </c>
    </row>
    <row r="1140" spans="1:4">
      <c r="A1140" t="s">
        <v>3274</v>
      </c>
      <c r="B1140" t="s">
        <v>3275</v>
      </c>
      <c r="C1140" t="s">
        <v>3274</v>
      </c>
      <c r="D1140">
        <v>7372</v>
      </c>
    </row>
    <row r="1141" spans="1:4">
      <c r="A1141" t="s">
        <v>3276</v>
      </c>
      <c r="B1141" t="s">
        <v>3277</v>
      </c>
      <c r="C1141" t="s">
        <v>3276</v>
      </c>
      <c r="D1141">
        <v>4610</v>
      </c>
    </row>
    <row r="1142" spans="1:4">
      <c r="A1142" t="s">
        <v>3278</v>
      </c>
      <c r="B1142" t="s">
        <v>3279</v>
      </c>
      <c r="C1142" t="s">
        <v>3278</v>
      </c>
      <c r="D1142">
        <v>2911</v>
      </c>
    </row>
    <row r="1143" spans="1:4">
      <c r="A1143" t="s">
        <v>3280</v>
      </c>
      <c r="B1143" t="s">
        <v>3281</v>
      </c>
      <c r="C1143" t="s">
        <v>3280</v>
      </c>
      <c r="D1143">
        <v>3571</v>
      </c>
    </row>
    <row r="1144" spans="1:4">
      <c r="A1144" t="s">
        <v>3282</v>
      </c>
      <c r="B1144" t="s">
        <v>3283</v>
      </c>
      <c r="C1144" t="s">
        <v>3282</v>
      </c>
      <c r="D1144">
        <v>4512</v>
      </c>
    </row>
    <row r="1145" spans="1:4">
      <c r="A1145" t="s">
        <v>3284</v>
      </c>
      <c r="B1145" t="s">
        <v>3285</v>
      </c>
      <c r="C1145" t="s">
        <v>3284</v>
      </c>
      <c r="D1145">
        <v>5130</v>
      </c>
    </row>
    <row r="1146" spans="1:4">
      <c r="A1146" t="s">
        <v>3286</v>
      </c>
      <c r="B1146" t="s">
        <v>3287</v>
      </c>
      <c r="C1146" t="s">
        <v>3286</v>
      </c>
      <c r="D1146">
        <v>2780</v>
      </c>
    </row>
    <row r="1147" spans="1:4">
      <c r="A1147" t="s">
        <v>3288</v>
      </c>
      <c r="B1147" t="s">
        <v>3289</v>
      </c>
      <c r="C1147" t="s">
        <v>3288</v>
      </c>
      <c r="D1147">
        <v>2836</v>
      </c>
    </row>
    <row r="1148" spans="1:4">
      <c r="A1148" t="s">
        <v>3290</v>
      </c>
      <c r="B1148" t="s">
        <v>3291</v>
      </c>
      <c r="C1148" t="s">
        <v>3290</v>
      </c>
      <c r="D1148">
        <v>5812</v>
      </c>
    </row>
    <row r="1149" spans="1:4">
      <c r="A1149" t="s">
        <v>3292</v>
      </c>
      <c r="B1149" t="s">
        <v>3293</v>
      </c>
      <c r="C1149" t="s">
        <v>3292</v>
      </c>
      <c r="D1149">
        <v>3843</v>
      </c>
    </row>
    <row r="1150" spans="1:4">
      <c r="A1150" t="s">
        <v>3294</v>
      </c>
      <c r="B1150" t="s">
        <v>3295</v>
      </c>
      <c r="C1150" t="s">
        <v>3294</v>
      </c>
      <c r="D1150">
        <v>8071</v>
      </c>
    </row>
    <row r="1151" spans="1:4">
      <c r="A1151" t="s">
        <v>3296</v>
      </c>
      <c r="B1151" t="s">
        <v>3297</v>
      </c>
      <c r="C1151" t="s">
        <v>3296</v>
      </c>
      <c r="D1151">
        <v>7372</v>
      </c>
    </row>
    <row r="1152" spans="1:4">
      <c r="A1152" t="s">
        <v>3298</v>
      </c>
      <c r="B1152" t="s">
        <v>3299</v>
      </c>
      <c r="C1152" t="s">
        <v>3298</v>
      </c>
      <c r="D1152">
        <v>5661</v>
      </c>
    </row>
    <row r="1153" spans="1:4">
      <c r="A1153" t="s">
        <v>3300</v>
      </c>
      <c r="B1153" t="s">
        <v>3301</v>
      </c>
      <c r="C1153" t="s">
        <v>3300</v>
      </c>
      <c r="D1153">
        <v>3559</v>
      </c>
    </row>
    <row r="1154" spans="1:4">
      <c r="A1154" t="s">
        <v>3302</v>
      </c>
      <c r="B1154" t="s">
        <v>3303</v>
      </c>
      <c r="C1154" t="s">
        <v>3302</v>
      </c>
      <c r="D1154">
        <v>4700</v>
      </c>
    </row>
    <row r="1155" spans="1:4">
      <c r="A1155" t="s">
        <v>3304</v>
      </c>
      <c r="B1155" t="s">
        <v>3305</v>
      </c>
      <c r="C1155" t="s">
        <v>3304</v>
      </c>
      <c r="D1155">
        <v>5651</v>
      </c>
    </row>
    <row r="1156" spans="1:4">
      <c r="A1156" t="s">
        <v>3306</v>
      </c>
      <c r="B1156" t="s">
        <v>3307</v>
      </c>
      <c r="C1156" t="s">
        <v>3306</v>
      </c>
      <c r="D1156">
        <v>3089</v>
      </c>
    </row>
    <row r="1157" spans="1:4">
      <c r="A1157" t="s">
        <v>3308</v>
      </c>
      <c r="B1157" t="s">
        <v>3309</v>
      </c>
      <c r="C1157" t="s">
        <v>3308</v>
      </c>
      <c r="D1157">
        <v>1311</v>
      </c>
    </row>
    <row r="1158" spans="1:4">
      <c r="A1158" t="s">
        <v>3310</v>
      </c>
      <c r="B1158" t="s">
        <v>3311</v>
      </c>
      <c r="C1158" t="s">
        <v>3310</v>
      </c>
      <c r="D1158">
        <v>3841</v>
      </c>
    </row>
    <row r="1159" spans="1:4">
      <c r="A1159" t="s">
        <v>3312</v>
      </c>
      <c r="B1159" t="s">
        <v>3313</v>
      </c>
      <c r="C1159" t="s">
        <v>3312</v>
      </c>
      <c r="D1159">
        <v>7389</v>
      </c>
    </row>
    <row r="1160" spans="1:4">
      <c r="A1160" t="s">
        <v>3314</v>
      </c>
      <c r="B1160" t="s">
        <v>3315</v>
      </c>
      <c r="C1160" t="s">
        <v>3314</v>
      </c>
      <c r="D1160">
        <v>6282</v>
      </c>
    </row>
    <row r="1161" spans="1:4">
      <c r="A1161" t="s">
        <v>3316</v>
      </c>
      <c r="B1161" t="s">
        <v>3317</v>
      </c>
      <c r="C1161" t="s">
        <v>3316</v>
      </c>
      <c r="D1161">
        <v>1311</v>
      </c>
    </row>
    <row r="1162" spans="1:4">
      <c r="A1162" t="s">
        <v>3318</v>
      </c>
      <c r="B1162" t="s">
        <v>3319</v>
      </c>
      <c r="C1162" t="s">
        <v>3318</v>
      </c>
      <c r="D1162">
        <v>6798</v>
      </c>
    </row>
    <row r="1163" spans="1:4">
      <c r="A1163" t="s">
        <v>3320</v>
      </c>
      <c r="B1163" t="s">
        <v>3321</v>
      </c>
      <c r="C1163" t="s">
        <v>3320</v>
      </c>
      <c r="D1163">
        <v>4412</v>
      </c>
    </row>
    <row r="1164" spans="1:4">
      <c r="A1164" t="s">
        <v>3322</v>
      </c>
      <c r="B1164" t="s">
        <v>3323</v>
      </c>
      <c r="C1164" t="s">
        <v>3322</v>
      </c>
      <c r="D1164">
        <v>2834</v>
      </c>
    </row>
    <row r="1165" spans="1:4">
      <c r="A1165" t="s">
        <v>3324</v>
      </c>
      <c r="B1165" t="s">
        <v>3325</v>
      </c>
      <c r="C1165" t="s">
        <v>3324</v>
      </c>
      <c r="D1165">
        <v>5940</v>
      </c>
    </row>
    <row r="1166" spans="1:4">
      <c r="A1166" t="s">
        <v>3326</v>
      </c>
      <c r="B1166" t="s">
        <v>3327</v>
      </c>
      <c r="C1166" t="s">
        <v>3326</v>
      </c>
      <c r="D1166">
        <v>3578</v>
      </c>
    </row>
    <row r="1167" spans="1:4">
      <c r="A1167" t="s">
        <v>3328</v>
      </c>
      <c r="B1167" t="s">
        <v>3329</v>
      </c>
      <c r="C1167" t="s">
        <v>3328</v>
      </c>
      <c r="D1167">
        <v>3576</v>
      </c>
    </row>
    <row r="1168" spans="1:4">
      <c r="A1168" t="s">
        <v>3330</v>
      </c>
      <c r="B1168" t="s">
        <v>3331</v>
      </c>
      <c r="C1168" t="s">
        <v>3330</v>
      </c>
      <c r="D1168">
        <v>7373</v>
      </c>
    </row>
    <row r="1169" spans="1:4">
      <c r="A1169" t="s">
        <v>3332</v>
      </c>
      <c r="B1169" t="s">
        <v>3333</v>
      </c>
      <c r="C1169" t="s">
        <v>3332</v>
      </c>
      <c r="D1169">
        <v>3663</v>
      </c>
    </row>
    <row r="1170" spans="1:4">
      <c r="A1170" t="s">
        <v>3334</v>
      </c>
      <c r="B1170" t="s">
        <v>3335</v>
      </c>
      <c r="C1170" t="s">
        <v>3334</v>
      </c>
      <c r="D1170">
        <v>7389</v>
      </c>
    </row>
    <row r="1171" spans="1:4">
      <c r="A1171" t="s">
        <v>3336</v>
      </c>
      <c r="B1171" t="s">
        <v>3337</v>
      </c>
      <c r="C1171" t="s">
        <v>3336</v>
      </c>
      <c r="D1171">
        <v>6798</v>
      </c>
    </row>
    <row r="1172" spans="1:4">
      <c r="A1172" t="s">
        <v>3338</v>
      </c>
      <c r="B1172" t="s">
        <v>3339</v>
      </c>
      <c r="C1172" t="s">
        <v>3338</v>
      </c>
      <c r="D1172">
        <v>6794</v>
      </c>
    </row>
    <row r="1173" spans="1:4">
      <c r="A1173" t="s">
        <v>3340</v>
      </c>
      <c r="B1173" t="s">
        <v>3341</v>
      </c>
      <c r="C1173" t="s">
        <v>3340</v>
      </c>
      <c r="D1173">
        <v>6798</v>
      </c>
    </row>
    <row r="1174" spans="1:4">
      <c r="A1174" t="s">
        <v>3342</v>
      </c>
      <c r="B1174" t="s">
        <v>3343</v>
      </c>
      <c r="C1174" t="s">
        <v>3342</v>
      </c>
      <c r="D1174">
        <v>7370</v>
      </c>
    </row>
    <row r="1175" spans="1:4">
      <c r="A1175" t="s">
        <v>3344</v>
      </c>
      <c r="B1175" t="s">
        <v>3345</v>
      </c>
      <c r="C1175" t="s">
        <v>3344</v>
      </c>
      <c r="D1175">
        <v>5311</v>
      </c>
    </row>
    <row r="1176" spans="1:4">
      <c r="A1176" t="s">
        <v>3346</v>
      </c>
      <c r="B1176" t="s">
        <v>3347</v>
      </c>
      <c r="C1176" t="s">
        <v>3346</v>
      </c>
      <c r="D1176">
        <v>6021</v>
      </c>
    </row>
    <row r="1177" spans="1:4">
      <c r="A1177" t="s">
        <v>3348</v>
      </c>
      <c r="B1177" t="s">
        <v>3349</v>
      </c>
      <c r="C1177" t="s">
        <v>3348</v>
      </c>
      <c r="D1177">
        <v>5812</v>
      </c>
    </row>
    <row r="1178" spans="1:4">
      <c r="A1178" t="s">
        <v>3350</v>
      </c>
      <c r="B1178" t="s">
        <v>3351</v>
      </c>
      <c r="C1178" t="s">
        <v>3350</v>
      </c>
      <c r="D1178">
        <v>3674</v>
      </c>
    </row>
    <row r="1179" spans="1:4">
      <c r="A1179" t="s">
        <v>3352</v>
      </c>
      <c r="B1179" t="s">
        <v>3353</v>
      </c>
      <c r="C1179" t="s">
        <v>3352</v>
      </c>
      <c r="D1179">
        <v>7372</v>
      </c>
    </row>
    <row r="1180" spans="1:4">
      <c r="A1180" t="s">
        <v>3354</v>
      </c>
      <c r="B1180" t="s">
        <v>3355</v>
      </c>
      <c r="C1180" t="s">
        <v>3354</v>
      </c>
      <c r="D1180">
        <v>6141</v>
      </c>
    </row>
    <row r="1181" spans="1:4">
      <c r="A1181" t="s">
        <v>3356</v>
      </c>
      <c r="B1181" t="s">
        <v>3357</v>
      </c>
      <c r="C1181" t="s">
        <v>3356</v>
      </c>
      <c r="D1181">
        <v>4841</v>
      </c>
    </row>
    <row r="1182" spans="1:4">
      <c r="A1182" t="s">
        <v>3358</v>
      </c>
      <c r="B1182" t="s">
        <v>3359</v>
      </c>
      <c r="C1182" t="s">
        <v>3358</v>
      </c>
      <c r="D1182">
        <v>2842</v>
      </c>
    </row>
    <row r="1183" spans="1:4">
      <c r="A1183" t="s">
        <v>3360</v>
      </c>
      <c r="B1183" t="s">
        <v>3361</v>
      </c>
      <c r="C1183" t="s">
        <v>3360</v>
      </c>
      <c r="D1183">
        <v>6798</v>
      </c>
    </row>
    <row r="1184" spans="1:4">
      <c r="A1184" t="s">
        <v>3362</v>
      </c>
      <c r="B1184" t="s">
        <v>3363</v>
      </c>
      <c r="C1184" t="s">
        <v>3362</v>
      </c>
      <c r="D1184">
        <v>2273</v>
      </c>
    </row>
    <row r="1185" spans="1:4">
      <c r="A1185" t="s">
        <v>3364</v>
      </c>
      <c r="B1185" t="s">
        <v>3365</v>
      </c>
      <c r="C1185" t="s">
        <v>3364</v>
      </c>
      <c r="D1185">
        <v>7363</v>
      </c>
    </row>
    <row r="1186" spans="1:4">
      <c r="A1186" t="s">
        <v>3366</v>
      </c>
      <c r="B1186" t="s">
        <v>3367</v>
      </c>
      <c r="C1186" t="s">
        <v>3366</v>
      </c>
      <c r="D1186">
        <v>3390</v>
      </c>
    </row>
    <row r="1187" spans="1:4">
      <c r="A1187" t="s">
        <v>3368</v>
      </c>
      <c r="B1187" t="s">
        <v>3369</v>
      </c>
      <c r="C1187" t="s">
        <v>3368</v>
      </c>
      <c r="D1187">
        <v>4100</v>
      </c>
    </row>
    <row r="1188" spans="1:4">
      <c r="A1188" t="s">
        <v>3370</v>
      </c>
      <c r="B1188" t="s">
        <v>3371</v>
      </c>
      <c r="C1188" t="s">
        <v>3370</v>
      </c>
      <c r="D1188">
        <v>7372</v>
      </c>
    </row>
    <row r="1189" spans="1:4">
      <c r="A1189" t="s">
        <v>3372</v>
      </c>
      <c r="B1189" t="s">
        <v>3373</v>
      </c>
      <c r="C1189" t="s">
        <v>3372</v>
      </c>
      <c r="D1189">
        <v>3990</v>
      </c>
    </row>
    <row r="1190" spans="1:4">
      <c r="A1190" t="s">
        <v>3374</v>
      </c>
      <c r="B1190" t="s">
        <v>3375</v>
      </c>
      <c r="C1190" t="s">
        <v>3374</v>
      </c>
      <c r="D1190">
        <v>6794</v>
      </c>
    </row>
    <row r="1191" spans="1:4">
      <c r="A1191" t="s">
        <v>3376</v>
      </c>
      <c r="B1191" t="s">
        <v>3377</v>
      </c>
      <c r="C1191" t="s">
        <v>3376</v>
      </c>
      <c r="D1191">
        <v>100</v>
      </c>
    </row>
    <row r="1192" spans="1:4">
      <c r="A1192" t="s">
        <v>3378</v>
      </c>
      <c r="B1192" t="s">
        <v>3379</v>
      </c>
      <c r="C1192" t="s">
        <v>3378</v>
      </c>
      <c r="D1192">
        <v>5331</v>
      </c>
    </row>
    <row r="1193" spans="1:4">
      <c r="A1193" t="s">
        <v>3380</v>
      </c>
      <c r="B1193" t="s">
        <v>80</v>
      </c>
      <c r="C1193" t="s">
        <v>3380</v>
      </c>
      <c r="D1193">
        <v>5331</v>
      </c>
    </row>
    <row r="1194" spans="1:4">
      <c r="A1194" t="s">
        <v>3381</v>
      </c>
      <c r="B1194" t="s">
        <v>3382</v>
      </c>
      <c r="C1194" t="s">
        <v>3381</v>
      </c>
      <c r="D1194">
        <v>7200</v>
      </c>
    </row>
    <row r="1195" spans="1:4">
      <c r="A1195" t="s">
        <v>3383</v>
      </c>
      <c r="B1195" t="s">
        <v>3384</v>
      </c>
      <c r="C1195" t="s">
        <v>3383</v>
      </c>
      <c r="D1195">
        <v>6361</v>
      </c>
    </row>
    <row r="1196" spans="1:4">
      <c r="A1196" t="s">
        <v>3385</v>
      </c>
      <c r="B1196" t="s">
        <v>3386</v>
      </c>
      <c r="C1196" t="s">
        <v>3385</v>
      </c>
      <c r="D1196">
        <v>4911</v>
      </c>
    </row>
    <row r="1197" spans="1:4">
      <c r="A1197" t="s">
        <v>3387</v>
      </c>
      <c r="B1197" t="s">
        <v>3388</v>
      </c>
      <c r="C1197" t="s">
        <v>3387</v>
      </c>
      <c r="D1197">
        <v>5140</v>
      </c>
    </row>
    <row r="1198" spans="1:4">
      <c r="A1198" t="s">
        <v>3389</v>
      </c>
      <c r="B1198" t="s">
        <v>3390</v>
      </c>
      <c r="C1198" t="s">
        <v>3389</v>
      </c>
      <c r="D1198">
        <v>7372</v>
      </c>
    </row>
    <row r="1199" spans="1:4">
      <c r="A1199" t="s">
        <v>3391</v>
      </c>
      <c r="B1199" t="s">
        <v>3392</v>
      </c>
      <c r="C1199" t="s">
        <v>3391</v>
      </c>
      <c r="D1199">
        <v>3564</v>
      </c>
    </row>
    <row r="1200" spans="1:4">
      <c r="A1200" t="s">
        <v>3393</v>
      </c>
      <c r="B1200" t="s">
        <v>3394</v>
      </c>
      <c r="C1200" t="s">
        <v>3393</v>
      </c>
      <c r="D1200">
        <v>6331</v>
      </c>
    </row>
    <row r="1201" spans="1:4">
      <c r="A1201" t="s">
        <v>3395</v>
      </c>
      <c r="B1201" t="s">
        <v>3396</v>
      </c>
      <c r="C1201" t="s">
        <v>3395</v>
      </c>
      <c r="D1201">
        <v>7380</v>
      </c>
    </row>
    <row r="1202" spans="1:4">
      <c r="A1202" t="s">
        <v>3397</v>
      </c>
      <c r="B1202" t="s">
        <v>3398</v>
      </c>
      <c r="C1202" t="s">
        <v>3397</v>
      </c>
      <c r="D1202">
        <v>7389</v>
      </c>
    </row>
    <row r="1203" spans="1:4">
      <c r="A1203" t="s">
        <v>3399</v>
      </c>
      <c r="B1203" t="s">
        <v>3400</v>
      </c>
      <c r="C1203" t="s">
        <v>3399</v>
      </c>
      <c r="D1203">
        <v>1311</v>
      </c>
    </row>
    <row r="1204" spans="1:4">
      <c r="A1204" t="s">
        <v>3401</v>
      </c>
      <c r="B1204" t="s">
        <v>3402</v>
      </c>
      <c r="C1204" t="s">
        <v>3401</v>
      </c>
      <c r="D1204">
        <v>4412</v>
      </c>
    </row>
    <row r="1205" spans="1:4">
      <c r="A1205" t="s">
        <v>3403</v>
      </c>
      <c r="B1205" t="s">
        <v>3404</v>
      </c>
      <c r="C1205" t="s">
        <v>3403</v>
      </c>
      <c r="D1205">
        <v>3714</v>
      </c>
    </row>
    <row r="1206" spans="1:4">
      <c r="A1206" t="s">
        <v>3405</v>
      </c>
      <c r="B1206" t="s">
        <v>3406</v>
      </c>
      <c r="C1206" t="s">
        <v>3405</v>
      </c>
      <c r="D1206">
        <v>7374</v>
      </c>
    </row>
    <row r="1207" spans="1:4">
      <c r="A1207" t="s">
        <v>3407</v>
      </c>
      <c r="B1207" t="s">
        <v>3408</v>
      </c>
      <c r="C1207" t="s">
        <v>3407</v>
      </c>
      <c r="D1207">
        <v>7370</v>
      </c>
    </row>
    <row r="1208" spans="1:4">
      <c r="A1208" t="s">
        <v>3409</v>
      </c>
      <c r="B1208" t="s">
        <v>3410</v>
      </c>
      <c r="C1208" t="s">
        <v>3409</v>
      </c>
      <c r="D1208">
        <v>3531</v>
      </c>
    </row>
    <row r="1209" spans="1:4">
      <c r="A1209" t="s">
        <v>3411</v>
      </c>
      <c r="B1209" t="s">
        <v>3412</v>
      </c>
      <c r="C1209" t="s">
        <v>3411</v>
      </c>
      <c r="D1209">
        <v>6531</v>
      </c>
    </row>
    <row r="1210" spans="1:4">
      <c r="A1210" t="s">
        <v>3413</v>
      </c>
      <c r="B1210" t="s">
        <v>3414</v>
      </c>
      <c r="C1210" t="s">
        <v>3413</v>
      </c>
      <c r="D1210">
        <v>6798</v>
      </c>
    </row>
    <row r="1211" spans="1:4">
      <c r="A1211" t="s">
        <v>3415</v>
      </c>
      <c r="B1211" t="s">
        <v>3416</v>
      </c>
      <c r="C1211" t="s">
        <v>3415</v>
      </c>
      <c r="D1211">
        <v>7370</v>
      </c>
    </row>
    <row r="1212" spans="1:4">
      <c r="A1212" t="s">
        <v>3417</v>
      </c>
      <c r="B1212" t="s">
        <v>3418</v>
      </c>
      <c r="C1212" t="s">
        <v>3417</v>
      </c>
      <c r="D1212">
        <v>3530</v>
      </c>
    </row>
    <row r="1213" spans="1:4">
      <c r="A1213" t="s">
        <v>3419</v>
      </c>
      <c r="B1213" t="s">
        <v>3420</v>
      </c>
      <c r="C1213" t="s">
        <v>3419</v>
      </c>
      <c r="D1213">
        <v>2821</v>
      </c>
    </row>
    <row r="1214" spans="1:4">
      <c r="A1214" t="s">
        <v>3421</v>
      </c>
      <c r="B1214" t="s">
        <v>3422</v>
      </c>
      <c r="C1214" t="s">
        <v>3421</v>
      </c>
      <c r="D1214">
        <v>7371</v>
      </c>
    </row>
    <row r="1215" spans="1:4">
      <c r="A1215" t="s">
        <v>3423</v>
      </c>
      <c r="B1215" t="s">
        <v>3424</v>
      </c>
      <c r="C1215" t="s">
        <v>3423</v>
      </c>
      <c r="D1215">
        <v>1531</v>
      </c>
    </row>
    <row r="1216" spans="1:4">
      <c r="A1216" t="s">
        <v>3425</v>
      </c>
      <c r="B1216" t="s">
        <v>3426</v>
      </c>
      <c r="C1216" t="s">
        <v>3425</v>
      </c>
      <c r="D1216">
        <v>3533</v>
      </c>
    </row>
    <row r="1217" spans="1:4">
      <c r="A1217" t="s">
        <v>3427</v>
      </c>
      <c r="B1217" t="s">
        <v>3428</v>
      </c>
      <c r="C1217" t="s">
        <v>3427</v>
      </c>
      <c r="D1217">
        <v>5810</v>
      </c>
    </row>
    <row r="1218" spans="1:4">
      <c r="A1218" t="s">
        <v>3429</v>
      </c>
      <c r="B1218" t="s">
        <v>3430</v>
      </c>
      <c r="C1218" t="s">
        <v>3429</v>
      </c>
      <c r="D1218">
        <v>7500</v>
      </c>
    </row>
    <row r="1219" spans="1:4">
      <c r="A1219" t="s">
        <v>3431</v>
      </c>
      <c r="B1219" t="s">
        <v>3432</v>
      </c>
      <c r="C1219" t="s">
        <v>3431</v>
      </c>
      <c r="D1219">
        <v>7372</v>
      </c>
    </row>
    <row r="1220" spans="1:4">
      <c r="A1220" t="s">
        <v>3433</v>
      </c>
      <c r="B1220" t="s">
        <v>3434</v>
      </c>
      <c r="C1220" t="s">
        <v>3433</v>
      </c>
      <c r="D1220">
        <v>2650</v>
      </c>
    </row>
    <row r="1221" spans="1:4">
      <c r="A1221" t="s">
        <v>3435</v>
      </c>
      <c r="B1221" t="s">
        <v>3436</v>
      </c>
      <c r="C1221" t="s">
        <v>3435</v>
      </c>
      <c r="D1221">
        <v>4922</v>
      </c>
    </row>
    <row r="1222" spans="1:4">
      <c r="A1222" t="s">
        <v>3437</v>
      </c>
      <c r="B1222" t="s">
        <v>3438</v>
      </c>
      <c r="C1222" t="s">
        <v>3437</v>
      </c>
      <c r="D1222">
        <v>4911</v>
      </c>
    </row>
    <row r="1223" spans="1:4">
      <c r="A1223" t="s">
        <v>3439</v>
      </c>
      <c r="B1223" t="s">
        <v>3440</v>
      </c>
      <c r="C1223" t="s">
        <v>3439</v>
      </c>
      <c r="D1223">
        <v>7372</v>
      </c>
    </row>
    <row r="1224" spans="1:4">
      <c r="A1224" t="s">
        <v>3441</v>
      </c>
      <c r="B1224" t="s">
        <v>3442</v>
      </c>
      <c r="C1224" t="s">
        <v>3441</v>
      </c>
      <c r="D1224">
        <v>2080</v>
      </c>
    </row>
    <row r="1225" spans="1:4">
      <c r="A1225" t="s">
        <v>3443</v>
      </c>
      <c r="B1225" t="s">
        <v>3444</v>
      </c>
      <c r="C1225" t="s">
        <v>3443</v>
      </c>
      <c r="D1225">
        <v>3728</v>
      </c>
    </row>
    <row r="1226" spans="1:4">
      <c r="A1226" t="s">
        <v>3445</v>
      </c>
      <c r="B1226" t="s">
        <v>3446</v>
      </c>
      <c r="C1226" t="s">
        <v>3445</v>
      </c>
      <c r="D1226">
        <v>4931</v>
      </c>
    </row>
    <row r="1227" spans="1:4">
      <c r="A1227" t="s">
        <v>3447</v>
      </c>
      <c r="B1227" t="s">
        <v>3448</v>
      </c>
      <c r="C1227" t="s">
        <v>3447</v>
      </c>
      <c r="D1227">
        <v>6798</v>
      </c>
    </row>
    <row r="1228" spans="1:4">
      <c r="A1228" t="s">
        <v>3449</v>
      </c>
      <c r="B1228" t="s">
        <v>3450</v>
      </c>
      <c r="C1228" t="s">
        <v>3449</v>
      </c>
      <c r="D1228">
        <v>5600</v>
      </c>
    </row>
    <row r="1229" spans="1:4">
      <c r="A1229" t="s">
        <v>3451</v>
      </c>
      <c r="B1229" t="s">
        <v>3452</v>
      </c>
      <c r="C1229" t="s">
        <v>3451</v>
      </c>
      <c r="D1229">
        <v>7320</v>
      </c>
    </row>
    <row r="1230" spans="1:4">
      <c r="A1230" t="s">
        <v>3453</v>
      </c>
      <c r="B1230" t="s">
        <v>3454</v>
      </c>
      <c r="C1230" t="s">
        <v>3453</v>
      </c>
      <c r="D1230">
        <v>7372</v>
      </c>
    </row>
    <row r="1231" spans="1:4">
      <c r="A1231" t="s">
        <v>3455</v>
      </c>
      <c r="B1231" t="s">
        <v>3456</v>
      </c>
      <c r="C1231" t="s">
        <v>3455</v>
      </c>
      <c r="D1231">
        <v>2821</v>
      </c>
    </row>
    <row r="1232" spans="1:4">
      <c r="A1232" t="s">
        <v>3457</v>
      </c>
      <c r="B1232" t="s">
        <v>3458</v>
      </c>
      <c r="C1232" t="s">
        <v>3457</v>
      </c>
      <c r="D1232">
        <v>2834</v>
      </c>
    </row>
    <row r="1233" spans="1:4">
      <c r="A1233" t="s">
        <v>3459</v>
      </c>
      <c r="B1233" t="s">
        <v>3460</v>
      </c>
      <c r="C1233" t="s">
        <v>3459</v>
      </c>
      <c r="D1233">
        <v>5810</v>
      </c>
    </row>
    <row r="1234" spans="1:4">
      <c r="A1234" t="s">
        <v>3461</v>
      </c>
      <c r="B1234" t="s">
        <v>3462</v>
      </c>
      <c r="C1234" t="s">
        <v>3461</v>
      </c>
      <c r="D1234">
        <v>7374</v>
      </c>
    </row>
    <row r="1235" spans="1:4">
      <c r="A1235" t="s">
        <v>3463</v>
      </c>
      <c r="B1235" t="s">
        <v>3464</v>
      </c>
      <c r="C1235" t="s">
        <v>3463</v>
      </c>
      <c r="D1235">
        <v>5084</v>
      </c>
    </row>
    <row r="1236" spans="1:4">
      <c r="A1236" t="s">
        <v>3465</v>
      </c>
      <c r="B1236" t="s">
        <v>3466</v>
      </c>
      <c r="C1236" t="s">
        <v>3465</v>
      </c>
      <c r="D1236">
        <v>2836</v>
      </c>
    </row>
    <row r="1237" spans="1:4">
      <c r="A1237" t="s">
        <v>3467</v>
      </c>
      <c r="B1237" t="s">
        <v>3468</v>
      </c>
      <c r="C1237" t="s">
        <v>3467</v>
      </c>
      <c r="D1237">
        <v>1623</v>
      </c>
    </row>
    <row r="1238" spans="1:4">
      <c r="A1238" t="s">
        <v>3469</v>
      </c>
      <c r="B1238" t="s">
        <v>3470</v>
      </c>
      <c r="C1238" t="s">
        <v>3469</v>
      </c>
      <c r="D1238">
        <v>4400</v>
      </c>
    </row>
    <row r="1239" spans="1:4">
      <c r="A1239" t="s">
        <v>3471</v>
      </c>
      <c r="B1239" t="s">
        <v>3472</v>
      </c>
      <c r="C1239" t="s">
        <v>3471</v>
      </c>
      <c r="D1239">
        <v>1000</v>
      </c>
    </row>
    <row r="1240" spans="1:4">
      <c r="A1240" t="s">
        <v>3473</v>
      </c>
      <c r="B1240" t="s">
        <v>3474</v>
      </c>
      <c r="C1240" t="s">
        <v>3473</v>
      </c>
      <c r="D1240">
        <v>7372</v>
      </c>
    </row>
    <row r="1241" spans="1:4">
      <c r="A1241" t="s">
        <v>3475</v>
      </c>
      <c r="B1241" t="s">
        <v>3476</v>
      </c>
      <c r="C1241" t="s">
        <v>3475</v>
      </c>
      <c r="D1241">
        <v>3841</v>
      </c>
    </row>
    <row r="1242" spans="1:4">
      <c r="A1242" t="s">
        <v>3477</v>
      </c>
      <c r="B1242" t="s">
        <v>3478</v>
      </c>
      <c r="C1242" t="s">
        <v>3477</v>
      </c>
      <c r="D1242">
        <v>2834</v>
      </c>
    </row>
    <row r="1243" spans="1:4">
      <c r="A1243" t="s">
        <v>3479</v>
      </c>
      <c r="B1243" t="s">
        <v>3480</v>
      </c>
      <c r="C1243" t="s">
        <v>3479</v>
      </c>
      <c r="D1243">
        <v>6798</v>
      </c>
    </row>
    <row r="1244" spans="1:4">
      <c r="A1244" t="s">
        <v>3481</v>
      </c>
      <c r="B1244" t="s">
        <v>3482</v>
      </c>
      <c r="C1244" t="s">
        <v>3481</v>
      </c>
      <c r="D1244">
        <v>3661</v>
      </c>
    </row>
    <row r="1245" spans="1:4">
      <c r="A1245" t="s">
        <v>3483</v>
      </c>
      <c r="B1245" t="s">
        <v>3484</v>
      </c>
      <c r="C1245" t="s">
        <v>3483</v>
      </c>
      <c r="D1245">
        <v>2844</v>
      </c>
    </row>
    <row r="1246" spans="1:4">
      <c r="A1246" t="s">
        <v>3485</v>
      </c>
      <c r="B1246" t="s">
        <v>3486</v>
      </c>
      <c r="C1246" t="s">
        <v>3485</v>
      </c>
      <c r="D1246">
        <v>4833</v>
      </c>
    </row>
    <row r="1247" spans="1:4">
      <c r="A1247" t="s">
        <v>3487</v>
      </c>
      <c r="B1247" t="s">
        <v>3488</v>
      </c>
      <c r="C1247" t="s">
        <v>3487</v>
      </c>
      <c r="D1247">
        <v>5065</v>
      </c>
    </row>
    <row r="1248" spans="1:4">
      <c r="A1248" t="s">
        <v>3489</v>
      </c>
      <c r="B1248" t="s">
        <v>3490</v>
      </c>
      <c r="C1248" t="s">
        <v>3489</v>
      </c>
      <c r="D1248">
        <v>6022</v>
      </c>
    </row>
    <row r="1249" spans="1:4">
      <c r="A1249" t="s">
        <v>3491</v>
      </c>
      <c r="B1249" t="s">
        <v>3492</v>
      </c>
      <c r="C1249" t="s">
        <v>3491</v>
      </c>
      <c r="D1249">
        <v>6022</v>
      </c>
    </row>
    <row r="1250" spans="1:4">
      <c r="A1250" t="s">
        <v>3493</v>
      </c>
      <c r="B1250" t="s">
        <v>3494</v>
      </c>
      <c r="C1250" t="s">
        <v>3493</v>
      </c>
      <c r="D1250">
        <v>4412</v>
      </c>
    </row>
    <row r="1251" spans="1:4">
      <c r="A1251" t="s">
        <v>3495</v>
      </c>
      <c r="B1251" t="s">
        <v>3496</v>
      </c>
      <c r="C1251" t="s">
        <v>3495</v>
      </c>
      <c r="D1251">
        <v>6022</v>
      </c>
    </row>
    <row r="1252" spans="1:4">
      <c r="A1252" t="s">
        <v>3497</v>
      </c>
      <c r="B1252" t="s">
        <v>3498</v>
      </c>
      <c r="C1252" t="s">
        <v>3497</v>
      </c>
      <c r="D1252">
        <v>3241</v>
      </c>
    </row>
    <row r="1253" spans="1:4">
      <c r="A1253" t="s">
        <v>3499</v>
      </c>
      <c r="B1253" t="s">
        <v>3500</v>
      </c>
      <c r="C1253" t="s">
        <v>3499</v>
      </c>
      <c r="D1253">
        <v>2834</v>
      </c>
    </row>
    <row r="1254" spans="1:4">
      <c r="A1254" t="s">
        <v>3501</v>
      </c>
      <c r="B1254" t="s">
        <v>3502</v>
      </c>
      <c r="C1254" t="s">
        <v>3501</v>
      </c>
      <c r="D1254">
        <v>3842</v>
      </c>
    </row>
    <row r="1255" spans="1:4">
      <c r="A1255" t="s">
        <v>3503</v>
      </c>
      <c r="B1255" t="s">
        <v>3504</v>
      </c>
      <c r="C1255" t="s">
        <v>3503</v>
      </c>
      <c r="D1255">
        <v>1311</v>
      </c>
    </row>
    <row r="1256" spans="1:4">
      <c r="A1256" t="s">
        <v>3505</v>
      </c>
      <c r="B1256" t="s">
        <v>3506</v>
      </c>
      <c r="C1256" t="s">
        <v>3505</v>
      </c>
      <c r="D1256">
        <v>6022</v>
      </c>
    </row>
    <row r="1257" spans="1:4">
      <c r="A1257" t="s">
        <v>3507</v>
      </c>
      <c r="B1257" t="s">
        <v>3508</v>
      </c>
      <c r="C1257" t="s">
        <v>3507</v>
      </c>
      <c r="D1257">
        <v>6798</v>
      </c>
    </row>
    <row r="1258" spans="1:4">
      <c r="A1258" t="s">
        <v>3509</v>
      </c>
      <c r="B1258" t="s">
        <v>3510</v>
      </c>
      <c r="C1258" t="s">
        <v>3509</v>
      </c>
      <c r="D1258">
        <v>6035</v>
      </c>
    </row>
    <row r="1259" spans="1:4">
      <c r="A1259" t="s">
        <v>3511</v>
      </c>
      <c r="B1259" t="s">
        <v>3512</v>
      </c>
      <c r="C1259" t="s">
        <v>3511</v>
      </c>
      <c r="D1259">
        <v>3420</v>
      </c>
    </row>
    <row r="1260" spans="1:4">
      <c r="A1260" t="s">
        <v>3513</v>
      </c>
      <c r="B1260" t="s">
        <v>3514</v>
      </c>
      <c r="C1260" t="s">
        <v>3513</v>
      </c>
      <c r="D1260">
        <v>6798</v>
      </c>
    </row>
    <row r="1261" spans="1:4">
      <c r="A1261" t="s">
        <v>3515</v>
      </c>
      <c r="B1261" t="s">
        <v>3516</v>
      </c>
      <c r="C1261" t="s">
        <v>3515</v>
      </c>
      <c r="D1261">
        <v>2821</v>
      </c>
    </row>
    <row r="1262" spans="1:4">
      <c r="A1262" t="s">
        <v>3517</v>
      </c>
      <c r="B1262" t="s">
        <v>3518</v>
      </c>
      <c r="C1262" t="s">
        <v>3517</v>
      </c>
      <c r="D1262">
        <v>3861</v>
      </c>
    </row>
    <row r="1263" spans="1:4">
      <c r="A1263" t="s">
        <v>3519</v>
      </c>
      <c r="B1263" t="s">
        <v>3520</v>
      </c>
      <c r="C1263" t="s">
        <v>3519</v>
      </c>
      <c r="D1263">
        <v>2080</v>
      </c>
    </row>
    <row r="1264" spans="1:4">
      <c r="A1264" t="s">
        <v>3521</v>
      </c>
      <c r="B1264" t="s">
        <v>3522</v>
      </c>
      <c r="C1264" t="s">
        <v>3521</v>
      </c>
      <c r="D1264">
        <v>3590</v>
      </c>
    </row>
    <row r="1265" spans="1:4">
      <c r="A1265" t="s">
        <v>3523</v>
      </c>
      <c r="B1265" t="s">
        <v>3524</v>
      </c>
      <c r="C1265" t="s">
        <v>3523</v>
      </c>
      <c r="D1265">
        <v>3674</v>
      </c>
    </row>
    <row r="1266" spans="1:4">
      <c r="A1266" t="s">
        <v>3525</v>
      </c>
      <c r="B1266" t="s">
        <v>3526</v>
      </c>
      <c r="C1266" t="s">
        <v>3525</v>
      </c>
      <c r="D1266">
        <v>7389</v>
      </c>
    </row>
    <row r="1267" spans="1:4">
      <c r="A1267" t="s">
        <v>3527</v>
      </c>
      <c r="B1267" t="s">
        <v>3528</v>
      </c>
      <c r="C1267" t="s">
        <v>3527</v>
      </c>
      <c r="D1267">
        <v>7373</v>
      </c>
    </row>
    <row r="1268" spans="1:4">
      <c r="A1268" t="s">
        <v>3529</v>
      </c>
      <c r="B1268" t="s">
        <v>3530</v>
      </c>
      <c r="C1268" t="s">
        <v>3529</v>
      </c>
      <c r="D1268">
        <v>4899</v>
      </c>
    </row>
    <row r="1269" spans="1:4">
      <c r="A1269" t="s">
        <v>3531</v>
      </c>
      <c r="B1269" t="s">
        <v>3532</v>
      </c>
      <c r="C1269" t="s">
        <v>3531</v>
      </c>
      <c r="D1269">
        <v>1311</v>
      </c>
    </row>
    <row r="1270" spans="1:4">
      <c r="A1270" t="s">
        <v>3533</v>
      </c>
      <c r="B1270" t="s">
        <v>3534</v>
      </c>
      <c r="C1270" t="s">
        <v>3533</v>
      </c>
      <c r="D1270">
        <v>2840</v>
      </c>
    </row>
    <row r="1271" spans="1:4">
      <c r="A1271" t="s">
        <v>3535</v>
      </c>
      <c r="B1271" t="s">
        <v>3536</v>
      </c>
      <c r="C1271" t="s">
        <v>3535</v>
      </c>
      <c r="D1271">
        <v>2800</v>
      </c>
    </row>
    <row r="1272" spans="1:4">
      <c r="A1272" t="s">
        <v>3537</v>
      </c>
      <c r="B1272" t="s">
        <v>3538</v>
      </c>
      <c r="C1272" t="s">
        <v>3537</v>
      </c>
      <c r="D1272">
        <v>2844</v>
      </c>
    </row>
    <row r="1273" spans="1:4">
      <c r="A1273" t="s">
        <v>3539</v>
      </c>
      <c r="B1273" t="s">
        <v>3540</v>
      </c>
      <c r="C1273" t="s">
        <v>3539</v>
      </c>
      <c r="D1273">
        <v>4911</v>
      </c>
    </row>
    <row r="1274" spans="1:4">
      <c r="A1274" t="s">
        <v>3541</v>
      </c>
      <c r="B1274" t="s">
        <v>3542</v>
      </c>
      <c r="C1274" t="s">
        <v>3541</v>
      </c>
      <c r="D1274">
        <v>2836</v>
      </c>
    </row>
    <row r="1275" spans="1:4">
      <c r="A1275" t="s">
        <v>3543</v>
      </c>
      <c r="B1275" t="s">
        <v>3544</v>
      </c>
      <c r="C1275" t="s">
        <v>3543</v>
      </c>
      <c r="D1275">
        <v>5190</v>
      </c>
    </row>
    <row r="1276" spans="1:4">
      <c r="A1276" t="s">
        <v>3545</v>
      </c>
      <c r="B1276" t="s">
        <v>3546</v>
      </c>
      <c r="C1276" t="s">
        <v>3545</v>
      </c>
      <c r="D1276">
        <v>3842</v>
      </c>
    </row>
    <row r="1277" spans="1:4">
      <c r="A1277" t="s">
        <v>3547</v>
      </c>
      <c r="B1277" t="s">
        <v>3548</v>
      </c>
      <c r="C1277" t="s">
        <v>3547</v>
      </c>
      <c r="D1277">
        <v>2834</v>
      </c>
    </row>
    <row r="1278" spans="1:4">
      <c r="A1278" t="s">
        <v>3549</v>
      </c>
      <c r="B1278" t="s">
        <v>3550</v>
      </c>
      <c r="C1278" t="s">
        <v>3549</v>
      </c>
      <c r="D1278">
        <v>7372</v>
      </c>
    </row>
    <row r="1279" spans="1:4">
      <c r="A1279" t="s">
        <v>3551</v>
      </c>
      <c r="B1279" t="s">
        <v>3552</v>
      </c>
      <c r="C1279" t="s">
        <v>3551</v>
      </c>
      <c r="D1279">
        <v>3728</v>
      </c>
    </row>
    <row r="1280" spans="1:4">
      <c r="A1280" t="s">
        <v>3553</v>
      </c>
      <c r="B1280" t="s">
        <v>3554</v>
      </c>
      <c r="C1280" t="s">
        <v>3553</v>
      </c>
      <c r="D1280">
        <v>6411</v>
      </c>
    </row>
    <row r="1281" spans="1:4">
      <c r="A1281" t="s">
        <v>3555</v>
      </c>
      <c r="B1281" t="s">
        <v>3556</v>
      </c>
      <c r="C1281" t="s">
        <v>3555</v>
      </c>
      <c r="D1281">
        <v>3569</v>
      </c>
    </row>
    <row r="1282" spans="1:4">
      <c r="A1282" t="s">
        <v>3557</v>
      </c>
      <c r="B1282" t="s">
        <v>3558</v>
      </c>
      <c r="C1282" t="s">
        <v>3557</v>
      </c>
      <c r="D1282">
        <v>5812</v>
      </c>
    </row>
    <row r="1283" spans="1:4">
      <c r="A1283" t="s">
        <v>3559</v>
      </c>
      <c r="B1283" t="s">
        <v>3560</v>
      </c>
      <c r="C1283" t="s">
        <v>3559</v>
      </c>
      <c r="D1283">
        <v>2834</v>
      </c>
    </row>
    <row r="1284" spans="1:4">
      <c r="A1284" t="s">
        <v>3561</v>
      </c>
      <c r="B1284" t="s">
        <v>3562</v>
      </c>
      <c r="C1284" t="s">
        <v>3561</v>
      </c>
      <c r="D1284">
        <v>7372</v>
      </c>
    </row>
    <row r="1285" spans="1:4">
      <c r="A1285" t="s">
        <v>3563</v>
      </c>
      <c r="B1285" t="s">
        <v>3564</v>
      </c>
      <c r="C1285" t="s">
        <v>3563</v>
      </c>
      <c r="D1285">
        <v>3728</v>
      </c>
    </row>
    <row r="1286" spans="1:4">
      <c r="A1286" t="s">
        <v>3565</v>
      </c>
      <c r="B1286" t="s">
        <v>3566</v>
      </c>
      <c r="C1286" t="s">
        <v>3565</v>
      </c>
      <c r="D1286">
        <v>3823</v>
      </c>
    </row>
    <row r="1287" spans="1:4">
      <c r="A1287" t="s">
        <v>3567</v>
      </c>
      <c r="B1287" t="s">
        <v>3568</v>
      </c>
      <c r="C1287" t="s">
        <v>3567</v>
      </c>
      <c r="D1287">
        <v>3845</v>
      </c>
    </row>
    <row r="1288" spans="1:4">
      <c r="A1288" t="s">
        <v>3569</v>
      </c>
      <c r="B1288" t="s">
        <v>3570</v>
      </c>
      <c r="C1288" t="s">
        <v>3569</v>
      </c>
      <c r="D1288">
        <v>3845</v>
      </c>
    </row>
    <row r="1289" spans="1:4">
      <c r="A1289" t="s">
        <v>3571</v>
      </c>
      <c r="B1289" t="s">
        <v>3572</v>
      </c>
      <c r="C1289" t="s">
        <v>3571</v>
      </c>
      <c r="D1289">
        <v>7372</v>
      </c>
    </row>
    <row r="1290" spans="1:4">
      <c r="A1290" t="s">
        <v>3573</v>
      </c>
      <c r="B1290" t="s">
        <v>3574</v>
      </c>
      <c r="C1290" t="s">
        <v>3573</v>
      </c>
      <c r="D1290">
        <v>2890</v>
      </c>
    </row>
    <row r="1291" spans="1:4">
      <c r="A1291" t="s">
        <v>3575</v>
      </c>
      <c r="B1291" t="s">
        <v>3576</v>
      </c>
      <c r="C1291" t="s">
        <v>3575</v>
      </c>
      <c r="D1291">
        <v>6199</v>
      </c>
    </row>
    <row r="1292" spans="1:4">
      <c r="A1292" t="s">
        <v>3577</v>
      </c>
      <c r="B1292" t="s">
        <v>3578</v>
      </c>
      <c r="C1292" t="s">
        <v>3577</v>
      </c>
      <c r="D1292">
        <v>2834</v>
      </c>
    </row>
    <row r="1293" spans="1:4">
      <c r="A1293" t="s">
        <v>3579</v>
      </c>
      <c r="B1293" t="s">
        <v>3580</v>
      </c>
      <c r="C1293" t="s">
        <v>3579</v>
      </c>
      <c r="D1293">
        <v>8200</v>
      </c>
    </row>
    <row r="1294" spans="1:4">
      <c r="A1294" t="s">
        <v>3581</v>
      </c>
      <c r="B1294" t="s">
        <v>3582</v>
      </c>
      <c r="C1294" t="s">
        <v>3581</v>
      </c>
      <c r="D1294">
        <v>2834</v>
      </c>
    </row>
    <row r="1295" spans="1:4">
      <c r="A1295" t="s">
        <v>3583</v>
      </c>
      <c r="B1295" t="s">
        <v>3584</v>
      </c>
      <c r="C1295" t="s">
        <v>3583</v>
      </c>
      <c r="D1295">
        <v>6500</v>
      </c>
    </row>
    <row r="1296" spans="1:4">
      <c r="A1296" t="s">
        <v>3585</v>
      </c>
      <c r="B1296" t="s">
        <v>3586</v>
      </c>
      <c r="C1296" t="s">
        <v>3585</v>
      </c>
      <c r="D1296">
        <v>6798</v>
      </c>
    </row>
    <row r="1297" spans="1:4">
      <c r="A1297" t="s">
        <v>3587</v>
      </c>
      <c r="B1297" t="s">
        <v>3588</v>
      </c>
      <c r="C1297" t="s">
        <v>3587</v>
      </c>
      <c r="D1297">
        <v>3672</v>
      </c>
    </row>
    <row r="1298" spans="1:4">
      <c r="A1298" t="s">
        <v>3589</v>
      </c>
      <c r="B1298" t="s">
        <v>3590</v>
      </c>
      <c r="C1298" t="s">
        <v>3589</v>
      </c>
      <c r="D1298">
        <v>7372</v>
      </c>
    </row>
    <row r="1299" spans="1:4">
      <c r="A1299" t="s">
        <v>3591</v>
      </c>
      <c r="B1299" t="s">
        <v>3592</v>
      </c>
      <c r="C1299" t="s">
        <v>3591</v>
      </c>
      <c r="D1299">
        <v>3674</v>
      </c>
    </row>
    <row r="1300" spans="1:4">
      <c r="A1300" t="s">
        <v>3593</v>
      </c>
      <c r="B1300" t="s">
        <v>3594</v>
      </c>
      <c r="C1300" t="s">
        <v>3593</v>
      </c>
      <c r="D1300">
        <v>6022</v>
      </c>
    </row>
    <row r="1301" spans="1:4">
      <c r="A1301" t="s">
        <v>3595</v>
      </c>
      <c r="B1301" t="s">
        <v>3596</v>
      </c>
      <c r="C1301" t="s">
        <v>3595</v>
      </c>
      <c r="D1301">
        <v>6021</v>
      </c>
    </row>
    <row r="1302" spans="1:4">
      <c r="A1302" t="s">
        <v>3597</v>
      </c>
      <c r="B1302" t="s">
        <v>3598</v>
      </c>
      <c r="C1302" t="s">
        <v>3597</v>
      </c>
      <c r="D1302">
        <v>1731</v>
      </c>
    </row>
    <row r="1303" spans="1:4">
      <c r="A1303" t="s">
        <v>3599</v>
      </c>
      <c r="B1303" t="s">
        <v>3600</v>
      </c>
      <c r="C1303" t="s">
        <v>3599</v>
      </c>
      <c r="D1303">
        <v>3674</v>
      </c>
    </row>
    <row r="1304" spans="1:4">
      <c r="A1304" t="s">
        <v>3601</v>
      </c>
      <c r="B1304" t="s">
        <v>3602</v>
      </c>
      <c r="C1304" t="s">
        <v>3601</v>
      </c>
      <c r="D1304">
        <v>7389</v>
      </c>
    </row>
    <row r="1305" spans="1:4">
      <c r="A1305" t="s">
        <v>3603</v>
      </c>
      <c r="B1305" t="s">
        <v>3604</v>
      </c>
      <c r="C1305" t="s">
        <v>3603</v>
      </c>
      <c r="D1305">
        <v>2834</v>
      </c>
    </row>
    <row r="1306" spans="1:4">
      <c r="A1306" t="s">
        <v>3605</v>
      </c>
      <c r="B1306" t="s">
        <v>3606</v>
      </c>
      <c r="C1306" t="s">
        <v>3605</v>
      </c>
      <c r="D1306">
        <v>3600</v>
      </c>
    </row>
    <row r="1307" spans="1:4">
      <c r="A1307" t="s">
        <v>3607</v>
      </c>
      <c r="B1307" t="s">
        <v>3608</v>
      </c>
      <c r="C1307" t="s">
        <v>3607</v>
      </c>
      <c r="D1307">
        <v>3651</v>
      </c>
    </row>
    <row r="1308" spans="1:4">
      <c r="A1308" t="s">
        <v>3609</v>
      </c>
      <c r="B1308" t="s">
        <v>3610</v>
      </c>
      <c r="C1308" t="s">
        <v>3609</v>
      </c>
      <c r="D1308">
        <v>2834</v>
      </c>
    </row>
    <row r="1309" spans="1:4">
      <c r="A1309" t="s">
        <v>3611</v>
      </c>
      <c r="B1309" t="s">
        <v>3612</v>
      </c>
      <c r="C1309" t="s">
        <v>3611</v>
      </c>
      <c r="D1309">
        <v>6798</v>
      </c>
    </row>
    <row r="1310" spans="1:4">
      <c r="A1310" t="s">
        <v>3613</v>
      </c>
      <c r="B1310" t="s">
        <v>3614</v>
      </c>
      <c r="C1310" t="s">
        <v>3613</v>
      </c>
      <c r="D1310">
        <v>6798</v>
      </c>
    </row>
    <row r="1311" spans="1:4">
      <c r="A1311" t="s">
        <v>3615</v>
      </c>
      <c r="B1311" t="s">
        <v>3616</v>
      </c>
      <c r="C1311" t="s">
        <v>3615</v>
      </c>
      <c r="D1311">
        <v>6331</v>
      </c>
    </row>
    <row r="1312" spans="1:4">
      <c r="A1312" t="s">
        <v>3617</v>
      </c>
      <c r="B1312" t="s">
        <v>3618</v>
      </c>
      <c r="C1312" t="s">
        <v>3617</v>
      </c>
      <c r="D1312">
        <v>6411</v>
      </c>
    </row>
    <row r="1313" spans="1:4">
      <c r="A1313" t="s">
        <v>3619</v>
      </c>
      <c r="B1313" t="s">
        <v>3620</v>
      </c>
      <c r="C1313" t="s">
        <v>3619</v>
      </c>
      <c r="D1313">
        <v>2834</v>
      </c>
    </row>
    <row r="1314" spans="1:4">
      <c r="A1314" t="s">
        <v>3621</v>
      </c>
      <c r="B1314" t="s">
        <v>3622</v>
      </c>
      <c r="C1314" t="s">
        <v>3621</v>
      </c>
      <c r="D1314">
        <v>6021</v>
      </c>
    </row>
    <row r="1315" spans="1:4">
      <c r="A1315" t="s">
        <v>3623</v>
      </c>
      <c r="B1315" t="s">
        <v>3624</v>
      </c>
      <c r="C1315" t="s">
        <v>3623</v>
      </c>
      <c r="D1315">
        <v>8060</v>
      </c>
    </row>
    <row r="1316" spans="1:4">
      <c r="A1316" t="s">
        <v>3625</v>
      </c>
      <c r="B1316" t="s">
        <v>3626</v>
      </c>
      <c r="C1316" t="s">
        <v>3625</v>
      </c>
      <c r="D1316">
        <v>6153</v>
      </c>
    </row>
    <row r="1317" spans="1:4">
      <c r="A1317" t="s">
        <v>3627</v>
      </c>
      <c r="B1317" t="s">
        <v>3628</v>
      </c>
      <c r="C1317" t="s">
        <v>3627</v>
      </c>
      <c r="D1317">
        <v>3350</v>
      </c>
    </row>
    <row r="1318" spans="1:4">
      <c r="A1318" t="s">
        <v>3629</v>
      </c>
      <c r="B1318" t="s">
        <v>3630</v>
      </c>
      <c r="C1318" t="s">
        <v>3629</v>
      </c>
      <c r="D1318">
        <v>7900</v>
      </c>
    </row>
    <row r="1319" spans="1:4">
      <c r="A1319" t="s">
        <v>3631</v>
      </c>
      <c r="B1319" t="s">
        <v>3632</v>
      </c>
      <c r="C1319" t="s">
        <v>3631</v>
      </c>
      <c r="D1319">
        <v>2834</v>
      </c>
    </row>
    <row r="1320" spans="1:4">
      <c r="A1320" t="s">
        <v>3633</v>
      </c>
      <c r="B1320" t="s">
        <v>3634</v>
      </c>
      <c r="C1320" t="s">
        <v>3633</v>
      </c>
      <c r="D1320">
        <v>3690</v>
      </c>
    </row>
    <row r="1321" spans="1:4">
      <c r="A1321" t="s">
        <v>3635</v>
      </c>
      <c r="B1321" t="s">
        <v>3636</v>
      </c>
      <c r="C1321" t="s">
        <v>3635</v>
      </c>
      <c r="D1321">
        <v>3663</v>
      </c>
    </row>
    <row r="1322" spans="1:4">
      <c r="A1322" t="s">
        <v>3637</v>
      </c>
      <c r="B1322" t="s">
        <v>3638</v>
      </c>
      <c r="C1322" t="s">
        <v>3637</v>
      </c>
      <c r="D1322">
        <v>1400</v>
      </c>
    </row>
    <row r="1323" spans="1:4">
      <c r="A1323" t="s">
        <v>3639</v>
      </c>
      <c r="B1323" t="s">
        <v>3640</v>
      </c>
      <c r="C1323" t="s">
        <v>3639</v>
      </c>
      <c r="D1323">
        <v>3559</v>
      </c>
    </row>
    <row r="1324" spans="1:4">
      <c r="A1324" t="s">
        <v>3641</v>
      </c>
      <c r="B1324" t="s">
        <v>3642</v>
      </c>
      <c r="C1324" t="s">
        <v>3641</v>
      </c>
      <c r="D1324">
        <v>1623</v>
      </c>
    </row>
    <row r="1325" spans="1:4">
      <c r="A1325" t="s">
        <v>3643</v>
      </c>
      <c r="B1325" t="s">
        <v>3644</v>
      </c>
      <c r="C1325" t="s">
        <v>3643</v>
      </c>
      <c r="D1325">
        <v>4922</v>
      </c>
    </row>
    <row r="1326" spans="1:4">
      <c r="A1326" t="s">
        <v>3645</v>
      </c>
      <c r="B1326" t="s">
        <v>3646</v>
      </c>
      <c r="C1326" t="s">
        <v>3645</v>
      </c>
      <c r="D1326">
        <v>3590</v>
      </c>
    </row>
    <row r="1327" spans="1:4">
      <c r="A1327" t="s">
        <v>3647</v>
      </c>
      <c r="B1327" t="s">
        <v>3648</v>
      </c>
      <c r="C1327" t="s">
        <v>3647</v>
      </c>
      <c r="D1327">
        <v>1311</v>
      </c>
    </row>
    <row r="1328" spans="1:4">
      <c r="A1328" t="s">
        <v>3649</v>
      </c>
      <c r="B1328" t="s">
        <v>3650</v>
      </c>
      <c r="C1328" t="s">
        <v>3649</v>
      </c>
      <c r="D1328">
        <v>3690</v>
      </c>
    </row>
    <row r="1329" spans="1:4">
      <c r="A1329" t="s">
        <v>3651</v>
      </c>
      <c r="B1329" t="s">
        <v>3652</v>
      </c>
      <c r="C1329" t="s">
        <v>3651</v>
      </c>
      <c r="D1329">
        <v>4412</v>
      </c>
    </row>
    <row r="1330" spans="1:4">
      <c r="A1330" t="s">
        <v>3653</v>
      </c>
      <c r="B1330" t="s">
        <v>3654</v>
      </c>
      <c r="C1330" t="s">
        <v>3653</v>
      </c>
      <c r="D1330">
        <v>7372</v>
      </c>
    </row>
    <row r="1331" spans="1:4">
      <c r="A1331" t="s">
        <v>3655</v>
      </c>
      <c r="B1331" t="s">
        <v>3656</v>
      </c>
      <c r="C1331" t="s">
        <v>3655</v>
      </c>
      <c r="D1331">
        <v>7372</v>
      </c>
    </row>
    <row r="1332" spans="1:4">
      <c r="A1332" t="s">
        <v>3657</v>
      </c>
      <c r="B1332" t="s">
        <v>3658</v>
      </c>
      <c r="C1332" t="s">
        <v>3657</v>
      </c>
      <c r="D1332">
        <v>8711</v>
      </c>
    </row>
    <row r="1333" spans="1:4">
      <c r="A1333" t="s">
        <v>3659</v>
      </c>
      <c r="B1333" t="s">
        <v>3660</v>
      </c>
      <c r="C1333" t="s">
        <v>3659</v>
      </c>
      <c r="D1333">
        <v>7389</v>
      </c>
    </row>
    <row r="1334" spans="1:4">
      <c r="A1334" t="s">
        <v>3661</v>
      </c>
      <c r="B1334" t="s">
        <v>3662</v>
      </c>
      <c r="C1334" t="s">
        <v>3661</v>
      </c>
      <c r="D1334">
        <v>4922</v>
      </c>
    </row>
    <row r="1335" spans="1:4">
      <c r="A1335" t="s">
        <v>3663</v>
      </c>
      <c r="B1335" t="s">
        <v>3664</v>
      </c>
      <c r="C1335" t="s">
        <v>3663</v>
      </c>
      <c r="D1335">
        <v>2761</v>
      </c>
    </row>
    <row r="1336" spans="1:4">
      <c r="A1336" t="s">
        <v>3665</v>
      </c>
      <c r="B1336" t="s">
        <v>3666</v>
      </c>
      <c r="C1336" t="s">
        <v>3665</v>
      </c>
      <c r="D1336">
        <v>6141</v>
      </c>
    </row>
    <row r="1337" spans="1:4">
      <c r="A1337" t="s">
        <v>3667</v>
      </c>
      <c r="B1337" t="s">
        <v>3668</v>
      </c>
      <c r="C1337" t="s">
        <v>3667</v>
      </c>
      <c r="D1337">
        <v>3674</v>
      </c>
    </row>
    <row r="1338" spans="1:4">
      <c r="A1338" t="s">
        <v>3669</v>
      </c>
      <c r="B1338" t="s">
        <v>3670</v>
      </c>
      <c r="C1338" t="s">
        <v>3669</v>
      </c>
      <c r="D1338">
        <v>3050</v>
      </c>
    </row>
    <row r="1339" spans="1:4">
      <c r="A1339" t="s">
        <v>3671</v>
      </c>
      <c r="B1339" t="s">
        <v>3672</v>
      </c>
      <c r="C1339" t="s">
        <v>3671</v>
      </c>
      <c r="D1339">
        <v>1389</v>
      </c>
    </row>
    <row r="1340" spans="1:4">
      <c r="A1340" t="s">
        <v>3673</v>
      </c>
      <c r="B1340" t="s">
        <v>3674</v>
      </c>
      <c r="C1340" t="s">
        <v>3673</v>
      </c>
      <c r="D1340">
        <v>8051</v>
      </c>
    </row>
    <row r="1341" spans="1:4">
      <c r="A1341" t="s">
        <v>3675</v>
      </c>
      <c r="B1341" t="s">
        <v>3676</v>
      </c>
      <c r="C1341" t="s">
        <v>3675</v>
      </c>
      <c r="D1341">
        <v>6331</v>
      </c>
    </row>
    <row r="1342" spans="1:4">
      <c r="A1342" t="s">
        <v>3677</v>
      </c>
      <c r="B1342" t="s">
        <v>3678</v>
      </c>
      <c r="C1342" t="s">
        <v>3677</v>
      </c>
      <c r="D1342">
        <v>3089</v>
      </c>
    </row>
    <row r="1343" spans="1:4">
      <c r="A1343" t="s">
        <v>3679</v>
      </c>
      <c r="B1343" t="s">
        <v>3680</v>
      </c>
      <c r="C1343" t="s">
        <v>3679</v>
      </c>
      <c r="D1343">
        <v>4911</v>
      </c>
    </row>
    <row r="1344" spans="1:4">
      <c r="A1344" t="s">
        <v>3681</v>
      </c>
      <c r="B1344" t="s">
        <v>3682</v>
      </c>
      <c r="C1344" t="s">
        <v>3681</v>
      </c>
      <c r="D1344">
        <v>6022</v>
      </c>
    </row>
    <row r="1345" spans="1:4">
      <c r="A1345" t="s">
        <v>3683</v>
      </c>
      <c r="B1345" t="s">
        <v>3684</v>
      </c>
      <c r="C1345" t="s">
        <v>3683</v>
      </c>
      <c r="D1345">
        <v>6022</v>
      </c>
    </row>
    <row r="1346" spans="1:4">
      <c r="A1346" t="s">
        <v>3685</v>
      </c>
      <c r="B1346" t="s">
        <v>3686</v>
      </c>
      <c r="C1346" t="s">
        <v>3685</v>
      </c>
      <c r="D1346">
        <v>4922</v>
      </c>
    </row>
    <row r="1347" spans="1:4">
      <c r="A1347" t="s">
        <v>3687</v>
      </c>
      <c r="B1347" t="s">
        <v>3688</v>
      </c>
      <c r="C1347" t="s">
        <v>3687</v>
      </c>
      <c r="D1347">
        <v>4833</v>
      </c>
    </row>
    <row r="1348" spans="1:4">
      <c r="A1348" t="s">
        <v>3689</v>
      </c>
      <c r="B1348" t="s">
        <v>3690</v>
      </c>
      <c r="C1348" t="s">
        <v>3689</v>
      </c>
      <c r="D1348">
        <v>5944</v>
      </c>
    </row>
    <row r="1349" spans="1:4">
      <c r="A1349" t="s">
        <v>3691</v>
      </c>
      <c r="B1349" t="s">
        <v>3692</v>
      </c>
      <c r="C1349" t="s">
        <v>3691</v>
      </c>
      <c r="D1349">
        <v>7389</v>
      </c>
    </row>
    <row r="1350" spans="1:4">
      <c r="A1350" t="s">
        <v>3693</v>
      </c>
      <c r="B1350" t="s">
        <v>3694</v>
      </c>
      <c r="C1350" t="s">
        <v>3693</v>
      </c>
      <c r="D1350">
        <v>3843</v>
      </c>
    </row>
    <row r="1351" spans="1:4">
      <c r="A1351" t="s">
        <v>3695</v>
      </c>
      <c r="B1351" t="s">
        <v>3696</v>
      </c>
      <c r="C1351" t="s">
        <v>3695</v>
      </c>
      <c r="D1351">
        <v>2400</v>
      </c>
    </row>
    <row r="1352" spans="1:4">
      <c r="A1352" t="s">
        <v>3697</v>
      </c>
      <c r="B1352" t="s">
        <v>3698</v>
      </c>
      <c r="C1352" t="s">
        <v>3697</v>
      </c>
      <c r="D1352">
        <v>3841</v>
      </c>
    </row>
    <row r="1353" spans="1:4">
      <c r="A1353" t="s">
        <v>3699</v>
      </c>
      <c r="B1353" t="s">
        <v>3700</v>
      </c>
      <c r="C1353" t="s">
        <v>3699</v>
      </c>
      <c r="D1353">
        <v>8071</v>
      </c>
    </row>
    <row r="1354" spans="1:4">
      <c r="A1354" t="s">
        <v>3701</v>
      </c>
      <c r="B1354" t="s">
        <v>3702</v>
      </c>
      <c r="C1354" t="s">
        <v>3701</v>
      </c>
      <c r="D1354">
        <v>2836</v>
      </c>
    </row>
    <row r="1355" spans="1:4">
      <c r="A1355" t="s">
        <v>3703</v>
      </c>
      <c r="B1355" t="s">
        <v>3704</v>
      </c>
      <c r="C1355" t="s">
        <v>3703</v>
      </c>
      <c r="D1355">
        <v>1311</v>
      </c>
    </row>
    <row r="1356" spans="1:4">
      <c r="A1356" t="s">
        <v>3705</v>
      </c>
      <c r="B1356" t="s">
        <v>3706</v>
      </c>
      <c r="C1356" t="s">
        <v>3705</v>
      </c>
      <c r="D1356">
        <v>3690</v>
      </c>
    </row>
    <row r="1357" spans="1:4">
      <c r="A1357" t="s">
        <v>3707</v>
      </c>
      <c r="B1357" t="s">
        <v>3708</v>
      </c>
      <c r="C1357" t="s">
        <v>3707</v>
      </c>
      <c r="D1357">
        <v>7371</v>
      </c>
    </row>
    <row r="1358" spans="1:4">
      <c r="A1358" t="s">
        <v>3709</v>
      </c>
      <c r="B1358" t="s">
        <v>3710</v>
      </c>
      <c r="C1358" t="s">
        <v>3709</v>
      </c>
      <c r="D1358">
        <v>2834</v>
      </c>
    </row>
    <row r="1359" spans="1:4">
      <c r="A1359" t="s">
        <v>3711</v>
      </c>
      <c r="B1359" t="s">
        <v>3712</v>
      </c>
      <c r="C1359" t="s">
        <v>3711</v>
      </c>
      <c r="D1359">
        <v>5045</v>
      </c>
    </row>
    <row r="1360" spans="1:4">
      <c r="A1360" t="s">
        <v>3713</v>
      </c>
      <c r="B1360" t="s">
        <v>3714</v>
      </c>
      <c r="C1360" t="s">
        <v>3713</v>
      </c>
      <c r="D1360">
        <v>6798</v>
      </c>
    </row>
    <row r="1361" spans="1:4">
      <c r="A1361" t="s">
        <v>3715</v>
      </c>
      <c r="B1361" t="s">
        <v>3716</v>
      </c>
      <c r="C1361" t="s">
        <v>3715</v>
      </c>
      <c r="D1361">
        <v>1311</v>
      </c>
    </row>
    <row r="1362" spans="1:4">
      <c r="A1362" t="s">
        <v>3717</v>
      </c>
      <c r="B1362" t="s">
        <v>3718</v>
      </c>
      <c r="C1362" t="s">
        <v>3717</v>
      </c>
      <c r="D1362">
        <v>1311</v>
      </c>
    </row>
    <row r="1363" spans="1:4">
      <c r="A1363" t="s">
        <v>3719</v>
      </c>
      <c r="B1363" t="s">
        <v>3720</v>
      </c>
      <c r="C1363" t="s">
        <v>3719</v>
      </c>
      <c r="D1363">
        <v>7320</v>
      </c>
    </row>
    <row r="1364" spans="1:4">
      <c r="A1364" t="s">
        <v>3721</v>
      </c>
      <c r="B1364" t="s">
        <v>3722</v>
      </c>
      <c r="C1364" t="s">
        <v>3721</v>
      </c>
      <c r="D1364">
        <v>6798</v>
      </c>
    </row>
    <row r="1365" spans="1:4">
      <c r="A1365" t="s">
        <v>3723</v>
      </c>
      <c r="B1365" t="s">
        <v>3724</v>
      </c>
      <c r="C1365" t="s">
        <v>3723</v>
      </c>
      <c r="D1365">
        <v>6411</v>
      </c>
    </row>
    <row r="1366" spans="1:4">
      <c r="A1366" t="s">
        <v>3725</v>
      </c>
      <c r="B1366" t="s">
        <v>3726</v>
      </c>
      <c r="C1366" t="s">
        <v>3725</v>
      </c>
      <c r="D1366">
        <v>4922</v>
      </c>
    </row>
    <row r="1367" spans="1:4">
      <c r="A1367" t="s">
        <v>3727</v>
      </c>
      <c r="B1367" t="s">
        <v>3728</v>
      </c>
      <c r="C1367" t="s">
        <v>3727</v>
      </c>
      <c r="D1367">
        <v>6022</v>
      </c>
    </row>
    <row r="1368" spans="1:4">
      <c r="A1368" t="s">
        <v>3729</v>
      </c>
      <c r="B1368" t="s">
        <v>3730</v>
      </c>
      <c r="C1368" t="s">
        <v>3729</v>
      </c>
      <c r="D1368">
        <v>6798</v>
      </c>
    </row>
    <row r="1369" spans="1:4">
      <c r="A1369" t="s">
        <v>3731</v>
      </c>
      <c r="B1369" t="s">
        <v>3732</v>
      </c>
      <c r="C1369" t="s">
        <v>3731</v>
      </c>
      <c r="D1369">
        <v>6798</v>
      </c>
    </row>
    <row r="1370" spans="1:4">
      <c r="A1370" t="s">
        <v>3733</v>
      </c>
      <c r="B1370" t="s">
        <v>3734</v>
      </c>
      <c r="C1370" t="s">
        <v>3733</v>
      </c>
      <c r="D1370">
        <v>6411</v>
      </c>
    </row>
    <row r="1371" spans="1:4">
      <c r="A1371" t="s">
        <v>3735</v>
      </c>
      <c r="B1371" t="s">
        <v>3736</v>
      </c>
      <c r="C1371" t="s">
        <v>3735</v>
      </c>
      <c r="D1371">
        <v>3949</v>
      </c>
    </row>
    <row r="1372" spans="1:4">
      <c r="A1372" t="s">
        <v>3737</v>
      </c>
      <c r="B1372" t="s">
        <v>3738</v>
      </c>
      <c r="C1372" t="s">
        <v>3737</v>
      </c>
      <c r="D1372">
        <v>3669</v>
      </c>
    </row>
    <row r="1373" spans="1:4">
      <c r="A1373" t="s">
        <v>3739</v>
      </c>
      <c r="B1373" t="s">
        <v>3740</v>
      </c>
      <c r="C1373" t="s">
        <v>3739</v>
      </c>
      <c r="D1373">
        <v>2834</v>
      </c>
    </row>
    <row r="1374" spans="1:4">
      <c r="A1374" t="s">
        <v>3741</v>
      </c>
      <c r="B1374" t="s">
        <v>3742</v>
      </c>
      <c r="C1374" t="s">
        <v>3741</v>
      </c>
      <c r="D1374">
        <v>3679</v>
      </c>
    </row>
    <row r="1375" spans="1:4">
      <c r="A1375" t="s">
        <v>3743</v>
      </c>
      <c r="B1375" t="s">
        <v>3744</v>
      </c>
      <c r="C1375" t="s">
        <v>3743</v>
      </c>
      <c r="D1375">
        <v>6029</v>
      </c>
    </row>
    <row r="1376" spans="1:4">
      <c r="A1376" t="s">
        <v>3745</v>
      </c>
      <c r="B1376" t="s">
        <v>3746</v>
      </c>
      <c r="C1376" t="s">
        <v>3745</v>
      </c>
      <c r="D1376">
        <v>6036</v>
      </c>
    </row>
    <row r="1377" spans="1:4">
      <c r="A1377" t="s">
        <v>3747</v>
      </c>
      <c r="B1377" t="s">
        <v>3748</v>
      </c>
      <c r="C1377" t="s">
        <v>3747</v>
      </c>
      <c r="D1377">
        <v>6351</v>
      </c>
    </row>
    <row r="1378" spans="1:4">
      <c r="A1378" t="s">
        <v>3749</v>
      </c>
      <c r="B1378" t="s">
        <v>3750</v>
      </c>
      <c r="C1378" t="s">
        <v>3749</v>
      </c>
      <c r="D1378">
        <v>6798</v>
      </c>
    </row>
    <row r="1379" spans="1:4">
      <c r="A1379" t="s">
        <v>3751</v>
      </c>
      <c r="B1379" t="s">
        <v>3752</v>
      </c>
      <c r="C1379" t="s">
        <v>3751</v>
      </c>
      <c r="D1379">
        <v>4941</v>
      </c>
    </row>
    <row r="1380" spans="1:4">
      <c r="A1380" t="s">
        <v>3753</v>
      </c>
      <c r="B1380" t="s">
        <v>3754</v>
      </c>
      <c r="C1380" t="s">
        <v>3753</v>
      </c>
      <c r="D1380">
        <v>6798</v>
      </c>
    </row>
    <row r="1381" spans="1:4">
      <c r="A1381" t="s">
        <v>3755</v>
      </c>
      <c r="B1381" t="s">
        <v>3756</v>
      </c>
      <c r="C1381" t="s">
        <v>3755</v>
      </c>
      <c r="D1381">
        <v>3842</v>
      </c>
    </row>
    <row r="1382" spans="1:4">
      <c r="A1382" t="s">
        <v>3757</v>
      </c>
      <c r="B1382" t="s">
        <v>3758</v>
      </c>
      <c r="C1382" t="s">
        <v>3757</v>
      </c>
      <c r="D1382">
        <v>2844</v>
      </c>
    </row>
    <row r="1383" spans="1:4">
      <c r="A1383" t="s">
        <v>3759</v>
      </c>
      <c r="B1383" t="s">
        <v>3760</v>
      </c>
      <c r="C1383" t="s">
        <v>3759</v>
      </c>
      <c r="D1383">
        <v>2511</v>
      </c>
    </row>
    <row r="1384" spans="1:4">
      <c r="A1384" t="s">
        <v>3761</v>
      </c>
      <c r="B1384" t="s">
        <v>3762</v>
      </c>
      <c r="C1384" t="s">
        <v>3761</v>
      </c>
      <c r="D1384">
        <v>2834</v>
      </c>
    </row>
    <row r="1385" spans="1:4">
      <c r="A1385" t="s">
        <v>3763</v>
      </c>
      <c r="B1385" t="s">
        <v>3764</v>
      </c>
      <c r="C1385" t="s">
        <v>3763</v>
      </c>
      <c r="D1385">
        <v>7389</v>
      </c>
    </row>
    <row r="1386" spans="1:4">
      <c r="A1386" t="s">
        <v>3765</v>
      </c>
      <c r="B1386" t="s">
        <v>3766</v>
      </c>
      <c r="C1386" t="s">
        <v>3765</v>
      </c>
      <c r="D1386">
        <v>6035</v>
      </c>
    </row>
    <row r="1387" spans="1:4">
      <c r="A1387" t="s">
        <v>3767</v>
      </c>
      <c r="B1387" t="s">
        <v>3768</v>
      </c>
      <c r="C1387" t="s">
        <v>3767</v>
      </c>
      <c r="D1387">
        <v>4400</v>
      </c>
    </row>
    <row r="1388" spans="1:4">
      <c r="A1388" t="s">
        <v>3769</v>
      </c>
      <c r="B1388" t="s">
        <v>3770</v>
      </c>
      <c r="C1388" t="s">
        <v>3769</v>
      </c>
      <c r="D1388">
        <v>6099</v>
      </c>
    </row>
    <row r="1389" spans="1:4">
      <c r="A1389" t="s">
        <v>3771</v>
      </c>
      <c r="B1389" t="s">
        <v>3772</v>
      </c>
      <c r="C1389" t="s">
        <v>3771</v>
      </c>
      <c r="D1389">
        <v>4412</v>
      </c>
    </row>
    <row r="1390" spans="1:4">
      <c r="A1390" t="s">
        <v>3773</v>
      </c>
      <c r="B1390" t="s">
        <v>3774</v>
      </c>
      <c r="C1390" t="s">
        <v>3773</v>
      </c>
      <c r="D1390">
        <v>6021</v>
      </c>
    </row>
    <row r="1391" spans="1:4">
      <c r="A1391" t="s">
        <v>3775</v>
      </c>
      <c r="B1391" t="s">
        <v>3776</v>
      </c>
      <c r="C1391" t="s">
        <v>3775</v>
      </c>
      <c r="D1391">
        <v>7370</v>
      </c>
    </row>
    <row r="1392" spans="1:4">
      <c r="A1392" t="s">
        <v>3777</v>
      </c>
      <c r="B1392" t="s">
        <v>3778</v>
      </c>
      <c r="C1392" t="s">
        <v>3777</v>
      </c>
      <c r="D1392">
        <v>2300</v>
      </c>
    </row>
    <row r="1393" spans="1:4">
      <c r="A1393" t="s">
        <v>3779</v>
      </c>
      <c r="B1393" t="s">
        <v>3780</v>
      </c>
      <c r="C1393" t="s">
        <v>3779</v>
      </c>
      <c r="D1393">
        <v>7372</v>
      </c>
    </row>
    <row r="1394" spans="1:4">
      <c r="A1394" t="s">
        <v>3781</v>
      </c>
      <c r="B1394" t="s">
        <v>3782</v>
      </c>
      <c r="C1394" t="s">
        <v>3781</v>
      </c>
      <c r="D1394">
        <v>7372</v>
      </c>
    </row>
    <row r="1395" spans="1:4">
      <c r="A1395" t="s">
        <v>3783</v>
      </c>
      <c r="B1395" t="s">
        <v>3784</v>
      </c>
      <c r="C1395" t="s">
        <v>3783</v>
      </c>
      <c r="D1395">
        <v>6282</v>
      </c>
    </row>
    <row r="1396" spans="1:4">
      <c r="A1396" t="s">
        <v>3785</v>
      </c>
      <c r="B1396" t="s">
        <v>3786</v>
      </c>
      <c r="C1396" t="s">
        <v>3785</v>
      </c>
      <c r="D1396">
        <v>6331</v>
      </c>
    </row>
    <row r="1397" spans="1:4">
      <c r="A1397" t="s">
        <v>3787</v>
      </c>
      <c r="B1397" t="s">
        <v>3788</v>
      </c>
      <c r="C1397" t="s">
        <v>3787</v>
      </c>
      <c r="D1397">
        <v>4931</v>
      </c>
    </row>
    <row r="1398" spans="1:4">
      <c r="A1398" t="s">
        <v>3789</v>
      </c>
      <c r="B1398" t="s">
        <v>3790</v>
      </c>
      <c r="C1398" t="s">
        <v>3789</v>
      </c>
      <c r="D1398">
        <v>7990</v>
      </c>
    </row>
    <row r="1399" spans="1:4">
      <c r="A1399" t="s">
        <v>3791</v>
      </c>
      <c r="B1399" t="s">
        <v>3792</v>
      </c>
      <c r="C1399" t="s">
        <v>3791</v>
      </c>
      <c r="D1399">
        <v>7370</v>
      </c>
    </row>
    <row r="1400" spans="1:4">
      <c r="A1400" t="s">
        <v>3793</v>
      </c>
      <c r="B1400" t="s">
        <v>3794</v>
      </c>
      <c r="C1400" t="s">
        <v>3793</v>
      </c>
      <c r="D1400">
        <v>4911</v>
      </c>
    </row>
    <row r="1401" spans="1:4">
      <c r="A1401" t="s">
        <v>3795</v>
      </c>
      <c r="B1401" t="s">
        <v>3796</v>
      </c>
      <c r="C1401" t="s">
        <v>3795</v>
      </c>
      <c r="D1401">
        <v>3674</v>
      </c>
    </row>
    <row r="1402" spans="1:4">
      <c r="A1402" t="s">
        <v>3797</v>
      </c>
      <c r="B1402" t="s">
        <v>3798</v>
      </c>
      <c r="C1402" t="s">
        <v>3797</v>
      </c>
      <c r="D1402">
        <v>7374</v>
      </c>
    </row>
    <row r="1403" spans="1:4">
      <c r="A1403" t="s">
        <v>3799</v>
      </c>
      <c r="B1403" t="s">
        <v>3800</v>
      </c>
      <c r="C1403" t="s">
        <v>3799</v>
      </c>
      <c r="D1403">
        <v>5990</v>
      </c>
    </row>
    <row r="1404" spans="1:4">
      <c r="A1404" t="s">
        <v>3801</v>
      </c>
      <c r="B1404" t="s">
        <v>3802</v>
      </c>
      <c r="C1404" t="s">
        <v>3801</v>
      </c>
      <c r="D1404">
        <v>7200</v>
      </c>
    </row>
    <row r="1405" spans="1:4">
      <c r="A1405" t="s">
        <v>3803</v>
      </c>
      <c r="B1405" t="s">
        <v>3804</v>
      </c>
      <c r="C1405" t="s">
        <v>3803</v>
      </c>
      <c r="D1405">
        <v>7389</v>
      </c>
    </row>
    <row r="1406" spans="1:4">
      <c r="A1406" t="s">
        <v>3805</v>
      </c>
      <c r="B1406" t="s">
        <v>3806</v>
      </c>
      <c r="C1406" t="s">
        <v>3805</v>
      </c>
      <c r="D1406">
        <v>5500</v>
      </c>
    </row>
    <row r="1407" spans="1:4">
      <c r="A1407" t="s">
        <v>3807</v>
      </c>
      <c r="B1407" t="s">
        <v>3808</v>
      </c>
      <c r="C1407" t="s">
        <v>3807</v>
      </c>
      <c r="D1407">
        <v>2834</v>
      </c>
    </row>
    <row r="1408" spans="1:4">
      <c r="A1408" t="s">
        <v>3809</v>
      </c>
      <c r="B1408" t="s">
        <v>3810</v>
      </c>
      <c r="C1408" t="s">
        <v>3809</v>
      </c>
      <c r="D1408">
        <v>8741</v>
      </c>
    </row>
    <row r="1409" spans="1:4">
      <c r="A1409" t="s">
        <v>3811</v>
      </c>
      <c r="B1409" t="s">
        <v>3812</v>
      </c>
      <c r="C1409" t="s">
        <v>3811</v>
      </c>
      <c r="D1409">
        <v>2834</v>
      </c>
    </row>
    <row r="1410" spans="1:4">
      <c r="A1410" t="s">
        <v>3813</v>
      </c>
      <c r="B1410" t="s">
        <v>3814</v>
      </c>
      <c r="C1410" t="s">
        <v>3813</v>
      </c>
      <c r="D1410">
        <v>1311</v>
      </c>
    </row>
    <row r="1411" spans="1:4">
      <c r="A1411" t="s">
        <v>3815</v>
      </c>
      <c r="B1411" t="s">
        <v>3816</v>
      </c>
      <c r="C1411" t="s">
        <v>3815</v>
      </c>
      <c r="D1411">
        <v>3577</v>
      </c>
    </row>
    <row r="1412" spans="1:4">
      <c r="A1412" t="s">
        <v>3817</v>
      </c>
      <c r="B1412" t="s">
        <v>3818</v>
      </c>
      <c r="C1412" t="s">
        <v>3817</v>
      </c>
      <c r="D1412">
        <v>1311</v>
      </c>
    </row>
    <row r="1413" spans="1:4">
      <c r="A1413" t="s">
        <v>3819</v>
      </c>
      <c r="B1413" t="s">
        <v>3820</v>
      </c>
      <c r="C1413" t="s">
        <v>3819</v>
      </c>
      <c r="D1413">
        <v>7371</v>
      </c>
    </row>
    <row r="1414" spans="1:4">
      <c r="A1414" t="s">
        <v>3821</v>
      </c>
      <c r="B1414" t="s">
        <v>3822</v>
      </c>
      <c r="C1414" t="s">
        <v>3821</v>
      </c>
      <c r="D1414">
        <v>3580</v>
      </c>
    </row>
    <row r="1415" spans="1:4">
      <c r="A1415" t="s">
        <v>3823</v>
      </c>
      <c r="B1415" t="s">
        <v>3824</v>
      </c>
      <c r="C1415" t="s">
        <v>3823</v>
      </c>
      <c r="D1415">
        <v>8071</v>
      </c>
    </row>
    <row r="1416" spans="1:4">
      <c r="A1416" t="s">
        <v>3825</v>
      </c>
      <c r="B1416" t="s">
        <v>3826</v>
      </c>
      <c r="C1416" t="s">
        <v>3825</v>
      </c>
      <c r="D1416">
        <v>8071</v>
      </c>
    </row>
    <row r="1417" spans="1:4">
      <c r="A1417" t="s">
        <v>3827</v>
      </c>
      <c r="B1417" t="s">
        <v>3828</v>
      </c>
      <c r="C1417" t="s">
        <v>3827</v>
      </c>
      <c r="D1417">
        <v>8200</v>
      </c>
    </row>
    <row r="1418" spans="1:4">
      <c r="A1418" t="s">
        <v>3829</v>
      </c>
      <c r="B1418" t="s">
        <v>3830</v>
      </c>
      <c r="C1418" t="s">
        <v>3829</v>
      </c>
      <c r="D1418">
        <v>7389</v>
      </c>
    </row>
    <row r="1419" spans="1:4">
      <c r="A1419" t="s">
        <v>3831</v>
      </c>
      <c r="B1419" t="s">
        <v>3832</v>
      </c>
      <c r="C1419" t="s">
        <v>3831</v>
      </c>
      <c r="D1419">
        <v>2836</v>
      </c>
    </row>
    <row r="1420" spans="1:4">
      <c r="A1420" t="s">
        <v>3833</v>
      </c>
      <c r="B1420" t="s">
        <v>3834</v>
      </c>
      <c r="C1420" t="s">
        <v>3833</v>
      </c>
      <c r="D1420">
        <v>4931</v>
      </c>
    </row>
    <row r="1421" spans="1:4">
      <c r="A1421" t="s">
        <v>3835</v>
      </c>
      <c r="B1421" t="s">
        <v>3836</v>
      </c>
      <c r="C1421" t="s">
        <v>3835</v>
      </c>
      <c r="D1421">
        <v>2834</v>
      </c>
    </row>
    <row r="1422" spans="1:4">
      <c r="A1422" t="s">
        <v>3837</v>
      </c>
      <c r="B1422" t="s">
        <v>3838</v>
      </c>
      <c r="C1422" t="s">
        <v>3837</v>
      </c>
      <c r="D1422">
        <v>7389</v>
      </c>
    </row>
    <row r="1423" spans="1:4">
      <c r="A1423" t="s">
        <v>3839</v>
      </c>
      <c r="B1423" t="s">
        <v>3840</v>
      </c>
      <c r="C1423" t="s">
        <v>3839</v>
      </c>
      <c r="D1423">
        <v>6531</v>
      </c>
    </row>
    <row r="1424" spans="1:4">
      <c r="A1424" t="s">
        <v>3841</v>
      </c>
      <c r="B1424" t="s">
        <v>3842</v>
      </c>
      <c r="C1424" t="s">
        <v>3841</v>
      </c>
      <c r="D1424">
        <v>4700</v>
      </c>
    </row>
    <row r="1425" spans="1:4">
      <c r="A1425" t="s">
        <v>3843</v>
      </c>
      <c r="B1425" t="s">
        <v>3844</v>
      </c>
      <c r="C1425" t="s">
        <v>3843</v>
      </c>
      <c r="D1425">
        <v>4731</v>
      </c>
    </row>
    <row r="1426" spans="1:4">
      <c r="A1426" t="s">
        <v>3845</v>
      </c>
      <c r="B1426" t="s">
        <v>3846</v>
      </c>
      <c r="C1426" t="s">
        <v>3845</v>
      </c>
      <c r="D1426">
        <v>7372</v>
      </c>
    </row>
    <row r="1427" spans="1:4">
      <c r="A1427" t="s">
        <v>3847</v>
      </c>
      <c r="B1427" t="s">
        <v>3848</v>
      </c>
      <c r="C1427" t="s">
        <v>3847</v>
      </c>
      <c r="D1427">
        <v>8742</v>
      </c>
    </row>
    <row r="1428" spans="1:4">
      <c r="A1428" t="s">
        <v>3849</v>
      </c>
      <c r="B1428" t="s">
        <v>3850</v>
      </c>
      <c r="C1428" t="s">
        <v>3849</v>
      </c>
      <c r="D1428">
        <v>5600</v>
      </c>
    </row>
    <row r="1429" spans="1:4">
      <c r="A1429" t="s">
        <v>3851</v>
      </c>
      <c r="B1429" t="s">
        <v>3852</v>
      </c>
      <c r="C1429" t="s">
        <v>3851</v>
      </c>
      <c r="D1429">
        <v>1389</v>
      </c>
    </row>
    <row r="1430" spans="1:4">
      <c r="A1430" t="s">
        <v>3853</v>
      </c>
      <c r="B1430" t="s">
        <v>3854</v>
      </c>
      <c r="C1430" t="s">
        <v>3853</v>
      </c>
      <c r="D1430">
        <v>7359</v>
      </c>
    </row>
    <row r="1431" spans="1:4">
      <c r="A1431" t="s">
        <v>3855</v>
      </c>
      <c r="B1431" t="s">
        <v>3856</v>
      </c>
      <c r="C1431" t="s">
        <v>3855</v>
      </c>
      <c r="D1431">
        <v>6798</v>
      </c>
    </row>
    <row r="1432" spans="1:4">
      <c r="A1432" t="s">
        <v>3857</v>
      </c>
      <c r="B1432" t="s">
        <v>3858</v>
      </c>
      <c r="C1432" t="s">
        <v>3857</v>
      </c>
      <c r="D1432">
        <v>3576</v>
      </c>
    </row>
    <row r="1433" spans="1:4">
      <c r="A1433" t="s">
        <v>3859</v>
      </c>
      <c r="B1433" t="s">
        <v>3860</v>
      </c>
      <c r="C1433" t="s">
        <v>3859</v>
      </c>
      <c r="D1433">
        <v>2911</v>
      </c>
    </row>
    <row r="1434" spans="1:4">
      <c r="A1434" t="s">
        <v>3861</v>
      </c>
      <c r="B1434" t="s">
        <v>3862</v>
      </c>
      <c r="C1434" t="s">
        <v>3861</v>
      </c>
      <c r="D1434">
        <v>2834</v>
      </c>
    </row>
    <row r="1435" spans="1:4">
      <c r="A1435" t="s">
        <v>3863</v>
      </c>
      <c r="B1435" t="s">
        <v>3864</v>
      </c>
      <c r="C1435" t="s">
        <v>3863</v>
      </c>
      <c r="D1435">
        <v>3826</v>
      </c>
    </row>
    <row r="1436" spans="1:4">
      <c r="A1436" t="s">
        <v>3865</v>
      </c>
      <c r="B1436" t="s">
        <v>3866</v>
      </c>
      <c r="C1436" t="s">
        <v>3865</v>
      </c>
      <c r="D1436">
        <v>5900</v>
      </c>
    </row>
    <row r="1437" spans="1:4">
      <c r="A1437" t="s">
        <v>3867</v>
      </c>
      <c r="B1437" t="s">
        <v>3868</v>
      </c>
      <c r="C1437" t="s">
        <v>3867</v>
      </c>
      <c r="D1437">
        <v>6022</v>
      </c>
    </row>
    <row r="1438" spans="1:4">
      <c r="A1438" t="s">
        <v>3869</v>
      </c>
      <c r="B1438" t="s">
        <v>3870</v>
      </c>
      <c r="C1438" t="s">
        <v>3869</v>
      </c>
      <c r="D1438">
        <v>2834</v>
      </c>
    </row>
    <row r="1439" spans="1:4">
      <c r="A1439" t="s">
        <v>3871</v>
      </c>
      <c r="B1439" t="s">
        <v>3872</v>
      </c>
      <c r="C1439" t="s">
        <v>3871</v>
      </c>
      <c r="D1439">
        <v>5040</v>
      </c>
    </row>
    <row r="1440" spans="1:4">
      <c r="A1440" t="s">
        <v>3873</v>
      </c>
      <c r="B1440" t="s">
        <v>3874</v>
      </c>
      <c r="C1440" t="s">
        <v>3873</v>
      </c>
      <c r="D1440">
        <v>3576</v>
      </c>
    </row>
    <row r="1441" spans="1:4">
      <c r="A1441" t="s">
        <v>3875</v>
      </c>
      <c r="B1441" t="s">
        <v>3876</v>
      </c>
      <c r="C1441" t="s">
        <v>3875</v>
      </c>
      <c r="D1441">
        <v>3661</v>
      </c>
    </row>
    <row r="1442" spans="1:4">
      <c r="A1442" t="s">
        <v>3877</v>
      </c>
      <c r="B1442" t="s">
        <v>3878</v>
      </c>
      <c r="C1442" t="s">
        <v>3877</v>
      </c>
      <c r="D1442">
        <v>7370</v>
      </c>
    </row>
    <row r="1443" spans="1:4">
      <c r="A1443" t="s">
        <v>3879</v>
      </c>
      <c r="B1443" t="s">
        <v>3880</v>
      </c>
      <c r="C1443" t="s">
        <v>3879</v>
      </c>
      <c r="D1443">
        <v>7389</v>
      </c>
    </row>
    <row r="1444" spans="1:4">
      <c r="A1444" t="s">
        <v>3881</v>
      </c>
      <c r="B1444" t="s">
        <v>3882</v>
      </c>
      <c r="C1444" t="s">
        <v>3881</v>
      </c>
      <c r="D1444">
        <v>6500</v>
      </c>
    </row>
    <row r="1445" spans="1:4">
      <c r="A1445" t="s">
        <v>3883</v>
      </c>
      <c r="B1445" t="s">
        <v>3884</v>
      </c>
      <c r="C1445" t="s">
        <v>3883</v>
      </c>
      <c r="D1445">
        <v>6411</v>
      </c>
    </row>
    <row r="1446" spans="1:4">
      <c r="A1446" t="s">
        <v>3885</v>
      </c>
      <c r="B1446" t="s">
        <v>3886</v>
      </c>
      <c r="C1446" t="s">
        <v>3885</v>
      </c>
      <c r="D1446">
        <v>2090</v>
      </c>
    </row>
    <row r="1447" spans="1:4">
      <c r="A1447" t="s">
        <v>3887</v>
      </c>
      <c r="B1447" t="s">
        <v>3888</v>
      </c>
      <c r="C1447" t="s">
        <v>3887</v>
      </c>
      <c r="D1447">
        <v>6021</v>
      </c>
    </row>
    <row r="1448" spans="1:4">
      <c r="A1448" t="s">
        <v>3889</v>
      </c>
      <c r="B1448" t="s">
        <v>3890</v>
      </c>
      <c r="C1448" t="s">
        <v>3889</v>
      </c>
      <c r="D1448">
        <v>6035</v>
      </c>
    </row>
    <row r="1449" spans="1:4">
      <c r="A1449" t="s">
        <v>3891</v>
      </c>
      <c r="B1449" t="s">
        <v>3892</v>
      </c>
      <c r="C1449" t="s">
        <v>3891</v>
      </c>
      <c r="D1449">
        <v>6036</v>
      </c>
    </row>
    <row r="1450" spans="1:4">
      <c r="A1450" t="s">
        <v>3893</v>
      </c>
      <c r="B1450" t="s">
        <v>3894</v>
      </c>
      <c r="C1450" t="s">
        <v>3893</v>
      </c>
      <c r="D1450">
        <v>6022</v>
      </c>
    </row>
    <row r="1451" spans="1:4">
      <c r="A1451" t="s">
        <v>3895</v>
      </c>
      <c r="B1451" t="s">
        <v>3896</v>
      </c>
      <c r="C1451" t="s">
        <v>3895</v>
      </c>
      <c r="D1451">
        <v>6798</v>
      </c>
    </row>
    <row r="1452" spans="1:4">
      <c r="A1452" t="s">
        <v>3897</v>
      </c>
      <c r="B1452" t="s">
        <v>3898</v>
      </c>
      <c r="C1452" t="s">
        <v>3897</v>
      </c>
      <c r="D1452">
        <v>2033</v>
      </c>
    </row>
    <row r="1453" spans="1:4">
      <c r="A1453" t="s">
        <v>3899</v>
      </c>
      <c r="B1453" t="s">
        <v>3900</v>
      </c>
      <c r="C1453" t="s">
        <v>3899</v>
      </c>
      <c r="D1453">
        <v>3829</v>
      </c>
    </row>
    <row r="1454" spans="1:4">
      <c r="A1454" t="s">
        <v>3901</v>
      </c>
      <c r="B1454" t="s">
        <v>3902</v>
      </c>
      <c r="C1454" t="s">
        <v>3901</v>
      </c>
      <c r="D1454">
        <v>5200</v>
      </c>
    </row>
    <row r="1455" spans="1:4">
      <c r="A1455" t="s">
        <v>3903</v>
      </c>
      <c r="B1455" t="s">
        <v>3904</v>
      </c>
      <c r="C1455" t="s">
        <v>3903</v>
      </c>
      <c r="D1455">
        <v>7372</v>
      </c>
    </row>
    <row r="1456" spans="1:4">
      <c r="A1456" t="s">
        <v>3905</v>
      </c>
      <c r="B1456" t="s">
        <v>3906</v>
      </c>
      <c r="C1456" t="s">
        <v>3905</v>
      </c>
      <c r="D1456">
        <v>5812</v>
      </c>
    </row>
    <row r="1457" spans="1:4">
      <c r="A1457" t="s">
        <v>3907</v>
      </c>
      <c r="B1457" t="s">
        <v>3908</v>
      </c>
      <c r="C1457" t="s">
        <v>3907</v>
      </c>
      <c r="D1457">
        <v>2836</v>
      </c>
    </row>
    <row r="1458" spans="1:4">
      <c r="A1458" t="s">
        <v>3909</v>
      </c>
      <c r="B1458" t="s">
        <v>3910</v>
      </c>
      <c r="C1458" t="s">
        <v>3909</v>
      </c>
      <c r="D1458">
        <v>3440</v>
      </c>
    </row>
    <row r="1459" spans="1:4">
      <c r="A1459" t="s">
        <v>3911</v>
      </c>
      <c r="B1459" t="s">
        <v>3912</v>
      </c>
      <c r="C1459" t="s">
        <v>3911</v>
      </c>
      <c r="D1459">
        <v>6531</v>
      </c>
    </row>
    <row r="1460" spans="1:4">
      <c r="A1460" t="s">
        <v>3913</v>
      </c>
      <c r="B1460" t="s">
        <v>3914</v>
      </c>
      <c r="C1460" t="s">
        <v>3913</v>
      </c>
      <c r="D1460">
        <v>6022</v>
      </c>
    </row>
    <row r="1461" spans="1:4">
      <c r="A1461" t="s">
        <v>3915</v>
      </c>
      <c r="B1461" t="s">
        <v>3916</v>
      </c>
      <c r="C1461" t="s">
        <v>3915</v>
      </c>
      <c r="D1461">
        <v>6111</v>
      </c>
    </row>
    <row r="1462" spans="1:4">
      <c r="A1462" t="s">
        <v>3917</v>
      </c>
      <c r="B1462" t="s">
        <v>3918</v>
      </c>
      <c r="C1462" t="s">
        <v>3917</v>
      </c>
      <c r="D1462">
        <v>6111</v>
      </c>
    </row>
    <row r="1463" spans="1:4">
      <c r="A1463" t="s">
        <v>3919</v>
      </c>
      <c r="B1463" t="s">
        <v>3920</v>
      </c>
      <c r="C1463" t="s">
        <v>3919</v>
      </c>
      <c r="D1463">
        <v>6111</v>
      </c>
    </row>
    <row r="1464" spans="1:4">
      <c r="A1464" t="s">
        <v>3921</v>
      </c>
      <c r="B1464" t="s">
        <v>3922</v>
      </c>
      <c r="C1464" t="s">
        <v>3921</v>
      </c>
      <c r="D1464">
        <v>6798</v>
      </c>
    </row>
    <row r="1465" spans="1:4">
      <c r="A1465" t="s">
        <v>3923</v>
      </c>
      <c r="B1465" t="s">
        <v>3924</v>
      </c>
      <c r="C1465" t="s">
        <v>3923</v>
      </c>
      <c r="D1465">
        <v>3711</v>
      </c>
    </row>
    <row r="1466" spans="1:4">
      <c r="A1466" t="s">
        <v>3925</v>
      </c>
      <c r="B1466" t="s">
        <v>3926</v>
      </c>
      <c r="C1466" t="s">
        <v>3925</v>
      </c>
      <c r="D1466">
        <v>6282</v>
      </c>
    </row>
    <row r="1467" spans="1:4">
      <c r="A1467" t="s">
        <v>3927</v>
      </c>
      <c r="B1467" t="s">
        <v>3928</v>
      </c>
      <c r="C1467" t="s">
        <v>3927</v>
      </c>
      <c r="D1467">
        <v>4513</v>
      </c>
    </row>
    <row r="1468" spans="1:4">
      <c r="A1468" t="s">
        <v>3929</v>
      </c>
      <c r="B1468" t="s">
        <v>3930</v>
      </c>
      <c r="C1468" t="s">
        <v>3929</v>
      </c>
      <c r="D1468">
        <v>5900</v>
      </c>
    </row>
    <row r="1469" spans="1:4">
      <c r="A1469" t="s">
        <v>3931</v>
      </c>
      <c r="B1469" t="s">
        <v>3932</v>
      </c>
      <c r="C1469" t="s">
        <v>3931</v>
      </c>
      <c r="D1469">
        <v>6035</v>
      </c>
    </row>
    <row r="1470" spans="1:4">
      <c r="A1470" t="s">
        <v>3933</v>
      </c>
      <c r="B1470" t="s">
        <v>3934</v>
      </c>
      <c r="C1470" t="s">
        <v>3933</v>
      </c>
      <c r="D1470">
        <v>2834</v>
      </c>
    </row>
    <row r="1471" spans="1:4">
      <c r="A1471" t="s">
        <v>3935</v>
      </c>
      <c r="B1471" t="s">
        <v>3936</v>
      </c>
      <c r="C1471" t="s">
        <v>3935</v>
      </c>
      <c r="D1471">
        <v>6021</v>
      </c>
    </row>
    <row r="1472" spans="1:4">
      <c r="A1472" t="s">
        <v>3937</v>
      </c>
      <c r="B1472" t="s">
        <v>3938</v>
      </c>
      <c r="C1472" t="s">
        <v>3937</v>
      </c>
      <c r="D1472">
        <v>6361</v>
      </c>
    </row>
    <row r="1473" spans="1:4">
      <c r="A1473" t="s">
        <v>3939</v>
      </c>
      <c r="B1473" t="s">
        <v>3940</v>
      </c>
      <c r="C1473" t="s">
        <v>3939</v>
      </c>
      <c r="D1473">
        <v>7389</v>
      </c>
    </row>
    <row r="1474" spans="1:4">
      <c r="A1474" t="s">
        <v>3941</v>
      </c>
      <c r="B1474" t="s">
        <v>3942</v>
      </c>
      <c r="C1474" t="s">
        <v>3941</v>
      </c>
      <c r="D1474">
        <v>5812</v>
      </c>
    </row>
    <row r="1475" spans="1:4">
      <c r="A1475" t="s">
        <v>3943</v>
      </c>
      <c r="B1475" t="s">
        <v>3944</v>
      </c>
      <c r="C1475" t="s">
        <v>3943</v>
      </c>
      <c r="D1475">
        <v>6022</v>
      </c>
    </row>
    <row r="1476" spans="1:4">
      <c r="A1476" t="s">
        <v>3945</v>
      </c>
      <c r="B1476" t="s">
        <v>3946</v>
      </c>
      <c r="C1476" t="s">
        <v>3945</v>
      </c>
      <c r="D1476">
        <v>2300</v>
      </c>
    </row>
    <row r="1477" spans="1:4">
      <c r="A1477" t="s">
        <v>3947</v>
      </c>
      <c r="B1477" t="s">
        <v>3948</v>
      </c>
      <c r="C1477" t="s">
        <v>3947</v>
      </c>
      <c r="D1477">
        <v>6021</v>
      </c>
    </row>
    <row r="1478" spans="1:4">
      <c r="A1478" t="s">
        <v>3949</v>
      </c>
      <c r="B1478" t="s">
        <v>3950</v>
      </c>
      <c r="C1478" t="s">
        <v>3949</v>
      </c>
      <c r="D1478">
        <v>2836</v>
      </c>
    </row>
    <row r="1479" spans="1:4">
      <c r="A1479" t="s">
        <v>3951</v>
      </c>
      <c r="B1479" t="s">
        <v>3952</v>
      </c>
      <c r="C1479" t="s">
        <v>3951</v>
      </c>
      <c r="D1479">
        <v>6035</v>
      </c>
    </row>
    <row r="1480" spans="1:4">
      <c r="A1480" t="s">
        <v>3953</v>
      </c>
      <c r="B1480" t="s">
        <v>3954</v>
      </c>
      <c r="C1480" t="s">
        <v>3953</v>
      </c>
      <c r="D1480">
        <v>7389</v>
      </c>
    </row>
    <row r="1481" spans="1:4">
      <c r="A1481" t="s">
        <v>3955</v>
      </c>
      <c r="B1481" t="s">
        <v>3956</v>
      </c>
      <c r="C1481" t="s">
        <v>3955</v>
      </c>
      <c r="D1481">
        <v>6361</v>
      </c>
    </row>
    <row r="1482" spans="1:4">
      <c r="A1482" t="s">
        <v>3957</v>
      </c>
      <c r="B1482" t="s">
        <v>3958</v>
      </c>
      <c r="C1482" t="s">
        <v>3957</v>
      </c>
      <c r="D1482">
        <v>6022</v>
      </c>
    </row>
    <row r="1483" spans="1:4">
      <c r="A1483" t="s">
        <v>3959</v>
      </c>
      <c r="B1483" t="s">
        <v>3960</v>
      </c>
      <c r="C1483" t="s">
        <v>3959</v>
      </c>
      <c r="D1483">
        <v>6022</v>
      </c>
    </row>
    <row r="1484" spans="1:4">
      <c r="A1484" t="s">
        <v>3961</v>
      </c>
      <c r="B1484" t="s">
        <v>3962</v>
      </c>
      <c r="C1484" t="s">
        <v>3961</v>
      </c>
      <c r="D1484">
        <v>6021</v>
      </c>
    </row>
    <row r="1485" spans="1:4">
      <c r="A1485" t="s">
        <v>3963</v>
      </c>
      <c r="B1485" t="s">
        <v>3964</v>
      </c>
      <c r="C1485" t="s">
        <v>3963</v>
      </c>
      <c r="D1485">
        <v>6021</v>
      </c>
    </row>
    <row r="1486" spans="1:4">
      <c r="A1486" t="s">
        <v>3965</v>
      </c>
      <c r="B1486" t="s">
        <v>3966</v>
      </c>
      <c r="C1486" t="s">
        <v>3965</v>
      </c>
      <c r="D1486">
        <v>6022</v>
      </c>
    </row>
    <row r="1487" spans="1:4">
      <c r="A1487" t="s">
        <v>3967</v>
      </c>
      <c r="B1487" t="s">
        <v>3968</v>
      </c>
      <c r="C1487" t="s">
        <v>3967</v>
      </c>
      <c r="D1487">
        <v>6022</v>
      </c>
    </row>
    <row r="1488" spans="1:4">
      <c r="A1488" t="s">
        <v>3969</v>
      </c>
      <c r="B1488" t="s">
        <v>3970</v>
      </c>
      <c r="C1488" t="s">
        <v>3969</v>
      </c>
      <c r="D1488">
        <v>6035</v>
      </c>
    </row>
    <row r="1489" spans="1:4">
      <c r="A1489" t="s">
        <v>3971</v>
      </c>
      <c r="B1489" t="s">
        <v>3972</v>
      </c>
      <c r="C1489" t="s">
        <v>3971</v>
      </c>
      <c r="D1489">
        <v>6022</v>
      </c>
    </row>
    <row r="1490" spans="1:4">
      <c r="A1490" t="s">
        <v>3973</v>
      </c>
      <c r="B1490" t="s">
        <v>3974</v>
      </c>
      <c r="C1490" t="s">
        <v>3973</v>
      </c>
      <c r="D1490">
        <v>6021</v>
      </c>
    </row>
    <row r="1491" spans="1:4">
      <c r="A1491" t="s">
        <v>3975</v>
      </c>
      <c r="B1491" t="s">
        <v>3976</v>
      </c>
      <c r="C1491" t="s">
        <v>3975</v>
      </c>
      <c r="D1491">
        <v>6022</v>
      </c>
    </row>
    <row r="1492" spans="1:4">
      <c r="A1492" t="s">
        <v>3977</v>
      </c>
      <c r="B1492" t="s">
        <v>3978</v>
      </c>
      <c r="C1492" t="s">
        <v>3977</v>
      </c>
      <c r="D1492">
        <v>6022</v>
      </c>
    </row>
    <row r="1493" spans="1:4">
      <c r="A1493" t="s">
        <v>3979</v>
      </c>
      <c r="B1493" t="s">
        <v>3980</v>
      </c>
      <c r="C1493" t="s">
        <v>3979</v>
      </c>
      <c r="D1493">
        <v>6021</v>
      </c>
    </row>
    <row r="1494" spans="1:4">
      <c r="A1494" t="s">
        <v>3981</v>
      </c>
      <c r="B1494" t="s">
        <v>3982</v>
      </c>
      <c r="C1494" t="s">
        <v>3981</v>
      </c>
      <c r="D1494">
        <v>6022</v>
      </c>
    </row>
    <row r="1495" spans="1:4">
      <c r="A1495" t="s">
        <v>3983</v>
      </c>
      <c r="B1495" t="s">
        <v>3984</v>
      </c>
      <c r="C1495" t="s">
        <v>3983</v>
      </c>
      <c r="D1495">
        <v>6022</v>
      </c>
    </row>
    <row r="1496" spans="1:4">
      <c r="A1496" t="s">
        <v>3985</v>
      </c>
      <c r="B1496" t="s">
        <v>3986</v>
      </c>
      <c r="C1496" t="s">
        <v>3985</v>
      </c>
      <c r="D1496">
        <v>6022</v>
      </c>
    </row>
    <row r="1497" spans="1:4">
      <c r="A1497" t="s">
        <v>3987</v>
      </c>
      <c r="B1497" t="s">
        <v>3988</v>
      </c>
      <c r="C1497" t="s">
        <v>3987</v>
      </c>
      <c r="D1497">
        <v>6022</v>
      </c>
    </row>
    <row r="1498" spans="1:4">
      <c r="A1498" t="s">
        <v>3989</v>
      </c>
      <c r="B1498" t="s">
        <v>3990</v>
      </c>
      <c r="C1498" t="s">
        <v>3989</v>
      </c>
      <c r="D1498">
        <v>6035</v>
      </c>
    </row>
    <row r="1499" spans="1:4">
      <c r="A1499" t="s">
        <v>3991</v>
      </c>
      <c r="B1499" t="s">
        <v>3992</v>
      </c>
      <c r="C1499" t="s">
        <v>3991</v>
      </c>
      <c r="D1499">
        <v>6022</v>
      </c>
    </row>
    <row r="1500" spans="1:4">
      <c r="A1500" t="s">
        <v>3993</v>
      </c>
      <c r="B1500" t="s">
        <v>3994</v>
      </c>
      <c r="C1500" t="s">
        <v>3993</v>
      </c>
      <c r="D1500">
        <v>6021</v>
      </c>
    </row>
    <row r="1501" spans="1:4">
      <c r="A1501" t="s">
        <v>3995</v>
      </c>
      <c r="B1501" t="s">
        <v>3996</v>
      </c>
      <c r="C1501" t="s">
        <v>3995</v>
      </c>
      <c r="D1501">
        <v>6798</v>
      </c>
    </row>
    <row r="1502" spans="1:4">
      <c r="A1502" t="s">
        <v>3997</v>
      </c>
      <c r="B1502" t="s">
        <v>3998</v>
      </c>
      <c r="C1502" t="s">
        <v>3997</v>
      </c>
      <c r="D1502">
        <v>6022</v>
      </c>
    </row>
    <row r="1503" spans="1:4">
      <c r="A1503" t="s">
        <v>3999</v>
      </c>
      <c r="B1503" t="s">
        <v>4000</v>
      </c>
      <c r="C1503" t="s">
        <v>3999</v>
      </c>
      <c r="D1503">
        <v>6022</v>
      </c>
    </row>
    <row r="1504" spans="1:4">
      <c r="A1504" t="s">
        <v>4001</v>
      </c>
      <c r="B1504" t="s">
        <v>4002</v>
      </c>
      <c r="C1504" t="s">
        <v>4001</v>
      </c>
      <c r="D1504">
        <v>6022</v>
      </c>
    </row>
    <row r="1505" spans="1:4">
      <c r="A1505" t="s">
        <v>4003</v>
      </c>
      <c r="B1505" t="s">
        <v>4004</v>
      </c>
      <c r="C1505" t="s">
        <v>4003</v>
      </c>
      <c r="D1505">
        <v>6021</v>
      </c>
    </row>
    <row r="1506" spans="1:4">
      <c r="A1506" t="s">
        <v>4005</v>
      </c>
      <c r="B1506" t="s">
        <v>4006</v>
      </c>
      <c r="C1506" t="s">
        <v>4005</v>
      </c>
      <c r="D1506">
        <v>6022</v>
      </c>
    </row>
    <row r="1507" spans="1:4">
      <c r="A1507" t="s">
        <v>4007</v>
      </c>
      <c r="B1507" t="s">
        <v>4008</v>
      </c>
      <c r="C1507" t="s">
        <v>4007</v>
      </c>
      <c r="D1507">
        <v>6022</v>
      </c>
    </row>
    <row r="1508" spans="1:4">
      <c r="A1508" t="s">
        <v>4009</v>
      </c>
      <c r="B1508" t="s">
        <v>4010</v>
      </c>
      <c r="C1508" t="s">
        <v>4009</v>
      </c>
      <c r="D1508">
        <v>6035</v>
      </c>
    </row>
    <row r="1509" spans="1:4">
      <c r="A1509" t="s">
        <v>4011</v>
      </c>
      <c r="B1509" t="s">
        <v>4012</v>
      </c>
      <c r="C1509" t="s">
        <v>4011</v>
      </c>
      <c r="D1509">
        <v>6036</v>
      </c>
    </row>
    <row r="1510" spans="1:4">
      <c r="A1510" t="s">
        <v>4013</v>
      </c>
      <c r="B1510" t="s">
        <v>4014</v>
      </c>
      <c r="C1510" t="s">
        <v>4013</v>
      </c>
      <c r="D1510">
        <v>6021</v>
      </c>
    </row>
    <row r="1511" spans="1:4">
      <c r="A1511" t="s">
        <v>4015</v>
      </c>
      <c r="B1511" t="s">
        <v>4016</v>
      </c>
      <c r="C1511" t="s">
        <v>4015</v>
      </c>
      <c r="D1511">
        <v>6798</v>
      </c>
    </row>
    <row r="1512" spans="1:4">
      <c r="A1512" t="s">
        <v>4017</v>
      </c>
      <c r="B1512" t="s">
        <v>4018</v>
      </c>
      <c r="C1512" t="s">
        <v>4017</v>
      </c>
      <c r="D1512">
        <v>6035</v>
      </c>
    </row>
    <row r="1513" spans="1:4">
      <c r="A1513" t="s">
        <v>4019</v>
      </c>
      <c r="B1513" t="s">
        <v>4020</v>
      </c>
      <c r="C1513" t="s">
        <v>4019</v>
      </c>
      <c r="D1513">
        <v>6035</v>
      </c>
    </row>
    <row r="1514" spans="1:4">
      <c r="A1514" t="s">
        <v>4021</v>
      </c>
      <c r="B1514" t="s">
        <v>4022</v>
      </c>
      <c r="C1514" t="s">
        <v>4021</v>
      </c>
      <c r="D1514">
        <v>3674</v>
      </c>
    </row>
    <row r="1515" spans="1:4">
      <c r="A1515" t="s">
        <v>4023</v>
      </c>
      <c r="B1515" t="s">
        <v>4024</v>
      </c>
      <c r="C1515" t="s">
        <v>4023</v>
      </c>
      <c r="D1515">
        <v>6021</v>
      </c>
    </row>
    <row r="1516" spans="1:4">
      <c r="A1516" t="s">
        <v>4025</v>
      </c>
      <c r="B1516" t="s">
        <v>4026</v>
      </c>
      <c r="C1516" t="s">
        <v>4025</v>
      </c>
      <c r="D1516">
        <v>6022</v>
      </c>
    </row>
    <row r="1517" spans="1:4">
      <c r="A1517" t="s">
        <v>4027</v>
      </c>
      <c r="B1517" t="s">
        <v>4028</v>
      </c>
      <c r="C1517" t="s">
        <v>4027</v>
      </c>
      <c r="D1517">
        <v>5812</v>
      </c>
    </row>
    <row r="1518" spans="1:4">
      <c r="A1518" t="s">
        <v>4029</v>
      </c>
      <c r="B1518" t="s">
        <v>4030</v>
      </c>
      <c r="C1518" t="s">
        <v>4029</v>
      </c>
      <c r="D1518">
        <v>6022</v>
      </c>
    </row>
    <row r="1519" spans="1:4">
      <c r="A1519" t="s">
        <v>4031</v>
      </c>
      <c r="B1519" t="s">
        <v>4032</v>
      </c>
      <c r="C1519" t="s">
        <v>4031</v>
      </c>
      <c r="D1519">
        <v>5900</v>
      </c>
    </row>
    <row r="1520" spans="1:4">
      <c r="A1520" t="s">
        <v>4033</v>
      </c>
      <c r="B1520" t="s">
        <v>4034</v>
      </c>
      <c r="C1520" t="s">
        <v>4033</v>
      </c>
      <c r="D1520">
        <v>4911</v>
      </c>
    </row>
    <row r="1521" spans="1:4">
      <c r="A1521" t="s">
        <v>4035</v>
      </c>
      <c r="B1521" t="s">
        <v>4036</v>
      </c>
      <c r="C1521" t="s">
        <v>4035</v>
      </c>
      <c r="D1521">
        <v>6500</v>
      </c>
    </row>
    <row r="1522" spans="1:4">
      <c r="A1522" t="s">
        <v>4037</v>
      </c>
      <c r="B1522" t="s">
        <v>4038</v>
      </c>
      <c r="C1522" t="s">
        <v>4037</v>
      </c>
      <c r="D1522">
        <v>7389</v>
      </c>
    </row>
    <row r="1523" spans="1:4">
      <c r="A1523" t="s">
        <v>4039</v>
      </c>
      <c r="B1523" t="s">
        <v>4040</v>
      </c>
      <c r="C1523" t="s">
        <v>4039</v>
      </c>
      <c r="D1523">
        <v>5331</v>
      </c>
    </row>
    <row r="1524" spans="1:4">
      <c r="A1524" t="s">
        <v>4041</v>
      </c>
      <c r="B1524" t="s">
        <v>4042</v>
      </c>
      <c r="C1524" t="s">
        <v>4041</v>
      </c>
      <c r="D1524">
        <v>6500</v>
      </c>
    </row>
    <row r="1525" spans="1:4">
      <c r="A1525" t="s">
        <v>4043</v>
      </c>
      <c r="B1525" t="s">
        <v>4044</v>
      </c>
      <c r="C1525" t="s">
        <v>4043</v>
      </c>
      <c r="D1525">
        <v>6022</v>
      </c>
    </row>
    <row r="1526" spans="1:4">
      <c r="A1526" t="s">
        <v>4045</v>
      </c>
      <c r="B1526" t="s">
        <v>4046</v>
      </c>
      <c r="C1526" t="s">
        <v>4045</v>
      </c>
      <c r="D1526">
        <v>7374</v>
      </c>
    </row>
    <row r="1527" spans="1:4">
      <c r="A1527" t="s">
        <v>4047</v>
      </c>
      <c r="B1527" t="s">
        <v>4048</v>
      </c>
      <c r="C1527" t="s">
        <v>4047</v>
      </c>
      <c r="D1527">
        <v>7389</v>
      </c>
    </row>
    <row r="1528" spans="1:4">
      <c r="A1528" t="s">
        <v>4049</v>
      </c>
      <c r="B1528" t="s">
        <v>4050</v>
      </c>
      <c r="C1528" t="s">
        <v>4049</v>
      </c>
      <c r="D1528">
        <v>6035</v>
      </c>
    </row>
    <row r="1529" spans="1:4">
      <c r="A1529" t="s">
        <v>4051</v>
      </c>
      <c r="B1529" t="s">
        <v>4052</v>
      </c>
      <c r="C1529" t="s">
        <v>4051</v>
      </c>
      <c r="D1529">
        <v>5812</v>
      </c>
    </row>
    <row r="1530" spans="1:4">
      <c r="A1530" t="s">
        <v>4053</v>
      </c>
      <c r="B1530" t="s">
        <v>4054</v>
      </c>
      <c r="C1530" t="s">
        <v>4053</v>
      </c>
      <c r="D1530">
        <v>7389</v>
      </c>
    </row>
    <row r="1531" spans="1:4">
      <c r="A1531" t="s">
        <v>4055</v>
      </c>
      <c r="B1531" t="s">
        <v>4056</v>
      </c>
      <c r="C1531" t="s">
        <v>4055</v>
      </c>
      <c r="D1531">
        <v>4400</v>
      </c>
    </row>
    <row r="1532" spans="1:4">
      <c r="A1532" t="s">
        <v>4057</v>
      </c>
      <c r="B1532" t="s">
        <v>4058</v>
      </c>
      <c r="C1532" t="s">
        <v>4057</v>
      </c>
      <c r="D1532">
        <v>3672</v>
      </c>
    </row>
    <row r="1533" spans="1:4">
      <c r="A1533" t="s">
        <v>4059</v>
      </c>
      <c r="B1533" t="s">
        <v>4060</v>
      </c>
      <c r="C1533" t="s">
        <v>4059</v>
      </c>
      <c r="D1533">
        <v>2890</v>
      </c>
    </row>
    <row r="1534" spans="1:4">
      <c r="A1534" t="s">
        <v>4061</v>
      </c>
      <c r="B1534" t="s">
        <v>4062</v>
      </c>
      <c r="C1534" t="s">
        <v>4061</v>
      </c>
      <c r="D1534">
        <v>7359</v>
      </c>
    </row>
    <row r="1535" spans="1:4">
      <c r="A1535" t="s">
        <v>4063</v>
      </c>
      <c r="B1535" t="s">
        <v>4064</v>
      </c>
      <c r="C1535" t="s">
        <v>4063</v>
      </c>
      <c r="D1535">
        <v>2510</v>
      </c>
    </row>
    <row r="1536" spans="1:4">
      <c r="A1536" t="s">
        <v>4065</v>
      </c>
      <c r="B1536" t="s">
        <v>4066</v>
      </c>
      <c r="C1536" t="s">
        <v>4065</v>
      </c>
      <c r="D1536">
        <v>5211</v>
      </c>
    </row>
    <row r="1537" spans="1:4">
      <c r="A1537" t="s">
        <v>4067</v>
      </c>
      <c r="B1537" t="s">
        <v>4068</v>
      </c>
      <c r="C1537" t="s">
        <v>4067</v>
      </c>
      <c r="D1537">
        <v>2890</v>
      </c>
    </row>
    <row r="1538" spans="1:4">
      <c r="A1538" t="s">
        <v>4069</v>
      </c>
      <c r="B1538" t="s">
        <v>4070</v>
      </c>
      <c r="C1538" t="s">
        <v>4069</v>
      </c>
      <c r="D1538">
        <v>2000</v>
      </c>
    </row>
    <row r="1539" spans="1:4">
      <c r="A1539" t="s">
        <v>4071</v>
      </c>
      <c r="B1539" t="s">
        <v>4072</v>
      </c>
      <c r="C1539" t="s">
        <v>4071</v>
      </c>
      <c r="D1539">
        <v>3561</v>
      </c>
    </row>
    <row r="1540" spans="1:4">
      <c r="A1540" t="s">
        <v>4073</v>
      </c>
      <c r="B1540" t="s">
        <v>4074</v>
      </c>
      <c r="C1540" t="s">
        <v>4073</v>
      </c>
      <c r="D1540">
        <v>7310</v>
      </c>
    </row>
    <row r="1541" spans="1:4">
      <c r="A1541" t="s">
        <v>4075</v>
      </c>
      <c r="B1541" t="s">
        <v>4076</v>
      </c>
      <c r="C1541" t="s">
        <v>4075</v>
      </c>
      <c r="D1541">
        <v>1600</v>
      </c>
    </row>
    <row r="1542" spans="1:4">
      <c r="A1542" t="s">
        <v>4077</v>
      </c>
      <c r="B1542" t="s">
        <v>4078</v>
      </c>
      <c r="C1542" t="s">
        <v>4077</v>
      </c>
      <c r="D1542">
        <v>6022</v>
      </c>
    </row>
    <row r="1543" spans="1:4">
      <c r="A1543" t="s">
        <v>4079</v>
      </c>
      <c r="B1543" t="s">
        <v>4080</v>
      </c>
      <c r="C1543" t="s">
        <v>4079</v>
      </c>
      <c r="D1543">
        <v>3690</v>
      </c>
    </row>
    <row r="1544" spans="1:4">
      <c r="A1544" t="s">
        <v>4081</v>
      </c>
      <c r="B1544" t="s">
        <v>4082</v>
      </c>
      <c r="C1544" t="s">
        <v>4081</v>
      </c>
      <c r="D1544">
        <v>7389</v>
      </c>
    </row>
    <row r="1545" spans="1:4">
      <c r="A1545" t="s">
        <v>4083</v>
      </c>
      <c r="B1545" t="s">
        <v>4084</v>
      </c>
      <c r="C1545" t="s">
        <v>4083</v>
      </c>
      <c r="D1545">
        <v>2800</v>
      </c>
    </row>
    <row r="1546" spans="1:4">
      <c r="A1546" t="s">
        <v>4085</v>
      </c>
      <c r="B1546" t="s">
        <v>4086</v>
      </c>
      <c r="C1546" t="s">
        <v>4085</v>
      </c>
      <c r="D1546">
        <v>6021</v>
      </c>
    </row>
    <row r="1547" spans="1:4">
      <c r="A1547" t="s">
        <v>4087</v>
      </c>
      <c r="B1547" t="s">
        <v>4088</v>
      </c>
      <c r="C1547" t="s">
        <v>4087</v>
      </c>
      <c r="D1547">
        <v>6021</v>
      </c>
    </row>
    <row r="1548" spans="1:4">
      <c r="A1548" t="s">
        <v>4089</v>
      </c>
      <c r="B1548" t="s">
        <v>4090</v>
      </c>
      <c r="C1548" t="s">
        <v>4089</v>
      </c>
      <c r="D1548">
        <v>6282</v>
      </c>
    </row>
    <row r="1549" spans="1:4">
      <c r="A1549" t="s">
        <v>4091</v>
      </c>
      <c r="B1549" t="s">
        <v>4092</v>
      </c>
      <c r="C1549" t="s">
        <v>4091</v>
      </c>
      <c r="D1549">
        <v>2834</v>
      </c>
    </row>
    <row r="1550" spans="1:4">
      <c r="A1550" t="s">
        <v>4093</v>
      </c>
      <c r="B1550" t="s">
        <v>4094</v>
      </c>
      <c r="C1550" t="s">
        <v>4093</v>
      </c>
      <c r="D1550">
        <v>3845</v>
      </c>
    </row>
    <row r="1551" spans="1:4">
      <c r="A1551" t="s">
        <v>4095</v>
      </c>
      <c r="B1551" t="s">
        <v>4096</v>
      </c>
      <c r="C1551" t="s">
        <v>4095</v>
      </c>
      <c r="D1551">
        <v>5661</v>
      </c>
    </row>
    <row r="1552" spans="1:4">
      <c r="A1552" t="s">
        <v>4097</v>
      </c>
      <c r="B1552" t="s">
        <v>4098</v>
      </c>
      <c r="C1552" t="s">
        <v>4097</v>
      </c>
      <c r="D1552">
        <v>3711</v>
      </c>
    </row>
    <row r="1553" spans="1:4">
      <c r="A1553" t="s">
        <v>4099</v>
      </c>
      <c r="B1553" t="s">
        <v>4100</v>
      </c>
      <c r="C1553" t="s">
        <v>4099</v>
      </c>
      <c r="D1553">
        <v>6500</v>
      </c>
    </row>
    <row r="1554" spans="1:4">
      <c r="A1554" t="s">
        <v>4101</v>
      </c>
      <c r="B1554" t="s">
        <v>4102</v>
      </c>
      <c r="C1554" t="s">
        <v>4101</v>
      </c>
      <c r="D1554">
        <v>7372</v>
      </c>
    </row>
    <row r="1555" spans="1:4">
      <c r="A1555" t="s">
        <v>4103</v>
      </c>
      <c r="B1555" t="s">
        <v>4104</v>
      </c>
      <c r="C1555" t="s">
        <v>4103</v>
      </c>
      <c r="D1555">
        <v>7374</v>
      </c>
    </row>
    <row r="1556" spans="1:4">
      <c r="A1556" t="s">
        <v>4105</v>
      </c>
      <c r="B1556" t="s">
        <v>4106</v>
      </c>
      <c r="C1556" t="s">
        <v>4105</v>
      </c>
      <c r="D1556">
        <v>3674</v>
      </c>
    </row>
    <row r="1557" spans="1:4">
      <c r="A1557" t="s">
        <v>4107</v>
      </c>
      <c r="B1557" t="s">
        <v>4108</v>
      </c>
      <c r="C1557" t="s">
        <v>4107</v>
      </c>
      <c r="D1557">
        <v>8700</v>
      </c>
    </row>
    <row r="1558" spans="1:4">
      <c r="A1558" t="s">
        <v>4109</v>
      </c>
      <c r="B1558" t="s">
        <v>4110</v>
      </c>
      <c r="C1558" t="s">
        <v>4109</v>
      </c>
      <c r="D1558">
        <v>3577</v>
      </c>
    </row>
    <row r="1559" spans="1:4">
      <c r="A1559" t="s">
        <v>4111</v>
      </c>
      <c r="B1559" t="s">
        <v>4112</v>
      </c>
      <c r="C1559" t="s">
        <v>4111</v>
      </c>
      <c r="D1559">
        <v>1040</v>
      </c>
    </row>
    <row r="1560" spans="1:4">
      <c r="A1560" t="s">
        <v>4113</v>
      </c>
      <c r="B1560" t="s">
        <v>4114</v>
      </c>
      <c r="C1560" t="s">
        <v>4113</v>
      </c>
      <c r="D1560">
        <v>3823</v>
      </c>
    </row>
    <row r="1561" spans="1:4">
      <c r="A1561" t="s">
        <v>4115</v>
      </c>
      <c r="B1561" t="s">
        <v>4116</v>
      </c>
      <c r="C1561" t="s">
        <v>4115</v>
      </c>
      <c r="D1561">
        <v>2834</v>
      </c>
    </row>
    <row r="1562" spans="1:4">
      <c r="A1562" t="s">
        <v>4117</v>
      </c>
      <c r="B1562" t="s">
        <v>4118</v>
      </c>
      <c r="C1562" t="s">
        <v>4117</v>
      </c>
      <c r="D1562">
        <v>7350</v>
      </c>
    </row>
    <row r="1563" spans="1:4">
      <c r="A1563" t="s">
        <v>4119</v>
      </c>
      <c r="B1563" t="s">
        <v>4120</v>
      </c>
      <c r="C1563" t="s">
        <v>4119</v>
      </c>
      <c r="D1563">
        <v>2430</v>
      </c>
    </row>
    <row r="1564" spans="1:4">
      <c r="A1564" t="s">
        <v>4121</v>
      </c>
      <c r="B1564" t="s">
        <v>4122</v>
      </c>
      <c r="C1564" t="s">
        <v>4121</v>
      </c>
      <c r="D1564">
        <v>3533</v>
      </c>
    </row>
    <row r="1565" spans="1:4">
      <c r="A1565" t="s">
        <v>4123</v>
      </c>
      <c r="B1565" t="s">
        <v>4124</v>
      </c>
      <c r="C1565" t="s">
        <v>4123</v>
      </c>
      <c r="D1565">
        <v>4731</v>
      </c>
    </row>
    <row r="1566" spans="1:4">
      <c r="A1566" t="s">
        <v>4125</v>
      </c>
      <c r="B1566" t="s">
        <v>4126</v>
      </c>
      <c r="C1566" t="s">
        <v>4125</v>
      </c>
      <c r="D1566">
        <v>3089</v>
      </c>
    </row>
    <row r="1567" spans="1:4">
      <c r="A1567" t="s">
        <v>4127</v>
      </c>
      <c r="B1567" t="s">
        <v>4128</v>
      </c>
      <c r="C1567" t="s">
        <v>4127</v>
      </c>
      <c r="D1567">
        <v>3873</v>
      </c>
    </row>
    <row r="1568" spans="1:4">
      <c r="A1568" t="s">
        <v>4129</v>
      </c>
      <c r="B1568" t="s">
        <v>4130</v>
      </c>
      <c r="C1568" t="s">
        <v>4129</v>
      </c>
      <c r="D1568">
        <v>5051</v>
      </c>
    </row>
    <row r="1569" spans="1:4">
      <c r="A1569" t="s">
        <v>4131</v>
      </c>
      <c r="B1569" t="s">
        <v>4132</v>
      </c>
      <c r="C1569" t="s">
        <v>4131</v>
      </c>
      <c r="D1569">
        <v>6798</v>
      </c>
    </row>
    <row r="1570" spans="1:4">
      <c r="A1570" t="s">
        <v>4133</v>
      </c>
      <c r="B1570" t="s">
        <v>4134</v>
      </c>
      <c r="C1570" t="s">
        <v>4133</v>
      </c>
      <c r="D1570">
        <v>8200</v>
      </c>
    </row>
    <row r="1571" spans="1:4">
      <c r="A1571" t="s">
        <v>4135</v>
      </c>
      <c r="B1571" t="s">
        <v>4136</v>
      </c>
      <c r="C1571" t="s">
        <v>4135</v>
      </c>
      <c r="D1571">
        <v>4833</v>
      </c>
    </row>
    <row r="1572" spans="1:4">
      <c r="A1572" t="s">
        <v>4137</v>
      </c>
      <c r="B1572" t="s">
        <v>4138</v>
      </c>
      <c r="C1572" t="s">
        <v>4137</v>
      </c>
      <c r="D1572">
        <v>3751</v>
      </c>
    </row>
    <row r="1573" spans="1:4">
      <c r="A1573" t="s">
        <v>4139</v>
      </c>
      <c r="B1573" t="s">
        <v>4140</v>
      </c>
      <c r="C1573" t="s">
        <v>4139</v>
      </c>
      <c r="D1573">
        <v>6794</v>
      </c>
    </row>
    <row r="1574" spans="1:4">
      <c r="A1574" t="s">
        <v>4141</v>
      </c>
      <c r="B1574" t="s">
        <v>4142</v>
      </c>
      <c r="C1574" t="s">
        <v>4141</v>
      </c>
      <c r="D1574">
        <v>6798</v>
      </c>
    </row>
    <row r="1575" spans="1:4">
      <c r="A1575" t="s">
        <v>4143</v>
      </c>
      <c r="B1575" t="s">
        <v>4144</v>
      </c>
      <c r="C1575" t="s">
        <v>4143</v>
      </c>
      <c r="D1575">
        <v>8741</v>
      </c>
    </row>
    <row r="1576" spans="1:4">
      <c r="A1576" t="s">
        <v>4145</v>
      </c>
      <c r="B1576" t="s">
        <v>4146</v>
      </c>
      <c r="C1576" t="s">
        <v>4145</v>
      </c>
      <c r="D1576">
        <v>3621</v>
      </c>
    </row>
    <row r="1577" spans="1:4">
      <c r="A1577" t="s">
        <v>4147</v>
      </c>
      <c r="B1577" t="s">
        <v>4148</v>
      </c>
      <c r="C1577" t="s">
        <v>4147</v>
      </c>
      <c r="D1577">
        <v>6022</v>
      </c>
    </row>
    <row r="1578" spans="1:4">
      <c r="A1578" t="s">
        <v>4149</v>
      </c>
      <c r="B1578" t="s">
        <v>4150</v>
      </c>
      <c r="C1578" t="s">
        <v>4149</v>
      </c>
      <c r="D1578">
        <v>6282</v>
      </c>
    </row>
    <row r="1579" spans="1:4">
      <c r="A1579" t="s">
        <v>4151</v>
      </c>
      <c r="B1579" t="s">
        <v>4152</v>
      </c>
      <c r="C1579" t="s">
        <v>4151</v>
      </c>
      <c r="D1579">
        <v>6798</v>
      </c>
    </row>
    <row r="1580" spans="1:4">
      <c r="A1580" t="s">
        <v>4153</v>
      </c>
      <c r="B1580" t="s">
        <v>4154</v>
      </c>
      <c r="C1580" t="s">
        <v>4153</v>
      </c>
      <c r="D1580">
        <v>3661</v>
      </c>
    </row>
    <row r="1581" spans="1:4">
      <c r="A1581" t="s">
        <v>4155</v>
      </c>
      <c r="B1581" t="s">
        <v>4156</v>
      </c>
      <c r="C1581" t="s">
        <v>4155</v>
      </c>
      <c r="D1581">
        <v>6211</v>
      </c>
    </row>
    <row r="1582" spans="1:4">
      <c r="A1582" t="s">
        <v>4157</v>
      </c>
      <c r="B1582" t="s">
        <v>4158</v>
      </c>
      <c r="C1582" t="s">
        <v>4157</v>
      </c>
      <c r="D1582">
        <v>1000</v>
      </c>
    </row>
    <row r="1583" spans="1:4">
      <c r="A1583" t="s">
        <v>4159</v>
      </c>
      <c r="B1583" t="s">
        <v>4160</v>
      </c>
      <c r="C1583" t="s">
        <v>4159</v>
      </c>
      <c r="D1583">
        <v>3743</v>
      </c>
    </row>
    <row r="1584" spans="1:4">
      <c r="A1584" t="s">
        <v>4161</v>
      </c>
      <c r="B1584" t="s">
        <v>4162</v>
      </c>
      <c r="C1584" t="s">
        <v>4161</v>
      </c>
      <c r="D1584">
        <v>3825</v>
      </c>
    </row>
    <row r="1585" spans="1:4">
      <c r="A1585" t="s">
        <v>4163</v>
      </c>
      <c r="B1585" t="s">
        <v>4164</v>
      </c>
      <c r="C1585" t="s">
        <v>4163</v>
      </c>
      <c r="D1585">
        <v>2834</v>
      </c>
    </row>
    <row r="1586" spans="1:4">
      <c r="A1586" t="s">
        <v>4165</v>
      </c>
      <c r="B1586" t="s">
        <v>4166</v>
      </c>
      <c r="C1586" t="s">
        <v>4165</v>
      </c>
      <c r="D1586">
        <v>100</v>
      </c>
    </row>
    <row r="1587" spans="1:4">
      <c r="A1587" t="s">
        <v>4167</v>
      </c>
      <c r="B1587" t="s">
        <v>4168</v>
      </c>
      <c r="C1587" t="s">
        <v>4167</v>
      </c>
      <c r="D1587">
        <v>2040</v>
      </c>
    </row>
    <row r="1588" spans="1:4">
      <c r="A1588" t="s">
        <v>4169</v>
      </c>
      <c r="B1588" t="s">
        <v>4170</v>
      </c>
      <c r="C1588" t="s">
        <v>4169</v>
      </c>
      <c r="D1588">
        <v>7372</v>
      </c>
    </row>
    <row r="1589" spans="1:4">
      <c r="A1589" t="s">
        <v>4171</v>
      </c>
      <c r="B1589" t="s">
        <v>4172</v>
      </c>
      <c r="C1589" t="s">
        <v>4171</v>
      </c>
      <c r="D1589">
        <v>3310</v>
      </c>
    </row>
    <row r="1590" spans="1:4">
      <c r="A1590" t="s">
        <v>4173</v>
      </c>
      <c r="B1590" t="s">
        <v>4174</v>
      </c>
      <c r="C1590" t="s">
        <v>4173</v>
      </c>
      <c r="D1590">
        <v>7340</v>
      </c>
    </row>
    <row r="1591" spans="1:4">
      <c r="A1591" t="s">
        <v>4175</v>
      </c>
      <c r="B1591" t="s">
        <v>4176</v>
      </c>
      <c r="C1591" t="s">
        <v>4175</v>
      </c>
      <c r="D1591">
        <v>4813</v>
      </c>
    </row>
    <row r="1592" spans="1:4">
      <c r="A1592" t="s">
        <v>4177</v>
      </c>
      <c r="B1592" t="s">
        <v>4178</v>
      </c>
      <c r="C1592" t="s">
        <v>4177</v>
      </c>
      <c r="D1592">
        <v>4512</v>
      </c>
    </row>
    <row r="1593" spans="1:4">
      <c r="A1593" t="s">
        <v>4179</v>
      </c>
      <c r="B1593" t="s">
        <v>4180</v>
      </c>
      <c r="C1593" t="s">
        <v>4179</v>
      </c>
      <c r="D1593">
        <v>4412</v>
      </c>
    </row>
    <row r="1594" spans="1:4">
      <c r="A1594" t="s">
        <v>4181</v>
      </c>
      <c r="B1594" t="s">
        <v>4182</v>
      </c>
      <c r="C1594" t="s">
        <v>4181</v>
      </c>
      <c r="D1594">
        <v>6500</v>
      </c>
    </row>
    <row r="1595" spans="1:4">
      <c r="A1595" t="s">
        <v>4183</v>
      </c>
      <c r="B1595" t="s">
        <v>4184</v>
      </c>
      <c r="C1595" t="s">
        <v>4183</v>
      </c>
      <c r="D1595">
        <v>6036</v>
      </c>
    </row>
    <row r="1596" spans="1:4">
      <c r="A1596" t="s">
        <v>4185</v>
      </c>
      <c r="B1596" t="s">
        <v>4186</v>
      </c>
      <c r="C1596" t="s">
        <v>4185</v>
      </c>
      <c r="D1596">
        <v>3674</v>
      </c>
    </row>
    <row r="1597" spans="1:4">
      <c r="A1597" t="s">
        <v>4187</v>
      </c>
      <c r="B1597" t="s">
        <v>4188</v>
      </c>
      <c r="C1597" t="s">
        <v>4187</v>
      </c>
      <c r="D1597">
        <v>8742</v>
      </c>
    </row>
    <row r="1598" spans="1:4">
      <c r="A1598" t="s">
        <v>4189</v>
      </c>
      <c r="B1598" t="s">
        <v>4190</v>
      </c>
      <c r="C1598" t="s">
        <v>4189</v>
      </c>
      <c r="D1598">
        <v>7812</v>
      </c>
    </row>
    <row r="1599" spans="1:4">
      <c r="A1599" t="s">
        <v>4191</v>
      </c>
      <c r="B1599" t="s">
        <v>4192</v>
      </c>
      <c r="C1599" t="s">
        <v>4191</v>
      </c>
      <c r="D1599">
        <v>3564</v>
      </c>
    </row>
    <row r="1600" spans="1:4">
      <c r="A1600" t="s">
        <v>4193</v>
      </c>
      <c r="B1600" t="s">
        <v>4194</v>
      </c>
      <c r="C1600" t="s">
        <v>4193</v>
      </c>
      <c r="D1600">
        <v>3620</v>
      </c>
    </row>
    <row r="1601" spans="1:4">
      <c r="A1601" t="s">
        <v>4195</v>
      </c>
      <c r="B1601" t="s">
        <v>4196</v>
      </c>
      <c r="C1601" t="s">
        <v>4195</v>
      </c>
      <c r="D1601">
        <v>2834</v>
      </c>
    </row>
    <row r="1602" spans="1:4">
      <c r="A1602" t="s">
        <v>4197</v>
      </c>
      <c r="B1602" t="s">
        <v>4198</v>
      </c>
      <c r="C1602" t="s">
        <v>4197</v>
      </c>
      <c r="D1602">
        <v>8071</v>
      </c>
    </row>
    <row r="1603" spans="1:4">
      <c r="A1603" t="s">
        <v>4199</v>
      </c>
      <c r="B1603" t="s">
        <v>4200</v>
      </c>
      <c r="C1603" t="s">
        <v>4199</v>
      </c>
      <c r="D1603">
        <v>7011</v>
      </c>
    </row>
    <row r="1604" spans="1:4">
      <c r="A1604" t="s">
        <v>4201</v>
      </c>
      <c r="B1604" t="s">
        <v>4202</v>
      </c>
      <c r="C1604" t="s">
        <v>4201</v>
      </c>
      <c r="D1604">
        <v>2891</v>
      </c>
    </row>
    <row r="1605" spans="1:4">
      <c r="A1605" t="s">
        <v>4203</v>
      </c>
      <c r="B1605" t="s">
        <v>4204</v>
      </c>
      <c r="C1605" t="s">
        <v>4203</v>
      </c>
      <c r="D1605">
        <v>6021</v>
      </c>
    </row>
    <row r="1606" spans="1:4">
      <c r="A1606" t="s">
        <v>4205</v>
      </c>
      <c r="B1606" t="s">
        <v>4206</v>
      </c>
      <c r="C1606" t="s">
        <v>4205</v>
      </c>
      <c r="D1606">
        <v>3944</v>
      </c>
    </row>
    <row r="1607" spans="1:4">
      <c r="A1607" t="s">
        <v>4207</v>
      </c>
      <c r="B1607" t="s">
        <v>4208</v>
      </c>
      <c r="C1607" t="s">
        <v>4207</v>
      </c>
      <c r="D1607">
        <v>5047</v>
      </c>
    </row>
    <row r="1608" spans="1:4">
      <c r="A1608" t="s">
        <v>4209</v>
      </c>
      <c r="B1608" t="s">
        <v>4210</v>
      </c>
      <c r="C1608" t="s">
        <v>4209</v>
      </c>
      <c r="D1608">
        <v>2836</v>
      </c>
    </row>
    <row r="1609" spans="1:4">
      <c r="A1609" t="s">
        <v>4211</v>
      </c>
      <c r="B1609" t="s">
        <v>4212</v>
      </c>
      <c r="C1609" t="s">
        <v>4211</v>
      </c>
      <c r="D1609">
        <v>6211</v>
      </c>
    </row>
    <row r="1610" spans="1:4">
      <c r="A1610" t="s">
        <v>4213</v>
      </c>
      <c r="B1610" t="s">
        <v>4214</v>
      </c>
      <c r="C1610" t="s">
        <v>4213</v>
      </c>
      <c r="D1610">
        <v>7389</v>
      </c>
    </row>
    <row r="1611" spans="1:4">
      <c r="A1611" t="s">
        <v>4215</v>
      </c>
      <c r="B1611" t="s">
        <v>4216</v>
      </c>
      <c r="C1611" t="s">
        <v>4215</v>
      </c>
      <c r="D1611">
        <v>2860</v>
      </c>
    </row>
    <row r="1612" spans="1:4">
      <c r="A1612" t="s">
        <v>4217</v>
      </c>
      <c r="B1612" t="s">
        <v>4218</v>
      </c>
      <c r="C1612" t="s">
        <v>4217</v>
      </c>
      <c r="D1612">
        <v>3081</v>
      </c>
    </row>
    <row r="1613" spans="1:4">
      <c r="A1613" t="s">
        <v>4219</v>
      </c>
      <c r="B1613" t="s">
        <v>4220</v>
      </c>
      <c r="C1613" t="s">
        <v>4219</v>
      </c>
      <c r="D1613">
        <v>6022</v>
      </c>
    </row>
    <row r="1614" spans="1:4">
      <c r="A1614" t="s">
        <v>4221</v>
      </c>
      <c r="B1614" t="s">
        <v>4222</v>
      </c>
      <c r="C1614" t="s">
        <v>4221</v>
      </c>
      <c r="D1614">
        <v>2300</v>
      </c>
    </row>
    <row r="1615" spans="1:4">
      <c r="A1615" t="s">
        <v>4223</v>
      </c>
      <c r="B1615" t="s">
        <v>4224</v>
      </c>
      <c r="C1615" t="s">
        <v>4223</v>
      </c>
      <c r="D1615">
        <v>2834</v>
      </c>
    </row>
    <row r="1616" spans="1:4">
      <c r="A1616" t="s">
        <v>4225</v>
      </c>
      <c r="B1616" t="s">
        <v>4226</v>
      </c>
      <c r="C1616" t="s">
        <v>4225</v>
      </c>
      <c r="D1616">
        <v>7812</v>
      </c>
    </row>
    <row r="1617" spans="1:4">
      <c r="A1617" t="s">
        <v>4227</v>
      </c>
      <c r="B1617" t="s">
        <v>4228</v>
      </c>
      <c r="C1617" t="s">
        <v>4227</v>
      </c>
      <c r="D1617">
        <v>7900</v>
      </c>
    </row>
    <row r="1618" spans="1:4">
      <c r="A1618" t="s">
        <v>4229</v>
      </c>
      <c r="B1618" t="s">
        <v>4230</v>
      </c>
      <c r="C1618" t="s">
        <v>4229</v>
      </c>
      <c r="D1618">
        <v>6211</v>
      </c>
    </row>
    <row r="1619" spans="1:4">
      <c r="A1619" t="s">
        <v>4231</v>
      </c>
      <c r="B1619" t="s">
        <v>4232</v>
      </c>
      <c r="C1619" t="s">
        <v>4231</v>
      </c>
      <c r="D1619">
        <v>5734</v>
      </c>
    </row>
    <row r="1620" spans="1:4">
      <c r="A1620" t="s">
        <v>4233</v>
      </c>
      <c r="B1620" t="s">
        <v>4234</v>
      </c>
      <c r="C1620" t="s">
        <v>4233</v>
      </c>
      <c r="D1620">
        <v>6798</v>
      </c>
    </row>
    <row r="1621" spans="1:4">
      <c r="A1621" t="s">
        <v>4235</v>
      </c>
      <c r="B1621" t="s">
        <v>4236</v>
      </c>
      <c r="C1621" t="s">
        <v>4235</v>
      </c>
      <c r="D1621">
        <v>7370</v>
      </c>
    </row>
    <row r="1622" spans="1:4">
      <c r="A1622" t="s">
        <v>4237</v>
      </c>
      <c r="B1622" t="s">
        <v>4238</v>
      </c>
      <c r="C1622" t="s">
        <v>4237</v>
      </c>
      <c r="D1622">
        <v>2711</v>
      </c>
    </row>
    <row r="1623" spans="1:4">
      <c r="A1623" t="s">
        <v>4239</v>
      </c>
      <c r="B1623" t="s">
        <v>4240</v>
      </c>
      <c r="C1623" t="s">
        <v>4239</v>
      </c>
      <c r="D1623">
        <v>8200</v>
      </c>
    </row>
    <row r="1624" spans="1:4">
      <c r="A1624" t="s">
        <v>4241</v>
      </c>
      <c r="B1624" t="s">
        <v>4242</v>
      </c>
      <c r="C1624" t="s">
        <v>4241</v>
      </c>
      <c r="D1624">
        <v>5651</v>
      </c>
    </row>
    <row r="1625" spans="1:4">
      <c r="A1625" t="s">
        <v>4243</v>
      </c>
      <c r="B1625" t="s">
        <v>4244</v>
      </c>
      <c r="C1625" t="s">
        <v>4243</v>
      </c>
      <c r="D1625">
        <v>3812</v>
      </c>
    </row>
    <row r="1626" spans="1:4">
      <c r="A1626" t="s">
        <v>4245</v>
      </c>
      <c r="B1626" t="s">
        <v>4246</v>
      </c>
      <c r="C1626" t="s">
        <v>4245</v>
      </c>
      <c r="D1626">
        <v>3714</v>
      </c>
    </row>
    <row r="1627" spans="1:4">
      <c r="A1627" t="s">
        <v>4247</v>
      </c>
      <c r="B1627" t="s">
        <v>4248</v>
      </c>
      <c r="C1627" t="s">
        <v>4247</v>
      </c>
      <c r="D1627">
        <v>8741</v>
      </c>
    </row>
    <row r="1628" spans="1:4">
      <c r="A1628" t="s">
        <v>4249</v>
      </c>
      <c r="B1628" t="s">
        <v>4250</v>
      </c>
      <c r="C1628" t="s">
        <v>4249</v>
      </c>
      <c r="D1628">
        <v>3560</v>
      </c>
    </row>
    <row r="1629" spans="1:4">
      <c r="A1629" t="s">
        <v>4251</v>
      </c>
      <c r="B1629" t="s">
        <v>4252</v>
      </c>
      <c r="C1629" t="s">
        <v>4251</v>
      </c>
      <c r="D1629">
        <v>4700</v>
      </c>
    </row>
    <row r="1630" spans="1:4">
      <c r="A1630" t="s">
        <v>4253</v>
      </c>
      <c r="B1630" t="s">
        <v>4254</v>
      </c>
      <c r="C1630" t="s">
        <v>4253</v>
      </c>
      <c r="D1630">
        <v>6282</v>
      </c>
    </row>
    <row r="1631" spans="1:4">
      <c r="A1631" t="s">
        <v>4255</v>
      </c>
      <c r="B1631" t="s">
        <v>4256</v>
      </c>
      <c r="C1631" t="s">
        <v>4255</v>
      </c>
      <c r="D1631">
        <v>2800</v>
      </c>
    </row>
    <row r="1632" spans="1:4">
      <c r="A1632" t="s">
        <v>4257</v>
      </c>
      <c r="B1632" t="s">
        <v>4258</v>
      </c>
      <c r="C1632" t="s">
        <v>4257</v>
      </c>
      <c r="D1632">
        <v>7361</v>
      </c>
    </row>
    <row r="1633" spans="1:4">
      <c r="A1633" t="s">
        <v>4259</v>
      </c>
      <c r="B1633" t="s">
        <v>4260</v>
      </c>
      <c r="C1633" t="s">
        <v>4259</v>
      </c>
      <c r="D1633">
        <v>3651</v>
      </c>
    </row>
    <row r="1634" spans="1:4">
      <c r="A1634" t="s">
        <v>4261</v>
      </c>
      <c r="B1634" t="s">
        <v>4262</v>
      </c>
      <c r="C1634" t="s">
        <v>4261</v>
      </c>
      <c r="D1634">
        <v>4412</v>
      </c>
    </row>
    <row r="1635" spans="1:4">
      <c r="A1635" t="s">
        <v>4263</v>
      </c>
      <c r="B1635" t="s">
        <v>4264</v>
      </c>
      <c r="C1635" t="s">
        <v>4263</v>
      </c>
      <c r="D1635">
        <v>3531</v>
      </c>
    </row>
    <row r="1636" spans="1:4">
      <c r="A1636" t="s">
        <v>4265</v>
      </c>
      <c r="B1636" t="s">
        <v>4266</v>
      </c>
      <c r="C1636" t="s">
        <v>4265</v>
      </c>
      <c r="D1636">
        <v>3621</v>
      </c>
    </row>
    <row r="1637" spans="1:4">
      <c r="A1637" t="s">
        <v>4267</v>
      </c>
      <c r="B1637" t="s">
        <v>4268</v>
      </c>
      <c r="C1637" t="s">
        <v>4267</v>
      </c>
      <c r="D1637">
        <v>3730</v>
      </c>
    </row>
    <row r="1638" spans="1:4">
      <c r="A1638" t="s">
        <v>4269</v>
      </c>
      <c r="B1638" t="s">
        <v>4270</v>
      </c>
      <c r="C1638" t="s">
        <v>4269</v>
      </c>
      <c r="D1638">
        <v>3600</v>
      </c>
    </row>
    <row r="1639" spans="1:4">
      <c r="A1639" t="s">
        <v>4271</v>
      </c>
      <c r="B1639" t="s">
        <v>4272</v>
      </c>
      <c r="C1639" t="s">
        <v>4271</v>
      </c>
      <c r="D1639">
        <v>2040</v>
      </c>
    </row>
    <row r="1640" spans="1:4">
      <c r="A1640" t="s">
        <v>4273</v>
      </c>
      <c r="B1640" t="s">
        <v>4274</v>
      </c>
      <c r="C1640" t="s">
        <v>4273</v>
      </c>
      <c r="D1640">
        <v>3711</v>
      </c>
    </row>
    <row r="1641" spans="1:4">
      <c r="A1641" t="s">
        <v>4275</v>
      </c>
      <c r="B1641" t="s">
        <v>4276</v>
      </c>
      <c r="C1641" t="s">
        <v>4275</v>
      </c>
      <c r="D1641">
        <v>6798</v>
      </c>
    </row>
    <row r="1642" spans="1:4">
      <c r="A1642" t="s">
        <v>4277</v>
      </c>
      <c r="B1642" t="s">
        <v>4278</v>
      </c>
      <c r="C1642" t="s">
        <v>4277</v>
      </c>
      <c r="D1642">
        <v>6035</v>
      </c>
    </row>
    <row r="1643" spans="1:4">
      <c r="A1643" t="s">
        <v>4279</v>
      </c>
      <c r="B1643" t="s">
        <v>4280</v>
      </c>
      <c r="C1643" t="s">
        <v>4279</v>
      </c>
      <c r="D1643">
        <v>5661</v>
      </c>
    </row>
    <row r="1644" spans="1:4">
      <c r="A1644" t="s">
        <v>4281</v>
      </c>
      <c r="B1644" t="s">
        <v>4282</v>
      </c>
      <c r="C1644" t="s">
        <v>4281</v>
      </c>
      <c r="D1644">
        <v>4610</v>
      </c>
    </row>
    <row r="1645" spans="1:4">
      <c r="A1645" t="s">
        <v>4283</v>
      </c>
      <c r="B1645" t="s">
        <v>4284</v>
      </c>
      <c r="C1645" t="s">
        <v>4283</v>
      </c>
      <c r="D1645">
        <v>4931</v>
      </c>
    </row>
    <row r="1646" spans="1:4">
      <c r="A1646" t="s">
        <v>4285</v>
      </c>
      <c r="B1646" t="s">
        <v>4286</v>
      </c>
      <c r="C1646" t="s">
        <v>4285</v>
      </c>
      <c r="D1646">
        <v>7812</v>
      </c>
    </row>
    <row r="1647" spans="1:4">
      <c r="A1647" t="s">
        <v>4287</v>
      </c>
      <c r="B1647" t="s">
        <v>4288</v>
      </c>
      <c r="C1647" t="s">
        <v>4287</v>
      </c>
      <c r="D1647">
        <v>7990</v>
      </c>
    </row>
    <row r="1648" spans="1:4">
      <c r="A1648" t="s">
        <v>4289</v>
      </c>
      <c r="B1648" t="s">
        <v>4290</v>
      </c>
      <c r="C1648" t="s">
        <v>4289</v>
      </c>
      <c r="D1648">
        <v>8742</v>
      </c>
    </row>
    <row r="1649" spans="1:4">
      <c r="A1649" t="s">
        <v>4291</v>
      </c>
      <c r="B1649" t="s">
        <v>4292</v>
      </c>
      <c r="C1649" t="s">
        <v>4291</v>
      </c>
      <c r="D1649">
        <v>3714</v>
      </c>
    </row>
    <row r="1650" spans="1:4">
      <c r="A1650" t="s">
        <v>4293</v>
      </c>
      <c r="B1650" t="s">
        <v>4294</v>
      </c>
      <c r="C1650" t="s">
        <v>4293</v>
      </c>
      <c r="D1650">
        <v>3714</v>
      </c>
    </row>
    <row r="1651" spans="1:4">
      <c r="A1651" t="s">
        <v>4295</v>
      </c>
      <c r="B1651" t="s">
        <v>4296</v>
      </c>
      <c r="C1651" t="s">
        <v>4295</v>
      </c>
      <c r="D1651">
        <v>5013</v>
      </c>
    </row>
    <row r="1652" spans="1:4">
      <c r="A1652" t="s">
        <v>4297</v>
      </c>
      <c r="B1652" t="s">
        <v>4298</v>
      </c>
      <c r="C1652" t="s">
        <v>4297</v>
      </c>
      <c r="D1652">
        <v>6311</v>
      </c>
    </row>
    <row r="1653" spans="1:4">
      <c r="A1653" t="s">
        <v>4299</v>
      </c>
      <c r="B1653" t="s">
        <v>4300</v>
      </c>
      <c r="C1653" t="s">
        <v>4299</v>
      </c>
      <c r="D1653">
        <v>6798</v>
      </c>
    </row>
    <row r="1654" spans="1:4">
      <c r="A1654" t="s">
        <v>4301</v>
      </c>
      <c r="B1654" t="s">
        <v>4302</v>
      </c>
      <c r="C1654" t="s">
        <v>4301</v>
      </c>
      <c r="D1654">
        <v>3669</v>
      </c>
    </row>
    <row r="1655" spans="1:4">
      <c r="A1655" t="s">
        <v>4303</v>
      </c>
      <c r="B1655" t="s">
        <v>4304</v>
      </c>
      <c r="C1655" t="s">
        <v>4303</v>
      </c>
      <c r="D1655">
        <v>3829</v>
      </c>
    </row>
    <row r="1656" spans="1:4">
      <c r="A1656" t="s">
        <v>4305</v>
      </c>
      <c r="B1656" t="s">
        <v>4306</v>
      </c>
      <c r="C1656" t="s">
        <v>4305</v>
      </c>
      <c r="D1656">
        <v>2834</v>
      </c>
    </row>
    <row r="1657" spans="1:4">
      <c r="A1657" t="s">
        <v>4307</v>
      </c>
      <c r="B1657" t="s">
        <v>4308</v>
      </c>
      <c r="C1657" t="s">
        <v>4307</v>
      </c>
      <c r="D1657">
        <v>6500</v>
      </c>
    </row>
    <row r="1658" spans="1:4">
      <c r="A1658" t="s">
        <v>4309</v>
      </c>
      <c r="B1658" t="s">
        <v>4310</v>
      </c>
      <c r="C1658" t="s">
        <v>4309</v>
      </c>
      <c r="D1658">
        <v>2860</v>
      </c>
    </row>
    <row r="1659" spans="1:4">
      <c r="A1659" t="s">
        <v>4311</v>
      </c>
      <c r="B1659" t="s">
        <v>4312</v>
      </c>
      <c r="C1659" t="s">
        <v>4311</v>
      </c>
      <c r="D1659">
        <v>3310</v>
      </c>
    </row>
    <row r="1660" spans="1:4">
      <c r="A1660" t="s">
        <v>4313</v>
      </c>
      <c r="B1660" t="s">
        <v>4314</v>
      </c>
      <c r="C1660" t="s">
        <v>4313</v>
      </c>
      <c r="D1660">
        <v>7370</v>
      </c>
    </row>
    <row r="1661" spans="1:4">
      <c r="A1661" t="s">
        <v>4315</v>
      </c>
      <c r="B1661" t="s">
        <v>4316</v>
      </c>
      <c r="C1661" t="s">
        <v>4315</v>
      </c>
      <c r="D1661">
        <v>3663</v>
      </c>
    </row>
    <row r="1662" spans="1:4">
      <c r="A1662" t="s">
        <v>4317</v>
      </c>
      <c r="B1662" t="s">
        <v>4318</v>
      </c>
      <c r="C1662" t="s">
        <v>4317</v>
      </c>
      <c r="D1662">
        <v>2836</v>
      </c>
    </row>
    <row r="1663" spans="1:4">
      <c r="A1663" t="s">
        <v>4319</v>
      </c>
      <c r="B1663" t="s">
        <v>4320</v>
      </c>
      <c r="C1663" t="s">
        <v>4319</v>
      </c>
      <c r="D1663">
        <v>2836</v>
      </c>
    </row>
    <row r="1664" spans="1:4">
      <c r="A1664" t="s">
        <v>4321</v>
      </c>
      <c r="B1664" t="s">
        <v>4322</v>
      </c>
      <c r="C1664" t="s">
        <v>4321</v>
      </c>
      <c r="D1664">
        <v>7372</v>
      </c>
    </row>
    <row r="1665" spans="1:4">
      <c r="A1665" t="s">
        <v>4323</v>
      </c>
      <c r="B1665" t="s">
        <v>4324</v>
      </c>
      <c r="C1665" t="s">
        <v>4323</v>
      </c>
      <c r="D1665">
        <v>6022</v>
      </c>
    </row>
    <row r="1666" spans="1:4">
      <c r="A1666" t="s">
        <v>4325</v>
      </c>
      <c r="B1666" t="s">
        <v>4326</v>
      </c>
      <c r="C1666" t="s">
        <v>4325</v>
      </c>
      <c r="D1666">
        <v>6519</v>
      </c>
    </row>
    <row r="1667" spans="1:4">
      <c r="A1667" t="s">
        <v>4327</v>
      </c>
      <c r="B1667" t="s">
        <v>4328</v>
      </c>
      <c r="C1667" t="s">
        <v>4327</v>
      </c>
      <c r="D1667">
        <v>6798</v>
      </c>
    </row>
    <row r="1668" spans="1:4">
      <c r="A1668" t="s">
        <v>4329</v>
      </c>
      <c r="B1668" t="s">
        <v>4330</v>
      </c>
      <c r="C1668" t="s">
        <v>4329</v>
      </c>
      <c r="D1668">
        <v>2621</v>
      </c>
    </row>
    <row r="1669" spans="1:4">
      <c r="A1669" t="s">
        <v>4331</v>
      </c>
      <c r="B1669" t="s">
        <v>4332</v>
      </c>
      <c r="C1669" t="s">
        <v>4331</v>
      </c>
      <c r="D1669">
        <v>3841</v>
      </c>
    </row>
    <row r="1670" spans="1:4">
      <c r="A1670" t="s">
        <v>4333</v>
      </c>
      <c r="B1670" t="s">
        <v>4334</v>
      </c>
      <c r="C1670" t="s">
        <v>4333</v>
      </c>
      <c r="D1670">
        <v>6022</v>
      </c>
    </row>
    <row r="1671" spans="1:4">
      <c r="A1671" t="s">
        <v>4335</v>
      </c>
      <c r="B1671" t="s">
        <v>4336</v>
      </c>
      <c r="C1671" t="s">
        <v>4335</v>
      </c>
      <c r="D1671">
        <v>2834</v>
      </c>
    </row>
    <row r="1672" spans="1:4">
      <c r="A1672" t="s">
        <v>4337</v>
      </c>
      <c r="B1672" t="s">
        <v>4338</v>
      </c>
      <c r="C1672" t="s">
        <v>4337</v>
      </c>
      <c r="D1672">
        <v>8090</v>
      </c>
    </row>
    <row r="1673" spans="1:4">
      <c r="A1673" t="s">
        <v>4339</v>
      </c>
      <c r="B1673" t="s">
        <v>4340</v>
      </c>
      <c r="C1673" t="s">
        <v>4339</v>
      </c>
      <c r="D1673">
        <v>6798</v>
      </c>
    </row>
    <row r="1674" spans="1:4">
      <c r="A1674" t="s">
        <v>4341</v>
      </c>
      <c r="B1674" t="s">
        <v>4342</v>
      </c>
      <c r="C1674" t="s">
        <v>4341</v>
      </c>
      <c r="D1674">
        <v>6331</v>
      </c>
    </row>
    <row r="1675" spans="1:4">
      <c r="A1675" t="s">
        <v>4343</v>
      </c>
      <c r="B1675" t="s">
        <v>4344</v>
      </c>
      <c r="C1675" t="s">
        <v>4343</v>
      </c>
      <c r="D1675">
        <v>5084</v>
      </c>
    </row>
    <row r="1676" spans="1:4">
      <c r="A1676" t="s">
        <v>4345</v>
      </c>
      <c r="B1676" t="s">
        <v>4346</v>
      </c>
      <c r="C1676" t="s">
        <v>4345</v>
      </c>
      <c r="D1676">
        <v>7389</v>
      </c>
    </row>
    <row r="1677" spans="1:4">
      <c r="A1677" t="s">
        <v>4347</v>
      </c>
      <c r="B1677" t="s">
        <v>4348</v>
      </c>
      <c r="C1677" t="s">
        <v>4347</v>
      </c>
      <c r="D1677">
        <v>6798</v>
      </c>
    </row>
    <row r="1678" spans="1:4">
      <c r="A1678" t="s">
        <v>4349</v>
      </c>
      <c r="B1678" t="s">
        <v>4350</v>
      </c>
      <c r="C1678" t="s">
        <v>4349</v>
      </c>
      <c r="D1678">
        <v>6798</v>
      </c>
    </row>
    <row r="1679" spans="1:4">
      <c r="A1679" t="s">
        <v>4351</v>
      </c>
      <c r="B1679" t="s">
        <v>4352</v>
      </c>
      <c r="C1679" t="s">
        <v>4351</v>
      </c>
      <c r="D1679">
        <v>5171</v>
      </c>
    </row>
    <row r="1680" spans="1:4">
      <c r="A1680" t="s">
        <v>4353</v>
      </c>
      <c r="B1680" t="s">
        <v>4354</v>
      </c>
      <c r="C1680" t="s">
        <v>4353</v>
      </c>
      <c r="D1680">
        <v>7389</v>
      </c>
    </row>
    <row r="1681" spans="1:4">
      <c r="A1681" t="s">
        <v>4355</v>
      </c>
      <c r="B1681" t="s">
        <v>4356</v>
      </c>
      <c r="C1681" t="s">
        <v>4355</v>
      </c>
      <c r="D1681">
        <v>6798</v>
      </c>
    </row>
    <row r="1682" spans="1:4">
      <c r="A1682" t="s">
        <v>4357</v>
      </c>
      <c r="B1682" t="s">
        <v>4358</v>
      </c>
      <c r="C1682" t="s">
        <v>4357</v>
      </c>
      <c r="D1682">
        <v>4412</v>
      </c>
    </row>
    <row r="1683" spans="1:4">
      <c r="A1683" t="s">
        <v>4359</v>
      </c>
      <c r="B1683" t="s">
        <v>4360</v>
      </c>
      <c r="C1683" t="s">
        <v>4359</v>
      </c>
      <c r="D1683">
        <v>4941</v>
      </c>
    </row>
    <row r="1684" spans="1:4">
      <c r="A1684" t="s">
        <v>4361</v>
      </c>
      <c r="B1684" t="s">
        <v>4362</v>
      </c>
      <c r="C1684" t="s">
        <v>4361</v>
      </c>
      <c r="D1684">
        <v>7372</v>
      </c>
    </row>
    <row r="1685" spans="1:4">
      <c r="A1685" t="s">
        <v>4363</v>
      </c>
      <c r="B1685" t="s">
        <v>4364</v>
      </c>
      <c r="C1685" t="s">
        <v>4363</v>
      </c>
      <c r="D1685">
        <v>4899</v>
      </c>
    </row>
    <row r="1686" spans="1:4">
      <c r="A1686" t="s">
        <v>4365</v>
      </c>
      <c r="B1686" t="s">
        <v>4366</v>
      </c>
      <c r="C1686" t="s">
        <v>4365</v>
      </c>
      <c r="D1686">
        <v>6311</v>
      </c>
    </row>
    <row r="1687" spans="1:4">
      <c r="A1687" t="s">
        <v>4367</v>
      </c>
      <c r="B1687" t="s">
        <v>4368</v>
      </c>
      <c r="C1687" t="s">
        <v>4367</v>
      </c>
      <c r="D1687">
        <v>3841</v>
      </c>
    </row>
    <row r="1688" spans="1:4">
      <c r="A1688" t="s">
        <v>4369</v>
      </c>
      <c r="B1688" t="s">
        <v>4370</v>
      </c>
      <c r="C1688" t="s">
        <v>4369</v>
      </c>
      <c r="D1688">
        <v>7374</v>
      </c>
    </row>
    <row r="1689" spans="1:4">
      <c r="A1689" t="s">
        <v>4371</v>
      </c>
      <c r="B1689" t="s">
        <v>4372</v>
      </c>
      <c r="C1689" t="s">
        <v>4371</v>
      </c>
      <c r="D1689">
        <v>2834</v>
      </c>
    </row>
    <row r="1690" spans="1:4">
      <c r="A1690" t="s">
        <v>4373</v>
      </c>
      <c r="B1690" t="s">
        <v>4374</v>
      </c>
      <c r="C1690" t="s">
        <v>4373</v>
      </c>
      <c r="D1690">
        <v>5030</v>
      </c>
    </row>
    <row r="1691" spans="1:4">
      <c r="A1691" t="s">
        <v>4375</v>
      </c>
      <c r="B1691" t="s">
        <v>4376</v>
      </c>
      <c r="C1691" t="s">
        <v>4375</v>
      </c>
      <c r="D1691">
        <v>7373</v>
      </c>
    </row>
    <row r="1692" spans="1:4">
      <c r="A1692" t="s">
        <v>4377</v>
      </c>
      <c r="B1692" t="s">
        <v>4378</v>
      </c>
      <c r="C1692" t="s">
        <v>4377</v>
      </c>
      <c r="D1692">
        <v>4899</v>
      </c>
    </row>
    <row r="1693" spans="1:4">
      <c r="A1693" t="s">
        <v>4379</v>
      </c>
      <c r="B1693" t="s">
        <v>4380</v>
      </c>
      <c r="C1693" t="s">
        <v>4379</v>
      </c>
      <c r="D1693">
        <v>6411</v>
      </c>
    </row>
    <row r="1694" spans="1:4">
      <c r="A1694" t="s">
        <v>4381</v>
      </c>
      <c r="B1694" t="s">
        <v>4382</v>
      </c>
      <c r="C1694" t="s">
        <v>4381</v>
      </c>
      <c r="D1694">
        <v>4400</v>
      </c>
    </row>
    <row r="1695" spans="1:4">
      <c r="A1695" t="s">
        <v>4383</v>
      </c>
      <c r="B1695" t="s">
        <v>4384</v>
      </c>
      <c r="C1695" t="s">
        <v>4383</v>
      </c>
      <c r="D1695">
        <v>1040</v>
      </c>
    </row>
    <row r="1696" spans="1:4">
      <c r="A1696" t="s">
        <v>4385</v>
      </c>
      <c r="B1696" t="s">
        <v>4386</v>
      </c>
      <c r="C1696" t="s">
        <v>4385</v>
      </c>
      <c r="D1696">
        <v>7990</v>
      </c>
    </row>
    <row r="1697" spans="1:4">
      <c r="A1697" t="s">
        <v>4387</v>
      </c>
      <c r="B1697" t="s">
        <v>4388</v>
      </c>
      <c r="C1697" t="s">
        <v>4387</v>
      </c>
      <c r="D1697">
        <v>700</v>
      </c>
    </row>
    <row r="1698" spans="1:4">
      <c r="A1698" t="s">
        <v>4389</v>
      </c>
      <c r="B1698" t="s">
        <v>4390</v>
      </c>
      <c r="C1698" t="s">
        <v>4389</v>
      </c>
      <c r="D1698">
        <v>1040</v>
      </c>
    </row>
    <row r="1699" spans="1:4">
      <c r="A1699" t="s">
        <v>4391</v>
      </c>
      <c r="B1699" t="s">
        <v>4392</v>
      </c>
      <c r="C1699" t="s">
        <v>4391</v>
      </c>
      <c r="D1699">
        <v>4400</v>
      </c>
    </row>
    <row r="1700" spans="1:4">
      <c r="A1700" t="s">
        <v>4393</v>
      </c>
      <c r="B1700" t="s">
        <v>4394</v>
      </c>
      <c r="C1700" t="s">
        <v>4393</v>
      </c>
      <c r="D1700">
        <v>6211</v>
      </c>
    </row>
    <row r="1701" spans="1:4">
      <c r="A1701" t="s">
        <v>4395</v>
      </c>
      <c r="B1701" t="s">
        <v>4396</v>
      </c>
      <c r="C1701" t="s">
        <v>4395</v>
      </c>
      <c r="D1701">
        <v>5812</v>
      </c>
    </row>
    <row r="1702" spans="1:4">
      <c r="A1702" t="s">
        <v>4397</v>
      </c>
      <c r="B1702" t="s">
        <v>4398</v>
      </c>
      <c r="C1702" t="s">
        <v>4397</v>
      </c>
      <c r="D1702">
        <v>2834</v>
      </c>
    </row>
    <row r="1703" spans="1:4">
      <c r="A1703" t="s">
        <v>4399</v>
      </c>
      <c r="B1703" t="s">
        <v>4400</v>
      </c>
      <c r="C1703" t="s">
        <v>4399</v>
      </c>
      <c r="D1703">
        <v>7374</v>
      </c>
    </row>
    <row r="1704" spans="1:4">
      <c r="A1704" t="s">
        <v>4401</v>
      </c>
      <c r="B1704" t="s">
        <v>4402</v>
      </c>
      <c r="C1704" t="s">
        <v>4401</v>
      </c>
      <c r="D1704">
        <v>3011</v>
      </c>
    </row>
    <row r="1705" spans="1:4">
      <c r="A1705" t="s">
        <v>4403</v>
      </c>
      <c r="B1705" t="s">
        <v>4404</v>
      </c>
      <c r="C1705" t="s">
        <v>4403</v>
      </c>
      <c r="D1705">
        <v>6411</v>
      </c>
    </row>
    <row r="1706" spans="1:4">
      <c r="A1706" t="s">
        <v>4405</v>
      </c>
      <c r="B1706" t="s">
        <v>4406</v>
      </c>
      <c r="C1706" t="s">
        <v>4405</v>
      </c>
      <c r="D1706">
        <v>3861</v>
      </c>
    </row>
    <row r="1707" spans="1:4">
      <c r="A1707" t="s">
        <v>4407</v>
      </c>
      <c r="B1707" t="s">
        <v>4408</v>
      </c>
      <c r="C1707" t="s">
        <v>4407</v>
      </c>
      <c r="D1707">
        <v>3561</v>
      </c>
    </row>
    <row r="1708" spans="1:4">
      <c r="A1708" t="s">
        <v>4409</v>
      </c>
      <c r="B1708" t="s">
        <v>4410</v>
      </c>
      <c r="C1708" t="s">
        <v>4409</v>
      </c>
      <c r="D1708">
        <v>3561</v>
      </c>
    </row>
    <row r="1709" spans="1:4">
      <c r="A1709" t="s">
        <v>4411</v>
      </c>
      <c r="B1709" t="s">
        <v>4412</v>
      </c>
      <c r="C1709" t="s">
        <v>4411</v>
      </c>
      <c r="D1709">
        <v>3620</v>
      </c>
    </row>
    <row r="1710" spans="1:4">
      <c r="A1710" t="s">
        <v>4413</v>
      </c>
      <c r="B1710" t="s">
        <v>4414</v>
      </c>
      <c r="C1710" t="s">
        <v>4413</v>
      </c>
      <c r="D1710">
        <v>3560</v>
      </c>
    </row>
    <row r="1711" spans="1:4">
      <c r="A1711" t="s">
        <v>4415</v>
      </c>
      <c r="B1711" t="s">
        <v>4416</v>
      </c>
      <c r="C1711" t="s">
        <v>4415</v>
      </c>
      <c r="D1711">
        <v>8200</v>
      </c>
    </row>
    <row r="1712" spans="1:4">
      <c r="A1712" t="s">
        <v>4417</v>
      </c>
      <c r="B1712" t="s">
        <v>4418</v>
      </c>
      <c r="C1712" t="s">
        <v>4417</v>
      </c>
      <c r="D1712">
        <v>1311</v>
      </c>
    </row>
    <row r="1713" spans="1:4">
      <c r="A1713" t="s">
        <v>4419</v>
      </c>
      <c r="B1713" t="s">
        <v>4420</v>
      </c>
      <c r="C1713" t="s">
        <v>4419</v>
      </c>
      <c r="D1713">
        <v>8200</v>
      </c>
    </row>
    <row r="1714" spans="1:4">
      <c r="A1714" t="s">
        <v>4421</v>
      </c>
      <c r="B1714" t="s">
        <v>4422</v>
      </c>
      <c r="C1714" t="s">
        <v>4421</v>
      </c>
      <c r="D1714">
        <v>6036</v>
      </c>
    </row>
    <row r="1715" spans="1:4">
      <c r="A1715" t="s">
        <v>4423</v>
      </c>
      <c r="B1715" t="s">
        <v>4424</v>
      </c>
      <c r="C1715" t="s">
        <v>4423</v>
      </c>
      <c r="D1715">
        <v>1600</v>
      </c>
    </row>
    <row r="1716" spans="1:4">
      <c r="A1716" t="s">
        <v>4425</v>
      </c>
      <c r="B1716" t="s">
        <v>4426</v>
      </c>
      <c r="C1716" t="s">
        <v>4425</v>
      </c>
      <c r="D1716">
        <v>2860</v>
      </c>
    </row>
    <row r="1717" spans="1:4">
      <c r="A1717" t="s">
        <v>4427</v>
      </c>
      <c r="B1717" t="s">
        <v>4428</v>
      </c>
      <c r="C1717" t="s">
        <v>4427</v>
      </c>
      <c r="D1717">
        <v>6798</v>
      </c>
    </row>
    <row r="1718" spans="1:4">
      <c r="A1718" t="s">
        <v>4429</v>
      </c>
      <c r="B1718" t="s">
        <v>4430</v>
      </c>
      <c r="C1718" t="s">
        <v>4429</v>
      </c>
      <c r="D1718">
        <v>2650</v>
      </c>
    </row>
    <row r="1719" spans="1:4">
      <c r="A1719" t="s">
        <v>4431</v>
      </c>
      <c r="B1719" t="s">
        <v>4432</v>
      </c>
      <c r="C1719" t="s">
        <v>4431</v>
      </c>
      <c r="D1719">
        <v>4833</v>
      </c>
    </row>
    <row r="1720" spans="1:4">
      <c r="A1720" t="s">
        <v>4433</v>
      </c>
      <c r="B1720" t="s">
        <v>4434</v>
      </c>
      <c r="C1720" t="s">
        <v>4433</v>
      </c>
      <c r="D1720">
        <v>6798</v>
      </c>
    </row>
    <row r="1721" spans="1:4">
      <c r="A1721" t="s">
        <v>4435</v>
      </c>
      <c r="B1721" t="s">
        <v>4436</v>
      </c>
      <c r="C1721" t="s">
        <v>4435</v>
      </c>
      <c r="D1721">
        <v>7372</v>
      </c>
    </row>
    <row r="1722" spans="1:4">
      <c r="A1722" t="s">
        <v>4437</v>
      </c>
      <c r="B1722" t="s">
        <v>4438</v>
      </c>
      <c r="C1722" t="s">
        <v>4437</v>
      </c>
      <c r="D1722">
        <v>1600</v>
      </c>
    </row>
    <row r="1723" spans="1:4">
      <c r="A1723" t="s">
        <v>4439</v>
      </c>
      <c r="B1723" t="s">
        <v>4440</v>
      </c>
      <c r="C1723" t="s">
        <v>4439</v>
      </c>
      <c r="D1723">
        <v>6022</v>
      </c>
    </row>
    <row r="1724" spans="1:4">
      <c r="A1724" t="s">
        <v>4441</v>
      </c>
      <c r="B1724" t="s">
        <v>4442</v>
      </c>
      <c r="C1724" t="s">
        <v>4441</v>
      </c>
      <c r="D1724">
        <v>1531</v>
      </c>
    </row>
    <row r="1725" spans="1:4">
      <c r="A1725" t="s">
        <v>4443</v>
      </c>
      <c r="B1725" t="s">
        <v>4444</v>
      </c>
      <c r="C1725" t="s">
        <v>4443</v>
      </c>
      <c r="D1725">
        <v>6199</v>
      </c>
    </row>
    <row r="1726" spans="1:4">
      <c r="A1726" t="s">
        <v>4445</v>
      </c>
      <c r="B1726" t="s">
        <v>4446</v>
      </c>
      <c r="C1726" t="s">
        <v>4445</v>
      </c>
      <c r="D1726">
        <v>2860</v>
      </c>
    </row>
    <row r="1727" spans="1:4">
      <c r="A1727" t="s">
        <v>4447</v>
      </c>
      <c r="B1727" t="s">
        <v>4448</v>
      </c>
      <c r="C1727" t="s">
        <v>4447</v>
      </c>
      <c r="D1727">
        <v>2860</v>
      </c>
    </row>
    <row r="1728" spans="1:4">
      <c r="A1728" t="s">
        <v>4449</v>
      </c>
      <c r="B1728" t="s">
        <v>4450</v>
      </c>
      <c r="C1728" t="s">
        <v>4449</v>
      </c>
      <c r="D1728">
        <v>100</v>
      </c>
    </row>
    <row r="1729" spans="1:4">
      <c r="A1729" t="s">
        <v>4451</v>
      </c>
      <c r="B1729" t="s">
        <v>4452</v>
      </c>
      <c r="C1729" t="s">
        <v>4451</v>
      </c>
      <c r="D1729">
        <v>8742</v>
      </c>
    </row>
    <row r="1730" spans="1:4">
      <c r="A1730" t="s">
        <v>4453</v>
      </c>
      <c r="B1730" t="s">
        <v>4454</v>
      </c>
      <c r="C1730" t="s">
        <v>4453</v>
      </c>
      <c r="D1730">
        <v>3743</v>
      </c>
    </row>
    <row r="1731" spans="1:4">
      <c r="A1731" t="s">
        <v>4455</v>
      </c>
      <c r="B1731" t="s">
        <v>4456</v>
      </c>
      <c r="C1731" t="s">
        <v>4455</v>
      </c>
      <c r="D1731">
        <v>6036</v>
      </c>
    </row>
    <row r="1732" spans="1:4">
      <c r="A1732" t="s">
        <v>4457</v>
      </c>
      <c r="B1732" t="s">
        <v>4458</v>
      </c>
      <c r="C1732" t="s">
        <v>4457</v>
      </c>
      <c r="D1732">
        <v>6211</v>
      </c>
    </row>
    <row r="1733" spans="1:4">
      <c r="A1733" t="s">
        <v>4459</v>
      </c>
      <c r="B1733" t="s">
        <v>4460</v>
      </c>
      <c r="C1733" t="s">
        <v>4459</v>
      </c>
      <c r="D1733">
        <v>7374</v>
      </c>
    </row>
    <row r="1734" spans="1:4">
      <c r="A1734" t="s">
        <v>4461</v>
      </c>
      <c r="B1734" t="s">
        <v>4462</v>
      </c>
      <c r="C1734" t="s">
        <v>4461</v>
      </c>
      <c r="D1734">
        <v>3560</v>
      </c>
    </row>
    <row r="1735" spans="1:4">
      <c r="A1735" t="s">
        <v>4463</v>
      </c>
      <c r="B1735" t="s">
        <v>4464</v>
      </c>
      <c r="C1735" t="s">
        <v>4463</v>
      </c>
      <c r="D1735">
        <v>5099</v>
      </c>
    </row>
    <row r="1736" spans="1:4">
      <c r="A1736" t="s">
        <v>4465</v>
      </c>
      <c r="B1736" t="s">
        <v>4466</v>
      </c>
      <c r="C1736" t="s">
        <v>4465</v>
      </c>
      <c r="D1736">
        <v>6331</v>
      </c>
    </row>
    <row r="1737" spans="1:4">
      <c r="A1737" t="s">
        <v>4467</v>
      </c>
      <c r="B1737" t="s">
        <v>4468</v>
      </c>
      <c r="C1737" t="s">
        <v>4467</v>
      </c>
      <c r="D1737">
        <v>7374</v>
      </c>
    </row>
    <row r="1738" spans="1:4">
      <c r="A1738" t="s">
        <v>4469</v>
      </c>
      <c r="B1738" t="s">
        <v>4470</v>
      </c>
      <c r="C1738" t="s">
        <v>4469</v>
      </c>
      <c r="D1738">
        <v>7011</v>
      </c>
    </row>
    <row r="1739" spans="1:4">
      <c r="A1739" t="s">
        <v>4471</v>
      </c>
      <c r="B1739" t="s">
        <v>4472</v>
      </c>
      <c r="C1739" t="s">
        <v>4471</v>
      </c>
      <c r="D1739">
        <v>3412</v>
      </c>
    </row>
    <row r="1740" spans="1:4">
      <c r="A1740" t="s">
        <v>4473</v>
      </c>
      <c r="B1740" t="s">
        <v>4474</v>
      </c>
      <c r="C1740" t="s">
        <v>4473</v>
      </c>
      <c r="D1740">
        <v>3559</v>
      </c>
    </row>
    <row r="1741" spans="1:4">
      <c r="A1741" t="s">
        <v>4475</v>
      </c>
      <c r="B1741" t="s">
        <v>4476</v>
      </c>
      <c r="C1741" t="s">
        <v>4475</v>
      </c>
      <c r="D1741">
        <v>7372</v>
      </c>
    </row>
    <row r="1742" spans="1:4">
      <c r="A1742" t="s">
        <v>4477</v>
      </c>
      <c r="B1742" t="s">
        <v>4478</v>
      </c>
      <c r="C1742" t="s">
        <v>4477</v>
      </c>
      <c r="D1742">
        <v>3442</v>
      </c>
    </row>
    <row r="1743" spans="1:4">
      <c r="A1743" t="s">
        <v>4479</v>
      </c>
      <c r="B1743" t="s">
        <v>4480</v>
      </c>
      <c r="C1743" t="s">
        <v>4479</v>
      </c>
      <c r="D1743">
        <v>2836</v>
      </c>
    </row>
    <row r="1744" spans="1:4">
      <c r="A1744" t="s">
        <v>4481</v>
      </c>
      <c r="B1744" t="s">
        <v>4482</v>
      </c>
      <c r="C1744" t="s">
        <v>4481</v>
      </c>
      <c r="D1744">
        <v>5411</v>
      </c>
    </row>
    <row r="1745" spans="1:4">
      <c r="A1745" t="s">
        <v>4483</v>
      </c>
      <c r="B1745" t="s">
        <v>4484</v>
      </c>
      <c r="C1745" t="s">
        <v>4483</v>
      </c>
      <c r="D1745">
        <v>5500</v>
      </c>
    </row>
    <row r="1746" spans="1:4">
      <c r="A1746" t="s">
        <v>4485</v>
      </c>
      <c r="B1746" t="s">
        <v>4486</v>
      </c>
      <c r="C1746" t="s">
        <v>4485</v>
      </c>
      <c r="D1746">
        <v>7311</v>
      </c>
    </row>
    <row r="1747" spans="1:4">
      <c r="A1747" t="s">
        <v>4487</v>
      </c>
      <c r="B1747" t="s">
        <v>4488</v>
      </c>
      <c r="C1747" t="s">
        <v>4487</v>
      </c>
      <c r="D1747">
        <v>5200</v>
      </c>
    </row>
    <row r="1748" spans="1:4">
      <c r="A1748" t="s">
        <v>4489</v>
      </c>
      <c r="B1748" t="s">
        <v>4490</v>
      </c>
      <c r="C1748" t="s">
        <v>4489</v>
      </c>
      <c r="D1748">
        <v>7372</v>
      </c>
    </row>
    <row r="1749" spans="1:4">
      <c r="A1749" t="s">
        <v>4491</v>
      </c>
      <c r="B1749" t="s">
        <v>4492</v>
      </c>
      <c r="C1749" t="s">
        <v>4491</v>
      </c>
      <c r="D1749">
        <v>3674</v>
      </c>
    </row>
    <row r="1750" spans="1:4">
      <c r="A1750" t="s">
        <v>4493</v>
      </c>
      <c r="B1750" t="s">
        <v>4494</v>
      </c>
      <c r="C1750" t="s">
        <v>4493</v>
      </c>
      <c r="D1750">
        <v>7374</v>
      </c>
    </row>
    <row r="1751" spans="1:4">
      <c r="A1751" t="s">
        <v>4495</v>
      </c>
      <c r="B1751" t="s">
        <v>4496</v>
      </c>
      <c r="C1751" t="s">
        <v>4495</v>
      </c>
      <c r="D1751">
        <v>6021</v>
      </c>
    </row>
    <row r="1752" spans="1:4">
      <c r="A1752" t="s">
        <v>4497</v>
      </c>
      <c r="B1752" t="s">
        <v>4498</v>
      </c>
      <c r="C1752" t="s">
        <v>4497</v>
      </c>
      <c r="D1752">
        <v>8071</v>
      </c>
    </row>
    <row r="1753" spans="1:4">
      <c r="A1753" t="s">
        <v>4499</v>
      </c>
      <c r="B1753" t="s">
        <v>4500</v>
      </c>
      <c r="C1753" t="s">
        <v>4499</v>
      </c>
      <c r="D1753">
        <v>2340</v>
      </c>
    </row>
    <row r="1754" spans="1:4">
      <c r="A1754" t="s">
        <v>4501</v>
      </c>
      <c r="B1754" t="s">
        <v>4502</v>
      </c>
      <c r="C1754" t="s">
        <v>4501</v>
      </c>
      <c r="D1754">
        <v>7372</v>
      </c>
    </row>
    <row r="1755" spans="1:4">
      <c r="A1755" t="s">
        <v>4503</v>
      </c>
      <c r="B1755" t="s">
        <v>4504</v>
      </c>
      <c r="C1755" t="s">
        <v>4503</v>
      </c>
      <c r="D1755">
        <v>3440</v>
      </c>
    </row>
    <row r="1756" spans="1:4">
      <c r="A1756" t="s">
        <v>4505</v>
      </c>
      <c r="B1756" t="s">
        <v>4506</v>
      </c>
      <c r="C1756" t="s">
        <v>4505</v>
      </c>
      <c r="D1756">
        <v>2800</v>
      </c>
    </row>
    <row r="1757" spans="1:4">
      <c r="A1757" t="s">
        <v>4507</v>
      </c>
      <c r="B1757" t="s">
        <v>4508</v>
      </c>
      <c r="C1757" t="s">
        <v>4507</v>
      </c>
      <c r="D1757">
        <v>1311</v>
      </c>
    </row>
    <row r="1758" spans="1:4">
      <c r="A1758" t="s">
        <v>4509</v>
      </c>
      <c r="B1758" t="s">
        <v>4510</v>
      </c>
      <c r="C1758" t="s">
        <v>4509</v>
      </c>
      <c r="D1758">
        <v>4700</v>
      </c>
    </row>
    <row r="1759" spans="1:4">
      <c r="A1759" t="s">
        <v>4511</v>
      </c>
      <c r="B1759" t="s">
        <v>4512</v>
      </c>
      <c r="C1759" t="s">
        <v>4511</v>
      </c>
      <c r="D1759">
        <v>7350</v>
      </c>
    </row>
    <row r="1760" spans="1:4">
      <c r="A1760" t="s">
        <v>4513</v>
      </c>
      <c r="B1760" t="s">
        <v>4514</v>
      </c>
      <c r="C1760" t="s">
        <v>4513</v>
      </c>
      <c r="D1760">
        <v>7200</v>
      </c>
    </row>
    <row r="1761" spans="1:4">
      <c r="A1761" t="s">
        <v>4515</v>
      </c>
      <c r="B1761" t="s">
        <v>4516</v>
      </c>
      <c r="C1761" t="s">
        <v>4515</v>
      </c>
      <c r="D1761">
        <v>8742</v>
      </c>
    </row>
    <row r="1762" spans="1:4">
      <c r="A1762" t="s">
        <v>4517</v>
      </c>
      <c r="B1762" t="s">
        <v>4518</v>
      </c>
      <c r="C1762" t="s">
        <v>4517</v>
      </c>
      <c r="D1762">
        <v>3841</v>
      </c>
    </row>
    <row r="1763" spans="1:4">
      <c r="A1763" t="s">
        <v>4519</v>
      </c>
      <c r="B1763" t="s">
        <v>4520</v>
      </c>
      <c r="C1763" t="s">
        <v>4519</v>
      </c>
      <c r="D1763">
        <v>6411</v>
      </c>
    </row>
    <row r="1764" spans="1:4">
      <c r="A1764" t="s">
        <v>4521</v>
      </c>
      <c r="B1764" t="s">
        <v>4522</v>
      </c>
      <c r="C1764" t="s">
        <v>4521</v>
      </c>
      <c r="D1764">
        <v>2000</v>
      </c>
    </row>
    <row r="1765" spans="1:4">
      <c r="A1765" t="s">
        <v>4523</v>
      </c>
      <c r="B1765" t="s">
        <v>4524</v>
      </c>
      <c r="C1765" t="s">
        <v>4523</v>
      </c>
      <c r="D1765">
        <v>7990</v>
      </c>
    </row>
    <row r="1766" spans="1:4">
      <c r="A1766" t="s">
        <v>4525</v>
      </c>
      <c r="B1766" t="s">
        <v>4526</v>
      </c>
      <c r="C1766" t="s">
        <v>4525</v>
      </c>
      <c r="D1766">
        <v>1220</v>
      </c>
    </row>
    <row r="1767" spans="1:4">
      <c r="A1767" t="s">
        <v>4527</v>
      </c>
      <c r="B1767" t="s">
        <v>4528</v>
      </c>
      <c r="C1767" t="s">
        <v>4527</v>
      </c>
      <c r="D1767">
        <v>1389</v>
      </c>
    </row>
    <row r="1768" spans="1:4">
      <c r="A1768" t="s">
        <v>4529</v>
      </c>
      <c r="B1768" t="s">
        <v>4530</v>
      </c>
      <c r="C1768" t="s">
        <v>4529</v>
      </c>
      <c r="D1768">
        <v>6399</v>
      </c>
    </row>
    <row r="1769" spans="1:4">
      <c r="A1769" t="s">
        <v>4531</v>
      </c>
      <c r="B1769" t="s">
        <v>4532</v>
      </c>
      <c r="C1769" t="s">
        <v>4531</v>
      </c>
      <c r="D1769">
        <v>2836</v>
      </c>
    </row>
    <row r="1770" spans="1:4">
      <c r="A1770" t="s">
        <v>4533</v>
      </c>
      <c r="B1770" t="s">
        <v>4534</v>
      </c>
      <c r="C1770" t="s">
        <v>4533</v>
      </c>
      <c r="D1770">
        <v>3634</v>
      </c>
    </row>
    <row r="1771" spans="1:4">
      <c r="A1771" t="s">
        <v>4535</v>
      </c>
      <c r="B1771" t="s">
        <v>4536</v>
      </c>
      <c r="C1771" t="s">
        <v>4535</v>
      </c>
      <c r="D1771">
        <v>6282</v>
      </c>
    </row>
    <row r="1772" spans="1:4">
      <c r="A1772" t="s">
        <v>4537</v>
      </c>
      <c r="B1772" t="s">
        <v>4538</v>
      </c>
      <c r="C1772" t="s">
        <v>4537</v>
      </c>
      <c r="D1772">
        <v>6022</v>
      </c>
    </row>
    <row r="1773" spans="1:4">
      <c r="A1773" t="s">
        <v>4539</v>
      </c>
      <c r="B1773" t="s">
        <v>4540</v>
      </c>
      <c r="C1773" t="s">
        <v>4539</v>
      </c>
      <c r="D1773">
        <v>5600</v>
      </c>
    </row>
    <row r="1774" spans="1:4">
      <c r="A1774" t="s">
        <v>4541</v>
      </c>
      <c r="B1774" t="s">
        <v>4542</v>
      </c>
      <c r="C1774" t="s">
        <v>4541</v>
      </c>
      <c r="D1774">
        <v>8093</v>
      </c>
    </row>
    <row r="1775" spans="1:4">
      <c r="A1775" t="s">
        <v>4543</v>
      </c>
      <c r="B1775" t="s">
        <v>4544</v>
      </c>
      <c r="C1775" t="s">
        <v>4543</v>
      </c>
      <c r="D1775">
        <v>2833</v>
      </c>
    </row>
    <row r="1776" spans="1:4">
      <c r="A1776" t="s">
        <v>4545</v>
      </c>
      <c r="B1776" t="s">
        <v>4546</v>
      </c>
      <c r="C1776" t="s">
        <v>4545</v>
      </c>
      <c r="D1776">
        <v>6021</v>
      </c>
    </row>
    <row r="1777" spans="1:4">
      <c r="A1777" t="s">
        <v>4547</v>
      </c>
      <c r="B1777" t="s">
        <v>4548</v>
      </c>
      <c r="C1777" t="s">
        <v>4547</v>
      </c>
      <c r="D1777">
        <v>6798</v>
      </c>
    </row>
    <row r="1778" spans="1:4">
      <c r="A1778" t="s">
        <v>4549</v>
      </c>
      <c r="B1778" t="s">
        <v>4550</v>
      </c>
      <c r="C1778" t="s">
        <v>4549</v>
      </c>
      <c r="D1778">
        <v>6331</v>
      </c>
    </row>
    <row r="1779" spans="1:4">
      <c r="A1779" t="s">
        <v>4551</v>
      </c>
      <c r="B1779" t="s">
        <v>4552</v>
      </c>
      <c r="C1779" t="s">
        <v>4551</v>
      </c>
      <c r="D1779">
        <v>1531</v>
      </c>
    </row>
    <row r="1780" spans="1:4">
      <c r="A1780" t="s">
        <v>4553</v>
      </c>
      <c r="B1780" t="s">
        <v>4554</v>
      </c>
      <c r="C1780" t="s">
        <v>4553</v>
      </c>
      <c r="D1780">
        <v>4512</v>
      </c>
    </row>
    <row r="1781" spans="1:4">
      <c r="A1781" t="s">
        <v>4555</v>
      </c>
      <c r="B1781" t="s">
        <v>4556</v>
      </c>
      <c r="C1781" t="s">
        <v>4555</v>
      </c>
      <c r="D1781">
        <v>6022</v>
      </c>
    </row>
    <row r="1782" spans="1:4">
      <c r="A1782" t="s">
        <v>4557</v>
      </c>
      <c r="B1782" t="s">
        <v>4558</v>
      </c>
      <c r="C1782" t="s">
        <v>4557</v>
      </c>
      <c r="D1782">
        <v>3751</v>
      </c>
    </row>
    <row r="1783" spans="1:4">
      <c r="A1783" t="s">
        <v>4559</v>
      </c>
      <c r="B1783" t="s">
        <v>4560</v>
      </c>
      <c r="C1783" t="s">
        <v>4559</v>
      </c>
      <c r="D1783">
        <v>3663</v>
      </c>
    </row>
    <row r="1784" spans="1:4">
      <c r="A1784" t="s">
        <v>4561</v>
      </c>
      <c r="B1784" t="s">
        <v>4562</v>
      </c>
      <c r="C1784" t="s">
        <v>4561</v>
      </c>
      <c r="D1784">
        <v>2834</v>
      </c>
    </row>
    <row r="1785" spans="1:4">
      <c r="A1785" t="s">
        <v>4563</v>
      </c>
      <c r="B1785" t="s">
        <v>4564</v>
      </c>
      <c r="C1785" t="s">
        <v>4563</v>
      </c>
      <c r="D1785">
        <v>2836</v>
      </c>
    </row>
    <row r="1786" spans="1:4">
      <c r="A1786" t="s">
        <v>4565</v>
      </c>
      <c r="B1786" t="s">
        <v>4566</v>
      </c>
      <c r="C1786" t="s">
        <v>4565</v>
      </c>
      <c r="D1786">
        <v>2834</v>
      </c>
    </row>
    <row r="1787" spans="1:4">
      <c r="A1787" t="s">
        <v>4567</v>
      </c>
      <c r="B1787" t="s">
        <v>4568</v>
      </c>
      <c r="C1787" t="s">
        <v>4567</v>
      </c>
      <c r="D1787">
        <v>8900</v>
      </c>
    </row>
    <row r="1788" spans="1:4">
      <c r="A1788" t="s">
        <v>4569</v>
      </c>
      <c r="B1788" t="s">
        <v>4570</v>
      </c>
      <c r="C1788" t="s">
        <v>4569</v>
      </c>
      <c r="D1788">
        <v>7331</v>
      </c>
    </row>
    <row r="1789" spans="1:4">
      <c r="A1789" t="s">
        <v>4571</v>
      </c>
      <c r="B1789" t="s">
        <v>4572</v>
      </c>
      <c r="C1789" t="s">
        <v>4571</v>
      </c>
      <c r="D1789">
        <v>6331</v>
      </c>
    </row>
    <row r="1790" spans="1:4">
      <c r="A1790" t="s">
        <v>4573</v>
      </c>
      <c r="B1790" t="s">
        <v>4574</v>
      </c>
      <c r="C1790" t="s">
        <v>4573</v>
      </c>
      <c r="D1790">
        <v>3826</v>
      </c>
    </row>
    <row r="1791" spans="1:4">
      <c r="A1791" t="s">
        <v>4575</v>
      </c>
      <c r="B1791" t="s">
        <v>4576</v>
      </c>
      <c r="C1791" t="s">
        <v>4575</v>
      </c>
      <c r="D1791">
        <v>3944</v>
      </c>
    </row>
    <row r="1792" spans="1:4">
      <c r="A1792" t="s">
        <v>4577</v>
      </c>
      <c r="B1792" t="s">
        <v>4578</v>
      </c>
      <c r="C1792" t="s">
        <v>4577</v>
      </c>
      <c r="D1792">
        <v>7371</v>
      </c>
    </row>
    <row r="1793" spans="1:4">
      <c r="A1793" t="s">
        <v>4579</v>
      </c>
      <c r="B1793" t="s">
        <v>4580</v>
      </c>
      <c r="C1793" t="s">
        <v>4579</v>
      </c>
      <c r="D1793">
        <v>5712</v>
      </c>
    </row>
    <row r="1794" spans="1:4">
      <c r="A1794" t="s">
        <v>4581</v>
      </c>
      <c r="B1794" t="s">
        <v>4582</v>
      </c>
      <c r="C1794" t="s">
        <v>4581</v>
      </c>
      <c r="D1794">
        <v>4911</v>
      </c>
    </row>
    <row r="1795" spans="1:4">
      <c r="A1795" t="s">
        <v>4583</v>
      </c>
      <c r="B1795" t="s">
        <v>4584</v>
      </c>
      <c r="C1795" t="s">
        <v>4583</v>
      </c>
      <c r="D1795">
        <v>4512</v>
      </c>
    </row>
    <row r="1796" spans="1:4">
      <c r="A1796" t="s">
        <v>4585</v>
      </c>
      <c r="B1796" t="s">
        <v>4586</v>
      </c>
      <c r="C1796" t="s">
        <v>4585</v>
      </c>
      <c r="D1796">
        <v>5160</v>
      </c>
    </row>
    <row r="1797" spans="1:4">
      <c r="A1797" t="s">
        <v>4587</v>
      </c>
      <c r="B1797" t="s">
        <v>4588</v>
      </c>
      <c r="C1797" t="s">
        <v>4587</v>
      </c>
      <c r="D1797">
        <v>6021</v>
      </c>
    </row>
    <row r="1798" spans="1:4">
      <c r="A1798" t="s">
        <v>4589</v>
      </c>
      <c r="B1798" t="s">
        <v>4590</v>
      </c>
      <c r="C1798" t="s">
        <v>4589</v>
      </c>
      <c r="D1798">
        <v>3310</v>
      </c>
    </row>
    <row r="1799" spans="1:4">
      <c r="A1799" t="s">
        <v>4591</v>
      </c>
      <c r="B1799" t="s">
        <v>4592</v>
      </c>
      <c r="C1799" t="s">
        <v>4591</v>
      </c>
      <c r="D1799">
        <v>3580</v>
      </c>
    </row>
    <row r="1800" spans="1:4">
      <c r="A1800" t="s">
        <v>4593</v>
      </c>
      <c r="B1800" t="s">
        <v>4594</v>
      </c>
      <c r="C1800" t="s">
        <v>4593</v>
      </c>
      <c r="D1800">
        <v>6022</v>
      </c>
    </row>
    <row r="1801" spans="1:4">
      <c r="A1801" t="s">
        <v>4595</v>
      </c>
      <c r="B1801" t="s">
        <v>4596</v>
      </c>
      <c r="C1801" t="s">
        <v>4595</v>
      </c>
      <c r="D1801">
        <v>8062</v>
      </c>
    </row>
    <row r="1802" spans="1:4">
      <c r="A1802" t="s">
        <v>4597</v>
      </c>
      <c r="B1802" t="s">
        <v>4598</v>
      </c>
      <c r="C1802" t="s">
        <v>4597</v>
      </c>
      <c r="D1802">
        <v>6331</v>
      </c>
    </row>
    <row r="1803" spans="1:4">
      <c r="A1803" t="s">
        <v>4599</v>
      </c>
      <c r="B1803" t="s">
        <v>4600</v>
      </c>
      <c r="C1803" t="s">
        <v>4599</v>
      </c>
      <c r="D1803">
        <v>6029</v>
      </c>
    </row>
    <row r="1804" spans="1:4">
      <c r="A1804" t="s">
        <v>4601</v>
      </c>
      <c r="B1804" t="s">
        <v>4602</v>
      </c>
      <c r="C1804" t="s">
        <v>4601</v>
      </c>
      <c r="D1804">
        <v>7370</v>
      </c>
    </row>
    <row r="1805" spans="1:4">
      <c r="A1805" t="s">
        <v>4603</v>
      </c>
      <c r="B1805" t="s">
        <v>4604</v>
      </c>
      <c r="C1805" t="s">
        <v>4603</v>
      </c>
      <c r="D1805">
        <v>6798</v>
      </c>
    </row>
    <row r="1806" spans="1:4">
      <c r="A1806" t="s">
        <v>4605</v>
      </c>
      <c r="B1806" t="s">
        <v>4606</v>
      </c>
      <c r="C1806" t="s">
        <v>4605</v>
      </c>
      <c r="D1806">
        <v>8050</v>
      </c>
    </row>
    <row r="1807" spans="1:4">
      <c r="A1807" t="s">
        <v>4607</v>
      </c>
      <c r="B1807" t="s">
        <v>4608</v>
      </c>
      <c r="C1807" t="s">
        <v>4607</v>
      </c>
      <c r="D1807">
        <v>7373</v>
      </c>
    </row>
    <row r="1808" spans="1:4">
      <c r="A1808" t="s">
        <v>4609</v>
      </c>
      <c r="B1808" t="s">
        <v>4610</v>
      </c>
      <c r="C1808" t="s">
        <v>4609</v>
      </c>
      <c r="D1808">
        <v>6798</v>
      </c>
    </row>
    <row r="1809" spans="1:4">
      <c r="A1809" t="s">
        <v>4611</v>
      </c>
      <c r="B1809" t="s">
        <v>4612</v>
      </c>
      <c r="C1809" t="s">
        <v>4611</v>
      </c>
      <c r="D1809">
        <v>7389</v>
      </c>
    </row>
    <row r="1810" spans="1:4">
      <c r="A1810" t="s">
        <v>4613</v>
      </c>
      <c r="B1810" t="s">
        <v>4614</v>
      </c>
      <c r="C1810" t="s">
        <v>4613</v>
      </c>
      <c r="D1810">
        <v>2100</v>
      </c>
    </row>
    <row r="1811" spans="1:4">
      <c r="A1811" t="s">
        <v>4615</v>
      </c>
      <c r="B1811" t="s">
        <v>4616</v>
      </c>
      <c r="C1811" t="s">
        <v>4615</v>
      </c>
      <c r="D1811">
        <v>6798</v>
      </c>
    </row>
    <row r="1812" spans="1:4">
      <c r="A1812" t="s">
        <v>4617</v>
      </c>
      <c r="B1812" t="s">
        <v>4618</v>
      </c>
      <c r="C1812" t="s">
        <v>4617</v>
      </c>
      <c r="D1812">
        <v>7370</v>
      </c>
    </row>
    <row r="1813" spans="1:4">
      <c r="A1813" t="s">
        <v>4619</v>
      </c>
      <c r="B1813" t="s">
        <v>4620</v>
      </c>
      <c r="C1813" t="s">
        <v>4619</v>
      </c>
      <c r="D1813">
        <v>4213</v>
      </c>
    </row>
    <row r="1814" spans="1:4">
      <c r="A1814" t="s">
        <v>4621</v>
      </c>
      <c r="B1814" t="s">
        <v>4622</v>
      </c>
      <c r="C1814" t="s">
        <v>4621</v>
      </c>
      <c r="D1814">
        <v>6022</v>
      </c>
    </row>
    <row r="1815" spans="1:4">
      <c r="A1815" t="s">
        <v>4623</v>
      </c>
      <c r="B1815" t="s">
        <v>4624</v>
      </c>
      <c r="C1815" t="s">
        <v>4623</v>
      </c>
      <c r="D1815">
        <v>1400</v>
      </c>
    </row>
    <row r="1816" spans="1:4">
      <c r="A1816" t="s">
        <v>4625</v>
      </c>
      <c r="B1816" t="s">
        <v>4626</v>
      </c>
      <c r="C1816" t="s">
        <v>4625</v>
      </c>
      <c r="D1816">
        <v>3724</v>
      </c>
    </row>
    <row r="1817" spans="1:4">
      <c r="A1817" t="s">
        <v>4627</v>
      </c>
      <c r="B1817" t="s">
        <v>4628</v>
      </c>
      <c r="C1817" t="s">
        <v>4627</v>
      </c>
      <c r="D1817">
        <v>7361</v>
      </c>
    </row>
    <row r="1818" spans="1:4">
      <c r="A1818" t="s">
        <v>4629</v>
      </c>
      <c r="B1818" t="s">
        <v>4630</v>
      </c>
      <c r="C1818" t="s">
        <v>4629</v>
      </c>
      <c r="D1818">
        <v>3634</v>
      </c>
    </row>
    <row r="1819" spans="1:4">
      <c r="A1819" t="s">
        <v>4631</v>
      </c>
      <c r="B1819" t="s">
        <v>4632</v>
      </c>
      <c r="C1819" t="s">
        <v>4631</v>
      </c>
      <c r="D1819">
        <v>4911</v>
      </c>
    </row>
    <row r="1820" spans="1:4">
      <c r="A1820" t="s">
        <v>4633</v>
      </c>
      <c r="B1820" t="s">
        <v>4634</v>
      </c>
      <c r="C1820" t="s">
        <v>4633</v>
      </c>
      <c r="D1820">
        <v>3490</v>
      </c>
    </row>
    <row r="1821" spans="1:4">
      <c r="A1821" t="s">
        <v>4635</v>
      </c>
      <c r="B1821" t="s">
        <v>4636</v>
      </c>
      <c r="C1821" t="s">
        <v>4635</v>
      </c>
      <c r="D1821">
        <v>1389</v>
      </c>
    </row>
    <row r="1822" spans="1:4">
      <c r="A1822" t="s">
        <v>4637</v>
      </c>
      <c r="B1822" t="s">
        <v>4638</v>
      </c>
      <c r="C1822" t="s">
        <v>4637</v>
      </c>
      <c r="D1822">
        <v>7372</v>
      </c>
    </row>
    <row r="1823" spans="1:4">
      <c r="A1823" t="s">
        <v>4639</v>
      </c>
      <c r="B1823" t="s">
        <v>4640</v>
      </c>
      <c r="C1823" t="s">
        <v>4639</v>
      </c>
      <c r="D1823">
        <v>1381</v>
      </c>
    </row>
    <row r="1824" spans="1:4">
      <c r="A1824" t="s">
        <v>4641</v>
      </c>
      <c r="B1824" t="s">
        <v>4642</v>
      </c>
      <c r="C1824" t="s">
        <v>4641</v>
      </c>
      <c r="D1824">
        <v>4841</v>
      </c>
    </row>
    <row r="1825" spans="1:4">
      <c r="A1825" t="s">
        <v>4643</v>
      </c>
      <c r="B1825" t="s">
        <v>4644</v>
      </c>
      <c r="C1825" t="s">
        <v>4643</v>
      </c>
      <c r="D1825">
        <v>6282</v>
      </c>
    </row>
    <row r="1826" spans="1:4">
      <c r="A1826" t="s">
        <v>4645</v>
      </c>
      <c r="B1826" t="s">
        <v>4646</v>
      </c>
      <c r="C1826" t="s">
        <v>4645</v>
      </c>
      <c r="D1826">
        <v>7373</v>
      </c>
    </row>
    <row r="1827" spans="1:4">
      <c r="A1827" t="s">
        <v>4647</v>
      </c>
      <c r="B1827" t="s">
        <v>4648</v>
      </c>
      <c r="C1827" t="s">
        <v>4647</v>
      </c>
      <c r="D1827">
        <v>5047</v>
      </c>
    </row>
    <row r="1828" spans="1:4">
      <c r="A1828" t="s">
        <v>4649</v>
      </c>
      <c r="B1828" t="s">
        <v>4650</v>
      </c>
      <c r="C1828" t="s">
        <v>4649</v>
      </c>
      <c r="D1828">
        <v>5122</v>
      </c>
    </row>
    <row r="1829" spans="1:4">
      <c r="A1829" t="s">
        <v>4651</v>
      </c>
      <c r="B1829" t="s">
        <v>4652</v>
      </c>
      <c r="C1829" t="s">
        <v>4651</v>
      </c>
      <c r="D1829">
        <v>7350</v>
      </c>
    </row>
    <row r="1830" spans="1:4">
      <c r="A1830" t="s">
        <v>4653</v>
      </c>
      <c r="B1830" t="s">
        <v>4654</v>
      </c>
      <c r="C1830" t="s">
        <v>4653</v>
      </c>
      <c r="D1830">
        <v>6022</v>
      </c>
    </row>
    <row r="1831" spans="1:4">
      <c r="A1831" t="s">
        <v>4655</v>
      </c>
      <c r="B1831" t="s">
        <v>4656</v>
      </c>
      <c r="C1831" t="s">
        <v>4655</v>
      </c>
      <c r="D1831">
        <v>6036</v>
      </c>
    </row>
    <row r="1832" spans="1:4">
      <c r="A1832" t="s">
        <v>4657</v>
      </c>
      <c r="B1832" t="s">
        <v>4658</v>
      </c>
      <c r="C1832" t="s">
        <v>4657</v>
      </c>
      <c r="D1832">
        <v>7389</v>
      </c>
    </row>
    <row r="1833" spans="1:4">
      <c r="A1833" t="s">
        <v>4659</v>
      </c>
      <c r="B1833" t="s">
        <v>4660</v>
      </c>
      <c r="C1833" t="s">
        <v>4659</v>
      </c>
      <c r="D1833">
        <v>6331</v>
      </c>
    </row>
    <row r="1834" spans="1:4">
      <c r="A1834" t="s">
        <v>4661</v>
      </c>
      <c r="B1834" t="s">
        <v>4662</v>
      </c>
      <c r="C1834" t="s">
        <v>4661</v>
      </c>
      <c r="D1834">
        <v>4950</v>
      </c>
    </row>
    <row r="1835" spans="1:4">
      <c r="A1835" t="s">
        <v>4663</v>
      </c>
      <c r="B1835" t="s">
        <v>4664</v>
      </c>
      <c r="C1835" t="s">
        <v>4663</v>
      </c>
      <c r="D1835">
        <v>2520</v>
      </c>
    </row>
    <row r="1836" spans="1:4">
      <c r="A1836" t="s">
        <v>4665</v>
      </c>
      <c r="B1836" t="s">
        <v>4666</v>
      </c>
      <c r="C1836" t="s">
        <v>4665</v>
      </c>
      <c r="D1836">
        <v>2834</v>
      </c>
    </row>
    <row r="1837" spans="1:4">
      <c r="A1837" t="s">
        <v>4667</v>
      </c>
      <c r="B1837" t="s">
        <v>4668</v>
      </c>
      <c r="C1837" t="s">
        <v>4667</v>
      </c>
      <c r="D1837">
        <v>6798</v>
      </c>
    </row>
    <row r="1838" spans="1:4">
      <c r="A1838" t="s">
        <v>4669</v>
      </c>
      <c r="B1838" t="s">
        <v>4670</v>
      </c>
      <c r="C1838" t="s">
        <v>4669</v>
      </c>
      <c r="D1838">
        <v>2060</v>
      </c>
    </row>
    <row r="1839" spans="1:4">
      <c r="A1839" t="s">
        <v>4671</v>
      </c>
      <c r="B1839" t="s">
        <v>4672</v>
      </c>
      <c r="C1839" t="s">
        <v>4671</v>
      </c>
      <c r="D1839">
        <v>7510</v>
      </c>
    </row>
    <row r="1840" spans="1:4">
      <c r="A1840" t="s">
        <v>4673</v>
      </c>
      <c r="B1840" t="s">
        <v>4674</v>
      </c>
      <c r="C1840" t="s">
        <v>4673</v>
      </c>
      <c r="D1840">
        <v>2835</v>
      </c>
    </row>
    <row r="1841" spans="1:4">
      <c r="A1841" t="s">
        <v>4675</v>
      </c>
      <c r="B1841" t="s">
        <v>4676</v>
      </c>
      <c r="C1841" t="s">
        <v>4675</v>
      </c>
      <c r="D1841">
        <v>2911</v>
      </c>
    </row>
    <row r="1842" spans="1:4">
      <c r="A1842" t="s">
        <v>4677</v>
      </c>
      <c r="B1842" t="s">
        <v>4678</v>
      </c>
      <c r="C1842" t="s">
        <v>4677</v>
      </c>
      <c r="D1842">
        <v>1311</v>
      </c>
    </row>
    <row r="1843" spans="1:4">
      <c r="A1843" t="s">
        <v>4679</v>
      </c>
      <c r="B1843" t="s">
        <v>4680</v>
      </c>
      <c r="C1843" t="s">
        <v>4679</v>
      </c>
      <c r="D1843">
        <v>5045</v>
      </c>
    </row>
    <row r="1844" spans="1:4">
      <c r="A1844" t="s">
        <v>4681</v>
      </c>
      <c r="B1844" t="s">
        <v>4682</v>
      </c>
      <c r="C1844" t="s">
        <v>4681</v>
      </c>
      <c r="D1844">
        <v>2821</v>
      </c>
    </row>
    <row r="1845" spans="1:4">
      <c r="A1845" t="s">
        <v>4683</v>
      </c>
      <c r="B1845" t="s">
        <v>4684</v>
      </c>
      <c r="C1845" t="s">
        <v>4683</v>
      </c>
      <c r="D1845">
        <v>5140</v>
      </c>
    </row>
    <row r="1846" spans="1:4">
      <c r="A1846" t="s">
        <v>4685</v>
      </c>
      <c r="B1846" t="s">
        <v>4686</v>
      </c>
      <c r="C1846" t="s">
        <v>4685</v>
      </c>
      <c r="D1846">
        <v>5940</v>
      </c>
    </row>
    <row r="1847" spans="1:4">
      <c r="A1847" t="s">
        <v>4687</v>
      </c>
      <c r="B1847" t="s">
        <v>4688</v>
      </c>
      <c r="C1847" t="s">
        <v>4687</v>
      </c>
      <c r="D1847">
        <v>2860</v>
      </c>
    </row>
    <row r="1848" spans="1:4">
      <c r="A1848" t="s">
        <v>4689</v>
      </c>
      <c r="B1848" t="s">
        <v>4690</v>
      </c>
      <c r="C1848" t="s">
        <v>4689</v>
      </c>
      <c r="D1848">
        <v>6798</v>
      </c>
    </row>
    <row r="1849" spans="1:4">
      <c r="A1849" t="s">
        <v>4691</v>
      </c>
      <c r="B1849" t="s">
        <v>4692</v>
      </c>
      <c r="C1849" t="s">
        <v>4691</v>
      </c>
      <c r="D1849">
        <v>8711</v>
      </c>
    </row>
    <row r="1850" spans="1:4">
      <c r="A1850" t="s">
        <v>4693</v>
      </c>
      <c r="B1850" t="s">
        <v>4694</v>
      </c>
      <c r="C1850" t="s">
        <v>4693</v>
      </c>
      <c r="D1850">
        <v>3990</v>
      </c>
    </row>
    <row r="1851" spans="1:4">
      <c r="A1851" t="s">
        <v>4695</v>
      </c>
      <c r="B1851" t="s">
        <v>4696</v>
      </c>
      <c r="C1851" t="s">
        <v>4695</v>
      </c>
      <c r="D1851">
        <v>3420</v>
      </c>
    </row>
    <row r="1852" spans="1:4">
      <c r="A1852" t="s">
        <v>4697</v>
      </c>
      <c r="B1852" t="s">
        <v>4698</v>
      </c>
      <c r="C1852" t="s">
        <v>4697</v>
      </c>
      <c r="D1852">
        <v>6022</v>
      </c>
    </row>
    <row r="1853" spans="1:4">
      <c r="A1853" t="s">
        <v>4699</v>
      </c>
      <c r="B1853" t="s">
        <v>4700</v>
      </c>
      <c r="C1853" t="s">
        <v>4699</v>
      </c>
      <c r="D1853">
        <v>6022</v>
      </c>
    </row>
    <row r="1854" spans="1:4">
      <c r="A1854" t="s">
        <v>4701</v>
      </c>
      <c r="B1854" t="s">
        <v>4702</v>
      </c>
      <c r="C1854" t="s">
        <v>4701</v>
      </c>
      <c r="D1854">
        <v>7000</v>
      </c>
    </row>
    <row r="1855" spans="1:4">
      <c r="A1855" t="s">
        <v>4703</v>
      </c>
      <c r="B1855" t="s">
        <v>4704</v>
      </c>
      <c r="C1855" t="s">
        <v>4703</v>
      </c>
      <c r="D1855">
        <v>7011</v>
      </c>
    </row>
    <row r="1856" spans="1:4">
      <c r="A1856" t="s">
        <v>4705</v>
      </c>
      <c r="B1856" t="s">
        <v>4706</v>
      </c>
      <c r="C1856" t="s">
        <v>4705</v>
      </c>
      <c r="D1856">
        <v>8011</v>
      </c>
    </row>
    <row r="1857" spans="1:4">
      <c r="A1857" t="s">
        <v>4707</v>
      </c>
      <c r="B1857" t="s">
        <v>4708</v>
      </c>
      <c r="C1857" t="s">
        <v>4707</v>
      </c>
      <c r="D1857">
        <v>6331</v>
      </c>
    </row>
    <row r="1858" spans="1:4">
      <c r="A1858" t="s">
        <v>4709</v>
      </c>
      <c r="B1858" t="s">
        <v>4710</v>
      </c>
      <c r="C1858" t="s">
        <v>4709</v>
      </c>
      <c r="D1858">
        <v>7363</v>
      </c>
    </row>
    <row r="1859" spans="1:4">
      <c r="A1859" t="s">
        <v>4711</v>
      </c>
      <c r="B1859" t="s">
        <v>4712</v>
      </c>
      <c r="C1859" t="s">
        <v>4711</v>
      </c>
      <c r="D1859">
        <v>7389</v>
      </c>
    </row>
    <row r="1860" spans="1:4">
      <c r="A1860" t="s">
        <v>4713</v>
      </c>
      <c r="B1860" t="s">
        <v>4714</v>
      </c>
      <c r="C1860" t="s">
        <v>4713</v>
      </c>
      <c r="D1860">
        <v>2834</v>
      </c>
    </row>
    <row r="1861" spans="1:4">
      <c r="A1861" t="s">
        <v>4715</v>
      </c>
      <c r="B1861" t="s">
        <v>4716</v>
      </c>
      <c r="C1861" t="s">
        <v>4715</v>
      </c>
      <c r="D1861">
        <v>6035</v>
      </c>
    </row>
    <row r="1862" spans="1:4">
      <c r="A1862" t="s">
        <v>4717</v>
      </c>
      <c r="B1862" t="s">
        <v>4718</v>
      </c>
      <c r="C1862" t="s">
        <v>4717</v>
      </c>
      <c r="D1862">
        <v>2522</v>
      </c>
    </row>
    <row r="1863" spans="1:4">
      <c r="A1863" t="s">
        <v>4719</v>
      </c>
      <c r="B1863" t="s">
        <v>4720</v>
      </c>
      <c r="C1863" t="s">
        <v>4719</v>
      </c>
      <c r="D1863">
        <v>4400</v>
      </c>
    </row>
    <row r="1864" spans="1:4">
      <c r="A1864" t="s">
        <v>4721</v>
      </c>
      <c r="B1864" t="s">
        <v>4722</v>
      </c>
      <c r="C1864" t="s">
        <v>4721</v>
      </c>
      <c r="D1864">
        <v>3714</v>
      </c>
    </row>
    <row r="1865" spans="1:4">
      <c r="A1865" t="s">
        <v>4723</v>
      </c>
      <c r="B1865" t="s">
        <v>4724</v>
      </c>
      <c r="C1865" t="s">
        <v>4723</v>
      </c>
      <c r="D1865">
        <v>4610</v>
      </c>
    </row>
    <row r="1866" spans="1:4">
      <c r="A1866" t="s">
        <v>4725</v>
      </c>
      <c r="B1866" t="s">
        <v>4726</v>
      </c>
      <c r="C1866" t="s">
        <v>4725</v>
      </c>
      <c r="D1866">
        <v>3620</v>
      </c>
    </row>
    <row r="1867" spans="1:4">
      <c r="A1867" t="s">
        <v>4727</v>
      </c>
      <c r="B1867" t="s">
        <v>4728</v>
      </c>
      <c r="C1867" t="s">
        <v>4727</v>
      </c>
      <c r="D1867">
        <v>3844</v>
      </c>
    </row>
    <row r="1868" spans="1:4">
      <c r="A1868" t="s">
        <v>4729</v>
      </c>
      <c r="B1868" t="s">
        <v>4730</v>
      </c>
      <c r="C1868" t="s">
        <v>4729</v>
      </c>
      <c r="D1868">
        <v>6036</v>
      </c>
    </row>
    <row r="1869" spans="1:4">
      <c r="A1869" t="s">
        <v>4731</v>
      </c>
      <c r="B1869" t="s">
        <v>4732</v>
      </c>
      <c r="C1869" t="s">
        <v>4731</v>
      </c>
      <c r="D1869">
        <v>6022</v>
      </c>
    </row>
    <row r="1870" spans="1:4">
      <c r="A1870" t="s">
        <v>4733</v>
      </c>
      <c r="B1870" t="s">
        <v>4734</v>
      </c>
      <c r="C1870" t="s">
        <v>4733</v>
      </c>
      <c r="D1870">
        <v>5211</v>
      </c>
    </row>
    <row r="1871" spans="1:4">
      <c r="A1871" t="s">
        <v>4735</v>
      </c>
      <c r="B1871" t="s">
        <v>4736</v>
      </c>
      <c r="C1871" t="s">
        <v>4735</v>
      </c>
      <c r="D1871">
        <v>6035</v>
      </c>
    </row>
    <row r="1872" spans="1:4">
      <c r="A1872" t="s">
        <v>4737</v>
      </c>
      <c r="B1872" t="s">
        <v>4738</v>
      </c>
      <c r="C1872" t="s">
        <v>4737</v>
      </c>
      <c r="D1872">
        <v>6022</v>
      </c>
    </row>
    <row r="1873" spans="1:4">
      <c r="A1873" t="s">
        <v>4739</v>
      </c>
      <c r="B1873" t="s">
        <v>4740</v>
      </c>
      <c r="C1873" t="s">
        <v>4739</v>
      </c>
      <c r="D1873">
        <v>6035</v>
      </c>
    </row>
    <row r="1874" spans="1:4">
      <c r="A1874" t="s">
        <v>4741</v>
      </c>
      <c r="B1874" t="s">
        <v>4742</v>
      </c>
      <c r="C1874" t="s">
        <v>4741</v>
      </c>
      <c r="D1874">
        <v>2834</v>
      </c>
    </row>
    <row r="1875" spans="1:4">
      <c r="A1875" t="s">
        <v>4743</v>
      </c>
      <c r="B1875" t="s">
        <v>4744</v>
      </c>
      <c r="C1875" t="s">
        <v>4743</v>
      </c>
      <c r="D1875">
        <v>5961</v>
      </c>
    </row>
    <row r="1876" spans="1:4">
      <c r="A1876" t="s">
        <v>4745</v>
      </c>
      <c r="B1876" t="s">
        <v>4746</v>
      </c>
      <c r="C1876" t="s">
        <v>4745</v>
      </c>
      <c r="D1876">
        <v>3724</v>
      </c>
    </row>
    <row r="1877" spans="1:4">
      <c r="A1877" t="s">
        <v>4747</v>
      </c>
      <c r="B1877" t="s">
        <v>4748</v>
      </c>
      <c r="C1877" t="s">
        <v>4747</v>
      </c>
      <c r="D1877">
        <v>2510</v>
      </c>
    </row>
    <row r="1878" spans="1:4">
      <c r="A1878" t="s">
        <v>4749</v>
      </c>
      <c r="B1878" t="s">
        <v>4750</v>
      </c>
      <c r="C1878" t="s">
        <v>4749</v>
      </c>
      <c r="D1878">
        <v>2834</v>
      </c>
    </row>
    <row r="1879" spans="1:4">
      <c r="A1879" t="s">
        <v>4751</v>
      </c>
      <c r="B1879" t="s">
        <v>4752</v>
      </c>
      <c r="C1879" t="s">
        <v>4751</v>
      </c>
      <c r="D1879">
        <v>6021</v>
      </c>
    </row>
    <row r="1880" spans="1:4">
      <c r="A1880" t="s">
        <v>4753</v>
      </c>
      <c r="B1880" t="s">
        <v>4754</v>
      </c>
      <c r="C1880" t="s">
        <v>4753</v>
      </c>
      <c r="D1880">
        <v>6331</v>
      </c>
    </row>
    <row r="1881" spans="1:4">
      <c r="A1881" t="s">
        <v>4755</v>
      </c>
      <c r="B1881" t="s">
        <v>4756</v>
      </c>
      <c r="C1881" t="s">
        <v>4755</v>
      </c>
      <c r="D1881">
        <v>6022</v>
      </c>
    </row>
    <row r="1882" spans="1:4">
      <c r="A1882" t="s">
        <v>4757</v>
      </c>
      <c r="B1882" t="s">
        <v>4758</v>
      </c>
      <c r="C1882" t="s">
        <v>4757</v>
      </c>
      <c r="D1882">
        <v>3714</v>
      </c>
    </row>
    <row r="1883" spans="1:4">
      <c r="A1883" t="s">
        <v>4759</v>
      </c>
      <c r="B1883" t="s">
        <v>4760</v>
      </c>
      <c r="C1883" t="s">
        <v>4759</v>
      </c>
      <c r="D1883">
        <v>2834</v>
      </c>
    </row>
    <row r="1884" spans="1:4">
      <c r="A1884" t="s">
        <v>4761</v>
      </c>
      <c r="B1884" t="s">
        <v>4762</v>
      </c>
      <c r="C1884" t="s">
        <v>4761</v>
      </c>
      <c r="D1884">
        <v>2011</v>
      </c>
    </row>
    <row r="1885" spans="1:4">
      <c r="A1885" t="s">
        <v>4763</v>
      </c>
      <c r="B1885" t="s">
        <v>4764</v>
      </c>
      <c r="C1885" t="s">
        <v>4763</v>
      </c>
      <c r="D1885">
        <v>1531</v>
      </c>
    </row>
    <row r="1886" spans="1:4">
      <c r="A1886" t="s">
        <v>4765</v>
      </c>
      <c r="B1886" t="s">
        <v>4766</v>
      </c>
      <c r="C1886" t="s">
        <v>4765</v>
      </c>
      <c r="D1886">
        <v>6798</v>
      </c>
    </row>
    <row r="1887" spans="1:4">
      <c r="A1887" t="s">
        <v>4767</v>
      </c>
      <c r="B1887" t="s">
        <v>4768</v>
      </c>
      <c r="C1887" t="s">
        <v>4767</v>
      </c>
      <c r="D1887">
        <v>2050</v>
      </c>
    </row>
    <row r="1888" spans="1:4">
      <c r="A1888" t="s">
        <v>4769</v>
      </c>
      <c r="B1888" t="s">
        <v>4770</v>
      </c>
      <c r="C1888" t="s">
        <v>4769</v>
      </c>
      <c r="D1888">
        <v>6282</v>
      </c>
    </row>
    <row r="1889" spans="1:4">
      <c r="A1889" t="s">
        <v>4771</v>
      </c>
      <c r="B1889" t="s">
        <v>4772</v>
      </c>
      <c r="C1889" t="s">
        <v>4771</v>
      </c>
      <c r="D1889">
        <v>1531</v>
      </c>
    </row>
    <row r="1890" spans="1:4">
      <c r="A1890" t="s">
        <v>4773</v>
      </c>
      <c r="B1890" t="s">
        <v>4774</v>
      </c>
      <c r="C1890" t="s">
        <v>4773</v>
      </c>
      <c r="D1890">
        <v>6798</v>
      </c>
    </row>
    <row r="1891" spans="1:4">
      <c r="A1891" t="s">
        <v>4775</v>
      </c>
      <c r="B1891" t="s">
        <v>4776</v>
      </c>
      <c r="C1891" t="s">
        <v>4775</v>
      </c>
      <c r="D1891">
        <v>3350</v>
      </c>
    </row>
    <row r="1892" spans="1:4">
      <c r="A1892" t="s">
        <v>4777</v>
      </c>
      <c r="B1892" t="s">
        <v>4778</v>
      </c>
      <c r="C1892" t="s">
        <v>4777</v>
      </c>
      <c r="D1892">
        <v>3570</v>
      </c>
    </row>
    <row r="1893" spans="1:4">
      <c r="A1893" t="s">
        <v>4779</v>
      </c>
      <c r="B1893" t="s">
        <v>4780</v>
      </c>
      <c r="C1893" t="s">
        <v>4779</v>
      </c>
      <c r="D1893">
        <v>8300</v>
      </c>
    </row>
    <row r="1894" spans="1:4">
      <c r="A1894" t="s">
        <v>4781</v>
      </c>
      <c r="B1894" t="s">
        <v>4782</v>
      </c>
      <c r="C1894" t="s">
        <v>4781</v>
      </c>
      <c r="D1894">
        <v>3317</v>
      </c>
    </row>
    <row r="1895" spans="1:4">
      <c r="A1895" t="s">
        <v>4783</v>
      </c>
      <c r="B1895" t="s">
        <v>4784</v>
      </c>
      <c r="C1895" t="s">
        <v>4783</v>
      </c>
      <c r="D1895">
        <v>7011</v>
      </c>
    </row>
    <row r="1896" spans="1:4">
      <c r="A1896" t="s">
        <v>4785</v>
      </c>
      <c r="B1896" t="s">
        <v>4786</v>
      </c>
      <c r="C1896" t="s">
        <v>4785</v>
      </c>
      <c r="D1896">
        <v>4731</v>
      </c>
    </row>
    <row r="1897" spans="1:4">
      <c r="A1897" t="s">
        <v>4787</v>
      </c>
      <c r="B1897" t="s">
        <v>4788</v>
      </c>
      <c r="C1897" t="s">
        <v>4787</v>
      </c>
      <c r="D1897">
        <v>3670</v>
      </c>
    </row>
    <row r="1898" spans="1:4">
      <c r="A1898" t="s">
        <v>4789</v>
      </c>
      <c r="B1898" t="s">
        <v>4790</v>
      </c>
      <c r="C1898" t="s">
        <v>4789</v>
      </c>
      <c r="D1898">
        <v>7372</v>
      </c>
    </row>
    <row r="1899" spans="1:4">
      <c r="A1899" t="s">
        <v>4791</v>
      </c>
      <c r="B1899" t="s">
        <v>4792</v>
      </c>
      <c r="C1899" t="s">
        <v>4791</v>
      </c>
      <c r="D1899">
        <v>7363</v>
      </c>
    </row>
    <row r="1900" spans="1:4">
      <c r="A1900" t="s">
        <v>4793</v>
      </c>
      <c r="B1900" t="s">
        <v>4794</v>
      </c>
      <c r="C1900" t="s">
        <v>4793</v>
      </c>
      <c r="D1900">
        <v>6500</v>
      </c>
    </row>
    <row r="1901" spans="1:4">
      <c r="A1901" t="s">
        <v>4795</v>
      </c>
      <c r="B1901" t="s">
        <v>4796</v>
      </c>
      <c r="C1901" t="s">
        <v>4795</v>
      </c>
      <c r="D1901">
        <v>5080</v>
      </c>
    </row>
    <row r="1902" spans="1:4">
      <c r="A1902" t="s">
        <v>4797</v>
      </c>
      <c r="B1902" t="s">
        <v>4798</v>
      </c>
      <c r="C1902" t="s">
        <v>4797</v>
      </c>
      <c r="D1902">
        <v>6411</v>
      </c>
    </row>
    <row r="1903" spans="1:4">
      <c r="A1903" t="s">
        <v>4799</v>
      </c>
      <c r="B1903" t="s">
        <v>4800</v>
      </c>
      <c r="C1903" t="s">
        <v>4799</v>
      </c>
      <c r="D1903">
        <v>6324</v>
      </c>
    </row>
    <row r="1904" spans="1:4">
      <c r="A1904" t="s">
        <v>4801</v>
      </c>
      <c r="B1904" t="s">
        <v>4802</v>
      </c>
      <c r="C1904" t="s">
        <v>4801</v>
      </c>
      <c r="D1904">
        <v>2834</v>
      </c>
    </row>
    <row r="1905" spans="1:4">
      <c r="A1905" t="s">
        <v>4803</v>
      </c>
      <c r="B1905" t="s">
        <v>4804</v>
      </c>
      <c r="C1905" t="s">
        <v>4803</v>
      </c>
      <c r="D1905">
        <v>4213</v>
      </c>
    </row>
    <row r="1906" spans="1:4">
      <c r="A1906" t="s">
        <v>4805</v>
      </c>
      <c r="B1906" t="s">
        <v>4806</v>
      </c>
      <c r="C1906" t="s">
        <v>4805</v>
      </c>
      <c r="D1906">
        <v>6021</v>
      </c>
    </row>
    <row r="1907" spans="1:4">
      <c r="A1907" t="s">
        <v>4807</v>
      </c>
      <c r="B1907" t="s">
        <v>4808</v>
      </c>
      <c r="C1907" t="s">
        <v>4807</v>
      </c>
      <c r="D1907">
        <v>3730</v>
      </c>
    </row>
    <row r="1908" spans="1:4">
      <c r="A1908" t="s">
        <v>4809</v>
      </c>
      <c r="B1908" t="s">
        <v>4810</v>
      </c>
      <c r="C1908" t="s">
        <v>4809</v>
      </c>
      <c r="D1908">
        <v>2800</v>
      </c>
    </row>
    <row r="1909" spans="1:4">
      <c r="A1909" t="s">
        <v>4811</v>
      </c>
      <c r="B1909" t="s">
        <v>4812</v>
      </c>
      <c r="C1909" t="s">
        <v>4811</v>
      </c>
      <c r="D1909">
        <v>3823</v>
      </c>
    </row>
    <row r="1910" spans="1:4">
      <c r="A1910" t="s">
        <v>4813</v>
      </c>
      <c r="B1910" t="s">
        <v>4814</v>
      </c>
      <c r="C1910" t="s">
        <v>4813</v>
      </c>
      <c r="D1910">
        <v>8742</v>
      </c>
    </row>
    <row r="1911" spans="1:4">
      <c r="A1911" t="s">
        <v>4815</v>
      </c>
      <c r="B1911" t="s">
        <v>4816</v>
      </c>
      <c r="C1911" t="s">
        <v>4815</v>
      </c>
      <c r="D1911">
        <v>2834</v>
      </c>
    </row>
    <row r="1912" spans="1:4">
      <c r="A1912" t="s">
        <v>4817</v>
      </c>
      <c r="B1912" t="s">
        <v>4818</v>
      </c>
      <c r="C1912" t="s">
        <v>4817</v>
      </c>
      <c r="D1912">
        <v>7370</v>
      </c>
    </row>
    <row r="1913" spans="1:4">
      <c r="A1913" t="s">
        <v>4819</v>
      </c>
      <c r="B1913" t="s">
        <v>4820</v>
      </c>
      <c r="C1913" t="s">
        <v>4819</v>
      </c>
      <c r="D1913">
        <v>6022</v>
      </c>
    </row>
    <row r="1914" spans="1:4">
      <c r="A1914" t="s">
        <v>4821</v>
      </c>
      <c r="B1914" t="s">
        <v>4822</v>
      </c>
      <c r="C1914" t="s">
        <v>4821</v>
      </c>
      <c r="D1914">
        <v>7011</v>
      </c>
    </row>
    <row r="1915" spans="1:4">
      <c r="A1915" t="s">
        <v>4823</v>
      </c>
      <c r="B1915" t="s">
        <v>4824</v>
      </c>
      <c r="C1915" t="s">
        <v>4823</v>
      </c>
      <c r="D1915">
        <v>1040</v>
      </c>
    </row>
    <row r="1916" spans="1:4">
      <c r="A1916" t="s">
        <v>4825</v>
      </c>
      <c r="B1916" t="s">
        <v>4826</v>
      </c>
      <c r="C1916" t="s">
        <v>4825</v>
      </c>
      <c r="D1916">
        <v>5190</v>
      </c>
    </row>
    <row r="1917" spans="1:4">
      <c r="A1917" t="s">
        <v>4827</v>
      </c>
      <c r="B1917" t="s">
        <v>4828</v>
      </c>
      <c r="C1917" t="s">
        <v>4827</v>
      </c>
      <c r="D1917">
        <v>3845</v>
      </c>
    </row>
    <row r="1918" spans="1:4">
      <c r="A1918" t="s">
        <v>4829</v>
      </c>
      <c r="B1918" t="s">
        <v>4830</v>
      </c>
      <c r="C1918" t="s">
        <v>4829</v>
      </c>
      <c r="D1918">
        <v>3537</v>
      </c>
    </row>
    <row r="1919" spans="1:4">
      <c r="A1919" t="s">
        <v>4831</v>
      </c>
      <c r="B1919" t="s">
        <v>4832</v>
      </c>
      <c r="C1919" t="s">
        <v>4831</v>
      </c>
      <c r="D1919">
        <v>3620</v>
      </c>
    </row>
    <row r="1920" spans="1:4">
      <c r="A1920" t="s">
        <v>4833</v>
      </c>
      <c r="B1920" t="s">
        <v>4834</v>
      </c>
      <c r="C1920" t="s">
        <v>4833</v>
      </c>
      <c r="D1920">
        <v>2834</v>
      </c>
    </row>
    <row r="1921" spans="1:4">
      <c r="A1921" t="s">
        <v>4835</v>
      </c>
      <c r="B1921" t="s">
        <v>4836</v>
      </c>
      <c r="C1921" t="s">
        <v>4835</v>
      </c>
      <c r="D1921">
        <v>7389</v>
      </c>
    </row>
    <row r="1922" spans="1:4">
      <c r="A1922" t="s">
        <v>4837</v>
      </c>
      <c r="B1922" t="s">
        <v>4838</v>
      </c>
      <c r="C1922" t="s">
        <v>4837</v>
      </c>
      <c r="D1922">
        <v>5500</v>
      </c>
    </row>
    <row r="1923" spans="1:4">
      <c r="A1923" t="s">
        <v>4839</v>
      </c>
      <c r="B1923" t="s">
        <v>4840</v>
      </c>
      <c r="C1923" t="s">
        <v>4839</v>
      </c>
      <c r="D1923">
        <v>7370</v>
      </c>
    </row>
    <row r="1924" spans="1:4">
      <c r="A1924" t="s">
        <v>4841</v>
      </c>
      <c r="B1924" t="s">
        <v>4842</v>
      </c>
      <c r="C1924" t="s">
        <v>4841</v>
      </c>
      <c r="D1924">
        <v>100</v>
      </c>
    </row>
    <row r="1925" spans="1:4">
      <c r="A1925" t="s">
        <v>4843</v>
      </c>
      <c r="B1925" t="s">
        <v>4844</v>
      </c>
      <c r="C1925" t="s">
        <v>4843</v>
      </c>
      <c r="D1925">
        <v>2834</v>
      </c>
    </row>
    <row r="1926" spans="1:4">
      <c r="A1926" t="s">
        <v>4845</v>
      </c>
      <c r="B1926" t="s">
        <v>4846</v>
      </c>
      <c r="C1926" t="s">
        <v>4845</v>
      </c>
      <c r="D1926">
        <v>3841</v>
      </c>
    </row>
    <row r="1927" spans="1:4">
      <c r="A1927" t="s">
        <v>4847</v>
      </c>
      <c r="B1927" t="s">
        <v>4848</v>
      </c>
      <c r="C1927" t="s">
        <v>4847</v>
      </c>
      <c r="D1927">
        <v>3714</v>
      </c>
    </row>
    <row r="1928" spans="1:4">
      <c r="A1928" t="s">
        <v>4849</v>
      </c>
      <c r="B1928" t="s">
        <v>4850</v>
      </c>
      <c r="C1928" t="s">
        <v>4849</v>
      </c>
      <c r="D1928">
        <v>6331</v>
      </c>
    </row>
    <row r="1929" spans="1:4">
      <c r="A1929" t="s">
        <v>4851</v>
      </c>
      <c r="B1929" t="s">
        <v>4852</v>
      </c>
      <c r="C1929" t="s">
        <v>4851</v>
      </c>
      <c r="D1929">
        <v>3841</v>
      </c>
    </row>
    <row r="1930" spans="1:4">
      <c r="A1930" t="s">
        <v>4853</v>
      </c>
      <c r="B1930" t="s">
        <v>4854</v>
      </c>
      <c r="C1930" t="s">
        <v>4853</v>
      </c>
      <c r="D1930">
        <v>8742</v>
      </c>
    </row>
    <row r="1931" spans="1:4">
      <c r="A1931" t="s">
        <v>4855</v>
      </c>
      <c r="B1931" t="s">
        <v>4856</v>
      </c>
      <c r="C1931" t="s">
        <v>4855</v>
      </c>
      <c r="D1931">
        <v>3674</v>
      </c>
    </row>
    <row r="1932" spans="1:4">
      <c r="A1932" t="s">
        <v>4857</v>
      </c>
      <c r="B1932" t="s">
        <v>4858</v>
      </c>
      <c r="C1932" t="s">
        <v>4857</v>
      </c>
      <c r="D1932">
        <v>7372</v>
      </c>
    </row>
    <row r="1933" spans="1:4">
      <c r="A1933" t="s">
        <v>4859</v>
      </c>
      <c r="B1933" t="s">
        <v>4860</v>
      </c>
      <c r="C1933" t="s">
        <v>4859</v>
      </c>
      <c r="D1933">
        <v>8731</v>
      </c>
    </row>
    <row r="1934" spans="1:4">
      <c r="A1934" t="s">
        <v>4861</v>
      </c>
      <c r="B1934" t="s">
        <v>4862</v>
      </c>
      <c r="C1934" t="s">
        <v>4861</v>
      </c>
      <c r="D1934">
        <v>2836</v>
      </c>
    </row>
    <row r="1935" spans="1:4">
      <c r="A1935" t="s">
        <v>4863</v>
      </c>
      <c r="B1935" t="s">
        <v>4864</v>
      </c>
      <c r="C1935" t="s">
        <v>4863</v>
      </c>
      <c r="D1935">
        <v>7389</v>
      </c>
    </row>
    <row r="1936" spans="1:4">
      <c r="A1936" t="s">
        <v>4865</v>
      </c>
      <c r="B1936" t="s">
        <v>4866</v>
      </c>
      <c r="C1936" t="s">
        <v>4865</v>
      </c>
      <c r="D1936">
        <v>3841</v>
      </c>
    </row>
    <row r="1937" spans="1:4">
      <c r="A1937" t="s">
        <v>4867</v>
      </c>
      <c r="B1937" t="s">
        <v>4868</v>
      </c>
      <c r="C1937" t="s">
        <v>4867</v>
      </c>
      <c r="D1937">
        <v>4911</v>
      </c>
    </row>
    <row r="1938" spans="1:4">
      <c r="A1938" t="s">
        <v>4869</v>
      </c>
      <c r="B1938" t="s">
        <v>4870</v>
      </c>
      <c r="C1938" t="s">
        <v>4869</v>
      </c>
      <c r="D1938">
        <v>3711</v>
      </c>
    </row>
    <row r="1939" spans="1:4">
      <c r="A1939" t="s">
        <v>4871</v>
      </c>
      <c r="B1939" t="s">
        <v>4872</v>
      </c>
      <c r="C1939" t="s">
        <v>4871</v>
      </c>
      <c r="D1939">
        <v>2834</v>
      </c>
    </row>
    <row r="1940" spans="1:4">
      <c r="A1940" t="s">
        <v>4873</v>
      </c>
      <c r="B1940" t="s">
        <v>4874</v>
      </c>
      <c r="C1940" t="s">
        <v>4873</v>
      </c>
      <c r="D1940">
        <v>3577</v>
      </c>
    </row>
    <row r="1941" spans="1:4">
      <c r="A1941" t="s">
        <v>4875</v>
      </c>
      <c r="B1941" t="s">
        <v>4876</v>
      </c>
      <c r="C1941" t="s">
        <v>4875</v>
      </c>
      <c r="D1941">
        <v>3561</v>
      </c>
    </row>
    <row r="1942" spans="1:4">
      <c r="A1942" t="s">
        <v>4877</v>
      </c>
      <c r="B1942" t="s">
        <v>4878</v>
      </c>
      <c r="C1942" t="s">
        <v>4877</v>
      </c>
      <c r="D1942">
        <v>2835</v>
      </c>
    </row>
    <row r="1943" spans="1:4">
      <c r="A1943" t="s">
        <v>4879</v>
      </c>
      <c r="B1943" t="s">
        <v>4880</v>
      </c>
      <c r="C1943" t="s">
        <v>4879</v>
      </c>
      <c r="D1943">
        <v>4813</v>
      </c>
    </row>
    <row r="1944" spans="1:4">
      <c r="A1944" t="s">
        <v>4881</v>
      </c>
      <c r="B1944" t="s">
        <v>4882</v>
      </c>
      <c r="C1944" t="s">
        <v>4881</v>
      </c>
      <c r="D1944">
        <v>7310</v>
      </c>
    </row>
    <row r="1945" spans="1:4">
      <c r="A1945" t="s">
        <v>4883</v>
      </c>
      <c r="B1945" t="s">
        <v>4884</v>
      </c>
      <c r="C1945" t="s">
        <v>4883</v>
      </c>
      <c r="D1945">
        <v>3678</v>
      </c>
    </row>
    <row r="1946" spans="1:4">
      <c r="A1946" t="s">
        <v>4885</v>
      </c>
      <c r="B1946" t="s">
        <v>4886</v>
      </c>
      <c r="C1946" t="s">
        <v>4885</v>
      </c>
      <c r="D1946">
        <v>1731</v>
      </c>
    </row>
    <row r="1947" spans="1:4">
      <c r="A1947" t="s">
        <v>4887</v>
      </c>
      <c r="B1947" t="s">
        <v>4888</v>
      </c>
      <c r="C1947" t="s">
        <v>4887</v>
      </c>
      <c r="D1947">
        <v>6035</v>
      </c>
    </row>
    <row r="1948" spans="1:4">
      <c r="A1948" t="s">
        <v>4889</v>
      </c>
      <c r="B1948" t="s">
        <v>4890</v>
      </c>
      <c r="C1948" t="s">
        <v>4889</v>
      </c>
      <c r="D1948">
        <v>4832</v>
      </c>
    </row>
    <row r="1949" spans="1:4">
      <c r="A1949" t="s">
        <v>4891</v>
      </c>
      <c r="B1949" t="s">
        <v>4892</v>
      </c>
      <c r="C1949" t="s">
        <v>4891</v>
      </c>
      <c r="D1949">
        <v>8200</v>
      </c>
    </row>
    <row r="1950" spans="1:4">
      <c r="A1950" t="s">
        <v>4893</v>
      </c>
      <c r="B1950" t="s">
        <v>4894</v>
      </c>
      <c r="C1950" t="s">
        <v>4893</v>
      </c>
      <c r="D1950">
        <v>3827</v>
      </c>
    </row>
    <row r="1951" spans="1:4">
      <c r="A1951" t="s">
        <v>4895</v>
      </c>
      <c r="B1951" t="s">
        <v>4896</v>
      </c>
      <c r="C1951" t="s">
        <v>4895</v>
      </c>
      <c r="D1951">
        <v>2836</v>
      </c>
    </row>
    <row r="1952" spans="1:4">
      <c r="A1952" t="s">
        <v>4897</v>
      </c>
      <c r="B1952" t="s">
        <v>4898</v>
      </c>
      <c r="C1952" t="s">
        <v>4897</v>
      </c>
      <c r="D1952">
        <v>3861</v>
      </c>
    </row>
    <row r="1953" spans="1:4">
      <c r="A1953" t="s">
        <v>4899</v>
      </c>
      <c r="B1953" t="s">
        <v>4900</v>
      </c>
      <c r="C1953" t="s">
        <v>4899</v>
      </c>
      <c r="D1953">
        <v>3560</v>
      </c>
    </row>
    <row r="1954" spans="1:4">
      <c r="A1954" t="s">
        <v>4901</v>
      </c>
      <c r="B1954" t="s">
        <v>4902</v>
      </c>
      <c r="C1954" t="s">
        <v>4901</v>
      </c>
      <c r="D1954">
        <v>3826</v>
      </c>
    </row>
    <row r="1955" spans="1:4">
      <c r="A1955" t="s">
        <v>4903</v>
      </c>
      <c r="B1955" t="s">
        <v>4904</v>
      </c>
      <c r="C1955" t="s">
        <v>4903</v>
      </c>
      <c r="D1955">
        <v>8093</v>
      </c>
    </row>
    <row r="1956" spans="1:4">
      <c r="A1956" t="s">
        <v>4905</v>
      </c>
      <c r="B1956" t="s">
        <v>4906</v>
      </c>
      <c r="C1956" t="s">
        <v>4905</v>
      </c>
      <c r="D1956">
        <v>3861</v>
      </c>
    </row>
    <row r="1957" spans="1:4">
      <c r="A1957" t="s">
        <v>4907</v>
      </c>
      <c r="B1957" t="s">
        <v>4908</v>
      </c>
      <c r="C1957" t="s">
        <v>4907</v>
      </c>
      <c r="D1957">
        <v>5961</v>
      </c>
    </row>
    <row r="1958" spans="1:4">
      <c r="A1958" t="s">
        <v>4909</v>
      </c>
      <c r="B1958" t="s">
        <v>4910</v>
      </c>
      <c r="C1958" t="s">
        <v>4909</v>
      </c>
      <c r="D1958">
        <v>3577</v>
      </c>
    </row>
    <row r="1959" spans="1:4">
      <c r="A1959" t="s">
        <v>4911</v>
      </c>
      <c r="B1959" t="s">
        <v>4912</v>
      </c>
      <c r="C1959" t="s">
        <v>4911</v>
      </c>
      <c r="D1959">
        <v>2835</v>
      </c>
    </row>
    <row r="1960" spans="1:4">
      <c r="A1960" t="s">
        <v>4913</v>
      </c>
      <c r="B1960" t="s">
        <v>4914</v>
      </c>
      <c r="C1960" t="s">
        <v>4913</v>
      </c>
      <c r="D1960">
        <v>2834</v>
      </c>
    </row>
    <row r="1961" spans="1:4">
      <c r="A1961" t="s">
        <v>4915</v>
      </c>
      <c r="B1961" t="s">
        <v>4916</v>
      </c>
      <c r="C1961" t="s">
        <v>4915</v>
      </c>
      <c r="D1961">
        <v>2836</v>
      </c>
    </row>
    <row r="1962" spans="1:4">
      <c r="A1962" t="s">
        <v>4917</v>
      </c>
      <c r="B1962" t="s">
        <v>4918</v>
      </c>
      <c r="C1962" t="s">
        <v>4917</v>
      </c>
      <c r="D1962">
        <v>2834</v>
      </c>
    </row>
    <row r="1963" spans="1:4">
      <c r="A1963" t="s">
        <v>4919</v>
      </c>
      <c r="B1963" t="s">
        <v>4920</v>
      </c>
      <c r="C1963" t="s">
        <v>4919</v>
      </c>
      <c r="D1963">
        <v>6798</v>
      </c>
    </row>
    <row r="1964" spans="1:4">
      <c r="A1964" t="s">
        <v>4921</v>
      </c>
      <c r="B1964" t="s">
        <v>4922</v>
      </c>
      <c r="C1964" t="s">
        <v>4921</v>
      </c>
      <c r="D1964">
        <v>3679</v>
      </c>
    </row>
    <row r="1965" spans="1:4">
      <c r="A1965" t="s">
        <v>4923</v>
      </c>
      <c r="B1965" t="s">
        <v>4924</v>
      </c>
      <c r="C1965" t="s">
        <v>4923</v>
      </c>
      <c r="D1965">
        <v>3841</v>
      </c>
    </row>
    <row r="1966" spans="1:4">
      <c r="A1966" t="s">
        <v>4925</v>
      </c>
      <c r="B1966" t="s">
        <v>4926</v>
      </c>
      <c r="C1966" t="s">
        <v>4925</v>
      </c>
      <c r="D1966">
        <v>8731</v>
      </c>
    </row>
    <row r="1967" spans="1:4">
      <c r="A1967" t="s">
        <v>4927</v>
      </c>
      <c r="B1967" t="s">
        <v>4928</v>
      </c>
      <c r="C1967" t="s">
        <v>4927</v>
      </c>
      <c r="D1967">
        <v>1381</v>
      </c>
    </row>
    <row r="1968" spans="1:4">
      <c r="A1968" t="s">
        <v>4929</v>
      </c>
      <c r="B1968" t="s">
        <v>4930</v>
      </c>
      <c r="C1968" t="s">
        <v>4929</v>
      </c>
      <c r="D1968">
        <v>6798</v>
      </c>
    </row>
    <row r="1969" spans="1:4">
      <c r="A1969" t="s">
        <v>4931</v>
      </c>
      <c r="B1969" t="s">
        <v>4932</v>
      </c>
      <c r="C1969" t="s">
        <v>4931</v>
      </c>
      <c r="D1969">
        <v>6022</v>
      </c>
    </row>
    <row r="1970" spans="1:4">
      <c r="A1970" t="s">
        <v>4933</v>
      </c>
      <c r="B1970" t="s">
        <v>4934</v>
      </c>
      <c r="C1970" t="s">
        <v>4933</v>
      </c>
      <c r="D1970">
        <v>6022</v>
      </c>
    </row>
    <row r="1971" spans="1:4">
      <c r="A1971" t="s">
        <v>4935</v>
      </c>
      <c r="B1971" t="s">
        <v>4936</v>
      </c>
      <c r="C1971" t="s">
        <v>4935</v>
      </c>
      <c r="D1971">
        <v>6022</v>
      </c>
    </row>
    <row r="1972" spans="1:4">
      <c r="A1972" t="s">
        <v>4937</v>
      </c>
      <c r="B1972" t="s">
        <v>4938</v>
      </c>
      <c r="C1972" t="s">
        <v>4937</v>
      </c>
      <c r="D1972">
        <v>5065</v>
      </c>
    </row>
    <row r="1973" spans="1:4">
      <c r="A1973" t="s">
        <v>4939</v>
      </c>
      <c r="B1973" t="s">
        <v>4940</v>
      </c>
      <c r="C1973" t="s">
        <v>4939</v>
      </c>
      <c r="D1973">
        <v>3674</v>
      </c>
    </row>
    <row r="1974" spans="1:4">
      <c r="A1974" t="s">
        <v>4941</v>
      </c>
      <c r="B1974" t="s">
        <v>4942</v>
      </c>
      <c r="C1974" t="s">
        <v>4941</v>
      </c>
      <c r="D1974">
        <v>1311</v>
      </c>
    </row>
    <row r="1975" spans="1:4">
      <c r="A1975" t="s">
        <v>4943</v>
      </c>
      <c r="B1975" t="s">
        <v>4944</v>
      </c>
      <c r="C1975" t="s">
        <v>4943</v>
      </c>
      <c r="D1975">
        <v>3661</v>
      </c>
    </row>
    <row r="1976" spans="1:4">
      <c r="A1976" t="s">
        <v>4945</v>
      </c>
      <c r="B1976" t="s">
        <v>4946</v>
      </c>
      <c r="C1976" t="s">
        <v>4945</v>
      </c>
      <c r="D1976">
        <v>2834</v>
      </c>
    </row>
    <row r="1977" spans="1:4">
      <c r="A1977" t="s">
        <v>4947</v>
      </c>
      <c r="B1977" t="s">
        <v>4948</v>
      </c>
      <c r="C1977" t="s">
        <v>4947</v>
      </c>
      <c r="D1977">
        <v>7372</v>
      </c>
    </row>
    <row r="1978" spans="1:4">
      <c r="A1978" t="s">
        <v>4949</v>
      </c>
      <c r="B1978" t="s">
        <v>4950</v>
      </c>
      <c r="C1978" t="s">
        <v>4949</v>
      </c>
      <c r="D1978">
        <v>7372</v>
      </c>
    </row>
    <row r="1979" spans="1:4">
      <c r="A1979" t="s">
        <v>4951</v>
      </c>
      <c r="B1979" t="s">
        <v>4952</v>
      </c>
      <c r="C1979" t="s">
        <v>4951</v>
      </c>
      <c r="D1979">
        <v>8742</v>
      </c>
    </row>
    <row r="1980" spans="1:4">
      <c r="A1980" t="s">
        <v>4953</v>
      </c>
      <c r="B1980" t="s">
        <v>4954</v>
      </c>
      <c r="C1980" t="s">
        <v>4953</v>
      </c>
      <c r="D1980">
        <v>6770</v>
      </c>
    </row>
    <row r="1981" spans="1:4">
      <c r="A1981" t="s">
        <v>4955</v>
      </c>
      <c r="B1981" t="s">
        <v>4956</v>
      </c>
      <c r="C1981" t="s">
        <v>4955</v>
      </c>
      <c r="D1981">
        <v>3841</v>
      </c>
    </row>
    <row r="1982" spans="1:4">
      <c r="A1982" t="s">
        <v>4957</v>
      </c>
      <c r="B1982" t="s">
        <v>4958</v>
      </c>
      <c r="C1982" t="s">
        <v>4957</v>
      </c>
      <c r="D1982">
        <v>3560</v>
      </c>
    </row>
    <row r="1983" spans="1:4">
      <c r="A1983" t="s">
        <v>4959</v>
      </c>
      <c r="B1983" t="s">
        <v>4960</v>
      </c>
      <c r="C1983" t="s">
        <v>4959</v>
      </c>
      <c r="D1983">
        <v>2800</v>
      </c>
    </row>
    <row r="1984" spans="1:4">
      <c r="A1984" t="s">
        <v>4961</v>
      </c>
      <c r="B1984" t="s">
        <v>4962</v>
      </c>
      <c r="C1984" t="s">
        <v>4961</v>
      </c>
      <c r="D1984">
        <v>5411</v>
      </c>
    </row>
    <row r="1985" spans="1:4">
      <c r="A1985" t="s">
        <v>4963</v>
      </c>
      <c r="B1985" t="s">
        <v>4964</v>
      </c>
      <c r="C1985" t="s">
        <v>4963</v>
      </c>
      <c r="D1985">
        <v>2040</v>
      </c>
    </row>
    <row r="1986" spans="1:4">
      <c r="A1986" t="s">
        <v>4965</v>
      </c>
      <c r="B1986" t="s">
        <v>4966</v>
      </c>
      <c r="C1986" t="s">
        <v>4965</v>
      </c>
      <c r="D1986">
        <v>2836</v>
      </c>
    </row>
    <row r="1987" spans="1:4">
      <c r="A1987" t="s">
        <v>4967</v>
      </c>
      <c r="B1987" t="s">
        <v>4968</v>
      </c>
      <c r="C1987" t="s">
        <v>4967</v>
      </c>
      <c r="D1987">
        <v>2836</v>
      </c>
    </row>
    <row r="1988" spans="1:4">
      <c r="A1988" t="s">
        <v>4969</v>
      </c>
      <c r="B1988" t="s">
        <v>4970</v>
      </c>
      <c r="C1988" t="s">
        <v>4969</v>
      </c>
      <c r="D1988">
        <v>6798</v>
      </c>
    </row>
    <row r="1989" spans="1:4">
      <c r="A1989" t="s">
        <v>4971</v>
      </c>
      <c r="B1989" t="s">
        <v>4972</v>
      </c>
      <c r="C1989" t="s">
        <v>4971</v>
      </c>
      <c r="D1989">
        <v>3845</v>
      </c>
    </row>
    <row r="1990" spans="1:4">
      <c r="A1990" t="s">
        <v>4973</v>
      </c>
      <c r="B1990" t="s">
        <v>4974</v>
      </c>
      <c r="C1990" t="s">
        <v>4973</v>
      </c>
      <c r="D1990">
        <v>2836</v>
      </c>
    </row>
    <row r="1991" spans="1:4">
      <c r="A1991" t="s">
        <v>4975</v>
      </c>
      <c r="B1991" t="s">
        <v>4976</v>
      </c>
      <c r="C1991" t="s">
        <v>4975</v>
      </c>
      <c r="D1991">
        <v>7374</v>
      </c>
    </row>
    <row r="1992" spans="1:4">
      <c r="A1992" t="s">
        <v>4977</v>
      </c>
      <c r="B1992" t="s">
        <v>4978</v>
      </c>
      <c r="C1992" t="s">
        <v>4977</v>
      </c>
      <c r="D1992">
        <v>2800</v>
      </c>
    </row>
    <row r="1993" spans="1:4">
      <c r="A1993" t="s">
        <v>4979</v>
      </c>
      <c r="B1993" t="s">
        <v>4980</v>
      </c>
      <c r="C1993" t="s">
        <v>4979</v>
      </c>
      <c r="D1993">
        <v>8000</v>
      </c>
    </row>
    <row r="1994" spans="1:4">
      <c r="A1994" t="s">
        <v>4981</v>
      </c>
      <c r="B1994" t="s">
        <v>4982</v>
      </c>
      <c r="C1994" t="s">
        <v>4981</v>
      </c>
      <c r="D1994">
        <v>3440</v>
      </c>
    </row>
    <row r="1995" spans="1:4">
      <c r="A1995" t="s">
        <v>4983</v>
      </c>
      <c r="B1995" t="s">
        <v>4984</v>
      </c>
      <c r="C1995" t="s">
        <v>4983</v>
      </c>
      <c r="D1995">
        <v>5141</v>
      </c>
    </row>
    <row r="1996" spans="1:4">
      <c r="A1996" t="s">
        <v>4985</v>
      </c>
      <c r="B1996" t="s">
        <v>4986</v>
      </c>
      <c r="C1996" t="s">
        <v>4985</v>
      </c>
      <c r="D1996">
        <v>6500</v>
      </c>
    </row>
    <row r="1997" spans="1:4">
      <c r="A1997" t="s">
        <v>4987</v>
      </c>
      <c r="B1997" t="s">
        <v>4988</v>
      </c>
      <c r="C1997" t="s">
        <v>4987</v>
      </c>
      <c r="D1997">
        <v>7371</v>
      </c>
    </row>
    <row r="1998" spans="1:4">
      <c r="A1998" t="s">
        <v>4989</v>
      </c>
      <c r="B1998" t="s">
        <v>4990</v>
      </c>
      <c r="C1998" t="s">
        <v>4989</v>
      </c>
      <c r="D1998">
        <v>7372</v>
      </c>
    </row>
    <row r="1999" spans="1:4">
      <c r="A1999" t="s">
        <v>4991</v>
      </c>
      <c r="B1999" t="s">
        <v>4992</v>
      </c>
      <c r="C1999" t="s">
        <v>4991</v>
      </c>
      <c r="D1999">
        <v>2834</v>
      </c>
    </row>
    <row r="2000" spans="1:4">
      <c r="A2000" t="s">
        <v>4993</v>
      </c>
      <c r="B2000" t="s">
        <v>4994</v>
      </c>
      <c r="C2000" t="s">
        <v>4993</v>
      </c>
      <c r="D2000">
        <v>6798</v>
      </c>
    </row>
    <row r="2001" spans="1:4">
      <c r="A2001" t="s">
        <v>4995</v>
      </c>
      <c r="B2001" t="s">
        <v>4996</v>
      </c>
      <c r="C2001" t="s">
        <v>4995</v>
      </c>
      <c r="D2001">
        <v>3842</v>
      </c>
    </row>
    <row r="2002" spans="1:4">
      <c r="A2002" t="s">
        <v>4997</v>
      </c>
      <c r="B2002" t="s">
        <v>4998</v>
      </c>
      <c r="C2002" t="s">
        <v>4997</v>
      </c>
      <c r="D2002">
        <v>8731</v>
      </c>
    </row>
    <row r="2003" spans="1:4">
      <c r="A2003" t="s">
        <v>4999</v>
      </c>
      <c r="B2003" t="s">
        <v>5000</v>
      </c>
      <c r="C2003" t="s">
        <v>4999</v>
      </c>
      <c r="D2003">
        <v>3841</v>
      </c>
    </row>
    <row r="2004" spans="1:4">
      <c r="A2004" t="s">
        <v>5001</v>
      </c>
      <c r="B2004" t="s">
        <v>5002</v>
      </c>
      <c r="C2004" t="s">
        <v>5001</v>
      </c>
      <c r="D2004">
        <v>7371</v>
      </c>
    </row>
    <row r="2005" spans="1:4">
      <c r="A2005" t="s">
        <v>5003</v>
      </c>
      <c r="B2005" t="s">
        <v>5004</v>
      </c>
      <c r="C2005" t="s">
        <v>5003</v>
      </c>
      <c r="D2005">
        <v>3669</v>
      </c>
    </row>
    <row r="2006" spans="1:4">
      <c r="A2006" t="s">
        <v>5005</v>
      </c>
      <c r="B2006" t="s">
        <v>5006</v>
      </c>
      <c r="C2006" t="s">
        <v>5005</v>
      </c>
      <c r="D2006">
        <v>5961</v>
      </c>
    </row>
    <row r="2007" spans="1:4">
      <c r="A2007" t="s">
        <v>5007</v>
      </c>
      <c r="B2007" t="s">
        <v>5008</v>
      </c>
      <c r="C2007" t="s">
        <v>5007</v>
      </c>
      <c r="D2007">
        <v>7310</v>
      </c>
    </row>
    <row r="2008" spans="1:4">
      <c r="A2008" t="s">
        <v>5009</v>
      </c>
      <c r="B2008" t="s">
        <v>5010</v>
      </c>
      <c r="C2008" t="s">
        <v>5009</v>
      </c>
      <c r="D2008">
        <v>2834</v>
      </c>
    </row>
    <row r="2009" spans="1:4">
      <c r="A2009" t="s">
        <v>5011</v>
      </c>
      <c r="B2009" t="s">
        <v>5012</v>
      </c>
      <c r="C2009" t="s">
        <v>5011</v>
      </c>
      <c r="D2009">
        <v>7363</v>
      </c>
    </row>
    <row r="2010" spans="1:4">
      <c r="A2010" t="s">
        <v>5013</v>
      </c>
      <c r="B2010" t="s">
        <v>5014</v>
      </c>
      <c r="C2010" t="s">
        <v>5013</v>
      </c>
      <c r="D2010">
        <v>3841</v>
      </c>
    </row>
    <row r="2011" spans="1:4">
      <c r="A2011" t="s">
        <v>5015</v>
      </c>
      <c r="B2011" t="s">
        <v>5016</v>
      </c>
      <c r="C2011" t="s">
        <v>5015</v>
      </c>
      <c r="D2011">
        <v>7372</v>
      </c>
    </row>
    <row r="2012" spans="1:4">
      <c r="A2012" t="s">
        <v>5017</v>
      </c>
      <c r="B2012" t="s">
        <v>5018</v>
      </c>
      <c r="C2012" t="s">
        <v>5017</v>
      </c>
      <c r="D2012">
        <v>3841</v>
      </c>
    </row>
    <row r="2013" spans="1:4">
      <c r="A2013" t="s">
        <v>5019</v>
      </c>
      <c r="B2013" t="s">
        <v>5020</v>
      </c>
      <c r="C2013" t="s">
        <v>5019</v>
      </c>
      <c r="D2013">
        <v>1520</v>
      </c>
    </row>
    <row r="2014" spans="1:4">
      <c r="A2014" t="s">
        <v>5021</v>
      </c>
      <c r="B2014" t="s">
        <v>5022</v>
      </c>
      <c r="C2014" t="s">
        <v>5021</v>
      </c>
      <c r="D2014">
        <v>3310</v>
      </c>
    </row>
    <row r="2015" spans="1:4">
      <c r="A2015" t="s">
        <v>5023</v>
      </c>
      <c r="B2015" t="s">
        <v>5024</v>
      </c>
      <c r="C2015" t="s">
        <v>5023</v>
      </c>
      <c r="D2015">
        <v>3841</v>
      </c>
    </row>
    <row r="2016" spans="1:4">
      <c r="A2016" t="s">
        <v>5025</v>
      </c>
      <c r="B2016" t="s">
        <v>5026</v>
      </c>
      <c r="C2016" t="s">
        <v>5025</v>
      </c>
      <c r="D2016">
        <v>3690</v>
      </c>
    </row>
    <row r="2017" spans="1:4">
      <c r="A2017" t="s">
        <v>5027</v>
      </c>
      <c r="B2017" t="s">
        <v>5028</v>
      </c>
      <c r="C2017" t="s">
        <v>5027</v>
      </c>
      <c r="D2017">
        <v>3841</v>
      </c>
    </row>
    <row r="2018" spans="1:4">
      <c r="A2018" t="s">
        <v>5029</v>
      </c>
      <c r="B2018" t="s">
        <v>5030</v>
      </c>
      <c r="C2018" t="s">
        <v>5029</v>
      </c>
      <c r="D2018">
        <v>7370</v>
      </c>
    </row>
    <row r="2019" spans="1:4">
      <c r="A2019" t="s">
        <v>5031</v>
      </c>
      <c r="B2019" t="s">
        <v>5032</v>
      </c>
      <c r="C2019" t="s">
        <v>5031</v>
      </c>
      <c r="D2019">
        <v>2834</v>
      </c>
    </row>
    <row r="2020" spans="1:4">
      <c r="A2020" t="s">
        <v>5033</v>
      </c>
      <c r="B2020" t="s">
        <v>5034</v>
      </c>
      <c r="C2020" t="s">
        <v>5033</v>
      </c>
      <c r="D2020">
        <v>3674</v>
      </c>
    </row>
    <row r="2021" spans="1:4">
      <c r="A2021" t="s">
        <v>5035</v>
      </c>
      <c r="B2021" t="s">
        <v>5036</v>
      </c>
      <c r="C2021" t="s">
        <v>5035</v>
      </c>
      <c r="D2021">
        <v>2834</v>
      </c>
    </row>
    <row r="2022" spans="1:4">
      <c r="A2022" t="s">
        <v>5037</v>
      </c>
      <c r="B2022" t="s">
        <v>5038</v>
      </c>
      <c r="C2022" t="s">
        <v>5037</v>
      </c>
      <c r="D2022">
        <v>2835</v>
      </c>
    </row>
    <row r="2023" spans="1:4">
      <c r="A2023" t="s">
        <v>5039</v>
      </c>
      <c r="B2023" t="s">
        <v>5040</v>
      </c>
      <c r="C2023" t="s">
        <v>5039</v>
      </c>
      <c r="D2023">
        <v>7372</v>
      </c>
    </row>
    <row r="2024" spans="1:4">
      <c r="A2024" t="s">
        <v>5041</v>
      </c>
      <c r="B2024" t="s">
        <v>5042</v>
      </c>
      <c r="C2024" t="s">
        <v>5041</v>
      </c>
      <c r="D2024">
        <v>7372</v>
      </c>
    </row>
    <row r="2025" spans="1:4">
      <c r="A2025" t="s">
        <v>5043</v>
      </c>
      <c r="B2025" t="s">
        <v>5044</v>
      </c>
      <c r="C2025" t="s">
        <v>5043</v>
      </c>
      <c r="D2025">
        <v>2844</v>
      </c>
    </row>
    <row r="2026" spans="1:4">
      <c r="A2026" t="s">
        <v>5045</v>
      </c>
      <c r="B2026" t="s">
        <v>5046</v>
      </c>
      <c r="C2026" t="s">
        <v>5045</v>
      </c>
      <c r="D2026">
        <v>6211</v>
      </c>
    </row>
    <row r="2027" spans="1:4">
      <c r="A2027" t="s">
        <v>5047</v>
      </c>
      <c r="B2027" t="s">
        <v>5048</v>
      </c>
      <c r="C2027" t="s">
        <v>5047</v>
      </c>
      <c r="D2027">
        <v>2834</v>
      </c>
    </row>
    <row r="2028" spans="1:4">
      <c r="A2028" t="s">
        <v>5049</v>
      </c>
      <c r="B2028" t="s">
        <v>5050</v>
      </c>
      <c r="C2028" t="s">
        <v>5049</v>
      </c>
      <c r="D2028">
        <v>6200</v>
      </c>
    </row>
    <row r="2029" spans="1:4">
      <c r="A2029" t="s">
        <v>5051</v>
      </c>
      <c r="B2029" t="s">
        <v>5052</v>
      </c>
      <c r="C2029" t="s">
        <v>5051</v>
      </c>
      <c r="D2029">
        <v>6794</v>
      </c>
    </row>
    <row r="2030" spans="1:4">
      <c r="A2030" t="s">
        <v>5053</v>
      </c>
      <c r="B2030" t="s">
        <v>5054</v>
      </c>
      <c r="C2030" t="s">
        <v>5053</v>
      </c>
      <c r="D2030">
        <v>2273</v>
      </c>
    </row>
    <row r="2031" spans="1:4">
      <c r="A2031" t="s">
        <v>5055</v>
      </c>
      <c r="B2031" t="s">
        <v>5056</v>
      </c>
      <c r="C2031" t="s">
        <v>5055</v>
      </c>
      <c r="D2031">
        <v>6513</v>
      </c>
    </row>
    <row r="2032" spans="1:4">
      <c r="A2032" t="s">
        <v>5057</v>
      </c>
      <c r="B2032" t="s">
        <v>5058</v>
      </c>
      <c r="C2032" t="s">
        <v>5057</v>
      </c>
      <c r="D2032">
        <v>3577</v>
      </c>
    </row>
    <row r="2033" spans="1:4">
      <c r="A2033" t="s">
        <v>5059</v>
      </c>
      <c r="B2033" t="s">
        <v>5060</v>
      </c>
      <c r="C2033" t="s">
        <v>5059</v>
      </c>
      <c r="D2033">
        <v>6022</v>
      </c>
    </row>
    <row r="2034" spans="1:4">
      <c r="A2034" t="s">
        <v>485</v>
      </c>
      <c r="B2034" t="s">
        <v>486</v>
      </c>
      <c r="C2034" t="s">
        <v>485</v>
      </c>
      <c r="D2034">
        <v>3570</v>
      </c>
    </row>
    <row r="2035" spans="1:4">
      <c r="A2035" t="s">
        <v>5061</v>
      </c>
      <c r="B2035" t="s">
        <v>5062</v>
      </c>
      <c r="C2035" t="s">
        <v>5061</v>
      </c>
      <c r="D2035">
        <v>2860</v>
      </c>
    </row>
    <row r="2036" spans="1:4">
      <c r="A2036" t="s">
        <v>5063</v>
      </c>
      <c r="B2036" t="s">
        <v>5064</v>
      </c>
      <c r="C2036" t="s">
        <v>5063</v>
      </c>
      <c r="D2036">
        <v>7990</v>
      </c>
    </row>
    <row r="2037" spans="1:4">
      <c r="A2037" t="s">
        <v>5065</v>
      </c>
      <c r="B2037" t="s">
        <v>5066</v>
      </c>
      <c r="C2037" t="s">
        <v>5065</v>
      </c>
      <c r="D2037">
        <v>3823</v>
      </c>
    </row>
    <row r="2038" spans="1:4">
      <c r="A2038" t="s">
        <v>5067</v>
      </c>
      <c r="B2038" t="s">
        <v>5068</v>
      </c>
      <c r="C2038" t="s">
        <v>5067</v>
      </c>
      <c r="D2038">
        <v>7389</v>
      </c>
    </row>
    <row r="2039" spans="1:4">
      <c r="A2039" t="s">
        <v>5069</v>
      </c>
      <c r="B2039" t="s">
        <v>5070</v>
      </c>
      <c r="C2039" t="s">
        <v>5069</v>
      </c>
      <c r="D2039">
        <v>2621</v>
      </c>
    </row>
    <row r="2040" spans="1:4">
      <c r="A2040" t="s">
        <v>5071</v>
      </c>
      <c r="B2040" t="s">
        <v>5072</v>
      </c>
      <c r="C2040" t="s">
        <v>5071</v>
      </c>
      <c r="D2040">
        <v>4400</v>
      </c>
    </row>
    <row r="2041" spans="1:4">
      <c r="A2041" t="s">
        <v>5073</v>
      </c>
      <c r="B2041" t="s">
        <v>5074</v>
      </c>
      <c r="C2041" t="s">
        <v>5073</v>
      </c>
      <c r="D2041">
        <v>3841</v>
      </c>
    </row>
    <row r="2042" spans="1:4">
      <c r="A2042" t="s">
        <v>5075</v>
      </c>
      <c r="B2042" t="s">
        <v>5076</v>
      </c>
      <c r="C2042" t="s">
        <v>5075</v>
      </c>
      <c r="D2042">
        <v>7311</v>
      </c>
    </row>
    <row r="2043" spans="1:4">
      <c r="A2043" t="s">
        <v>5077</v>
      </c>
      <c r="B2043" t="s">
        <v>5078</v>
      </c>
      <c r="C2043" t="s">
        <v>5077</v>
      </c>
      <c r="D2043">
        <v>3825</v>
      </c>
    </row>
    <row r="2044" spans="1:4">
      <c r="A2044" t="s">
        <v>5079</v>
      </c>
      <c r="B2044" t="s">
        <v>5080</v>
      </c>
      <c r="C2044" t="s">
        <v>5079</v>
      </c>
      <c r="D2044">
        <v>3559</v>
      </c>
    </row>
    <row r="2045" spans="1:4">
      <c r="A2045" t="s">
        <v>5081</v>
      </c>
      <c r="B2045" t="s">
        <v>5082</v>
      </c>
      <c r="C2045" t="s">
        <v>5081</v>
      </c>
      <c r="D2045">
        <v>2834</v>
      </c>
    </row>
    <row r="2046" spans="1:4">
      <c r="A2046" t="s">
        <v>5083</v>
      </c>
      <c r="B2046" t="s">
        <v>5084</v>
      </c>
      <c r="C2046" t="s">
        <v>5083</v>
      </c>
      <c r="D2046">
        <v>7372</v>
      </c>
    </row>
    <row r="2047" spans="1:4">
      <c r="A2047" t="s">
        <v>5085</v>
      </c>
      <c r="B2047" t="s">
        <v>5086</v>
      </c>
      <c r="C2047" t="s">
        <v>5085</v>
      </c>
      <c r="D2047">
        <v>3842</v>
      </c>
    </row>
    <row r="2048" spans="1:4">
      <c r="A2048" t="s">
        <v>5087</v>
      </c>
      <c r="B2048" t="s">
        <v>5088</v>
      </c>
      <c r="C2048" t="s">
        <v>5087</v>
      </c>
      <c r="D2048">
        <v>7310</v>
      </c>
    </row>
    <row r="2049" spans="1:4">
      <c r="A2049" t="s">
        <v>5089</v>
      </c>
      <c r="B2049" t="s">
        <v>5090</v>
      </c>
      <c r="C2049" t="s">
        <v>5089</v>
      </c>
      <c r="D2049">
        <v>3842</v>
      </c>
    </row>
    <row r="2050" spans="1:4">
      <c r="A2050" t="s">
        <v>5091</v>
      </c>
      <c r="B2050" t="s">
        <v>5092</v>
      </c>
      <c r="C2050" t="s">
        <v>5091</v>
      </c>
      <c r="D2050">
        <v>6798</v>
      </c>
    </row>
    <row r="2051" spans="1:4">
      <c r="A2051" t="s">
        <v>5093</v>
      </c>
      <c r="B2051" t="s">
        <v>5094</v>
      </c>
      <c r="C2051" t="s">
        <v>5093</v>
      </c>
      <c r="D2051">
        <v>6221</v>
      </c>
    </row>
    <row r="2052" spans="1:4">
      <c r="A2052" t="s">
        <v>5095</v>
      </c>
      <c r="B2052" t="s">
        <v>5096</v>
      </c>
      <c r="C2052" t="s">
        <v>5095</v>
      </c>
      <c r="D2052">
        <v>6221</v>
      </c>
    </row>
    <row r="2053" spans="1:4">
      <c r="A2053" t="s">
        <v>5097</v>
      </c>
      <c r="B2053" t="s">
        <v>5098</v>
      </c>
      <c r="C2053" t="s">
        <v>5097</v>
      </c>
      <c r="D2053">
        <v>6221</v>
      </c>
    </row>
    <row r="2054" spans="1:4">
      <c r="A2054" t="s">
        <v>5099</v>
      </c>
      <c r="B2054" t="s">
        <v>5100</v>
      </c>
      <c r="C2054" t="s">
        <v>5099</v>
      </c>
      <c r="D2054">
        <v>6221</v>
      </c>
    </row>
    <row r="2055" spans="1:4">
      <c r="A2055" t="s">
        <v>5101</v>
      </c>
      <c r="B2055" t="s">
        <v>5102</v>
      </c>
      <c r="C2055" t="s">
        <v>5101</v>
      </c>
      <c r="D2055">
        <v>6221</v>
      </c>
    </row>
    <row r="2056" spans="1:4">
      <c r="A2056" t="s">
        <v>5103</v>
      </c>
      <c r="B2056" t="s">
        <v>5104</v>
      </c>
      <c r="C2056" t="s">
        <v>5103</v>
      </c>
      <c r="D2056">
        <v>6221</v>
      </c>
    </row>
    <row r="2057" spans="1:4">
      <c r="A2057" t="s">
        <v>5105</v>
      </c>
      <c r="B2057" t="s">
        <v>5106</v>
      </c>
      <c r="C2057" t="s">
        <v>5105</v>
      </c>
      <c r="D2057">
        <v>6221</v>
      </c>
    </row>
    <row r="2058" spans="1:4">
      <c r="A2058" t="s">
        <v>5107</v>
      </c>
      <c r="B2058" t="s">
        <v>5108</v>
      </c>
      <c r="C2058" t="s">
        <v>5107</v>
      </c>
      <c r="D2058">
        <v>6221</v>
      </c>
    </row>
    <row r="2059" spans="1:4">
      <c r="A2059" t="s">
        <v>5109</v>
      </c>
      <c r="B2059" t="s">
        <v>5110</v>
      </c>
      <c r="C2059" t="s">
        <v>5109</v>
      </c>
      <c r="D2059">
        <v>6282</v>
      </c>
    </row>
    <row r="2060" spans="1:4">
      <c r="A2060" t="s">
        <v>5111</v>
      </c>
      <c r="B2060" t="s">
        <v>5112</v>
      </c>
      <c r="C2060" t="s">
        <v>5111</v>
      </c>
      <c r="D2060">
        <v>6798</v>
      </c>
    </row>
    <row r="2061" spans="1:4">
      <c r="A2061" t="s">
        <v>5113</v>
      </c>
      <c r="B2061" t="s">
        <v>5114</v>
      </c>
      <c r="C2061" t="s">
        <v>5113</v>
      </c>
      <c r="D2061">
        <v>6022</v>
      </c>
    </row>
    <row r="2062" spans="1:4">
      <c r="A2062" t="s">
        <v>5115</v>
      </c>
      <c r="B2062" t="s">
        <v>5116</v>
      </c>
      <c r="C2062" t="s">
        <v>5115</v>
      </c>
      <c r="D2062">
        <v>6361</v>
      </c>
    </row>
    <row r="2063" spans="1:4">
      <c r="A2063" t="s">
        <v>5117</v>
      </c>
      <c r="B2063" t="s">
        <v>5118</v>
      </c>
      <c r="C2063" t="s">
        <v>5117</v>
      </c>
      <c r="D2063">
        <v>7389</v>
      </c>
    </row>
    <row r="2064" spans="1:4">
      <c r="A2064" t="s">
        <v>5119</v>
      </c>
      <c r="B2064" t="s">
        <v>5120</v>
      </c>
      <c r="C2064" t="s">
        <v>5119</v>
      </c>
      <c r="D2064">
        <v>8071</v>
      </c>
    </row>
    <row r="2065" spans="1:4">
      <c r="A2065" t="s">
        <v>5121</v>
      </c>
      <c r="B2065" t="s">
        <v>5122</v>
      </c>
      <c r="C2065" t="s">
        <v>5121</v>
      </c>
      <c r="D2065">
        <v>6510</v>
      </c>
    </row>
    <row r="2066" spans="1:4">
      <c r="A2066" t="s">
        <v>5123</v>
      </c>
      <c r="B2066" t="s">
        <v>5124</v>
      </c>
      <c r="C2066" t="s">
        <v>5123</v>
      </c>
      <c r="D2066">
        <v>2834</v>
      </c>
    </row>
    <row r="2067" spans="1:4">
      <c r="A2067" t="s">
        <v>5125</v>
      </c>
      <c r="B2067" t="s">
        <v>5126</v>
      </c>
      <c r="C2067" t="s">
        <v>5125</v>
      </c>
      <c r="D2067">
        <v>3674</v>
      </c>
    </row>
    <row r="2068" spans="1:4">
      <c r="A2068" t="s">
        <v>5127</v>
      </c>
      <c r="B2068" t="s">
        <v>5128</v>
      </c>
      <c r="C2068" t="s">
        <v>5127</v>
      </c>
      <c r="D2068">
        <v>5200</v>
      </c>
    </row>
    <row r="2069" spans="1:4">
      <c r="A2069" t="s">
        <v>5129</v>
      </c>
      <c r="B2069" t="s">
        <v>5130</v>
      </c>
      <c r="C2069" t="s">
        <v>5129</v>
      </c>
      <c r="D2069">
        <v>7372</v>
      </c>
    </row>
    <row r="2070" spans="1:4">
      <c r="A2070" t="s">
        <v>5131</v>
      </c>
      <c r="B2070" t="s">
        <v>5132</v>
      </c>
      <c r="C2070" t="s">
        <v>5131</v>
      </c>
      <c r="D2070">
        <v>7841</v>
      </c>
    </row>
    <row r="2071" spans="1:4">
      <c r="A2071" t="s">
        <v>5133</v>
      </c>
      <c r="B2071" t="s">
        <v>5134</v>
      </c>
      <c r="C2071" t="s">
        <v>5133</v>
      </c>
      <c r="D2071">
        <v>8731</v>
      </c>
    </row>
    <row r="2072" spans="1:4">
      <c r="A2072" t="s">
        <v>5135</v>
      </c>
      <c r="B2072" t="s">
        <v>5136</v>
      </c>
      <c r="C2072" t="s">
        <v>5135</v>
      </c>
      <c r="D2072">
        <v>3841</v>
      </c>
    </row>
    <row r="2073" spans="1:4">
      <c r="A2073" t="s">
        <v>5137</v>
      </c>
      <c r="B2073" t="s">
        <v>5138</v>
      </c>
      <c r="C2073" t="s">
        <v>5137</v>
      </c>
      <c r="D2073">
        <v>3841</v>
      </c>
    </row>
    <row r="2074" spans="1:4">
      <c r="A2074" t="s">
        <v>5139</v>
      </c>
      <c r="B2074" t="s">
        <v>5140</v>
      </c>
      <c r="C2074" t="s">
        <v>5139</v>
      </c>
      <c r="D2074">
        <v>3845</v>
      </c>
    </row>
    <row r="2075" spans="1:4">
      <c r="A2075" t="s">
        <v>5141</v>
      </c>
      <c r="B2075" t="s">
        <v>5142</v>
      </c>
      <c r="C2075" t="s">
        <v>5141</v>
      </c>
      <c r="D2075">
        <v>3669</v>
      </c>
    </row>
    <row r="2076" spans="1:4">
      <c r="A2076" t="s">
        <v>5143</v>
      </c>
      <c r="B2076" t="s">
        <v>5144</v>
      </c>
      <c r="C2076" t="s">
        <v>5143</v>
      </c>
      <c r="D2076">
        <v>3630</v>
      </c>
    </row>
    <row r="2077" spans="1:4">
      <c r="A2077" t="s">
        <v>5145</v>
      </c>
      <c r="B2077" t="s">
        <v>5146</v>
      </c>
      <c r="C2077" t="s">
        <v>5145</v>
      </c>
      <c r="D2077">
        <v>6798</v>
      </c>
    </row>
    <row r="2078" spans="1:4">
      <c r="A2078" t="s">
        <v>5147</v>
      </c>
      <c r="B2078" t="s">
        <v>5148</v>
      </c>
      <c r="C2078" t="s">
        <v>5147</v>
      </c>
      <c r="D2078">
        <v>7372</v>
      </c>
    </row>
    <row r="2079" spans="1:4">
      <c r="A2079" t="s">
        <v>5149</v>
      </c>
      <c r="B2079" t="s">
        <v>5150</v>
      </c>
      <c r="C2079" t="s">
        <v>5149</v>
      </c>
      <c r="D2079">
        <v>7374</v>
      </c>
    </row>
    <row r="2080" spans="1:4">
      <c r="A2080" t="s">
        <v>5151</v>
      </c>
      <c r="B2080" t="s">
        <v>5152</v>
      </c>
      <c r="C2080" t="s">
        <v>5151</v>
      </c>
      <c r="D2080">
        <v>2834</v>
      </c>
    </row>
    <row r="2081" spans="1:4">
      <c r="A2081" t="s">
        <v>5153</v>
      </c>
      <c r="B2081" t="s">
        <v>5154</v>
      </c>
      <c r="C2081" t="s">
        <v>5153</v>
      </c>
      <c r="D2081">
        <v>6022</v>
      </c>
    </row>
    <row r="2082" spans="1:4">
      <c r="A2082" t="s">
        <v>5155</v>
      </c>
      <c r="B2082" t="s">
        <v>5156</v>
      </c>
      <c r="C2082" t="s">
        <v>5155</v>
      </c>
      <c r="D2082">
        <v>3826</v>
      </c>
    </row>
    <row r="2083" spans="1:4">
      <c r="A2083" t="s">
        <v>5157</v>
      </c>
      <c r="B2083" t="s">
        <v>5158</v>
      </c>
      <c r="C2083" t="s">
        <v>5157</v>
      </c>
      <c r="D2083">
        <v>2750</v>
      </c>
    </row>
    <row r="2084" spans="1:4">
      <c r="A2084" t="s">
        <v>5159</v>
      </c>
      <c r="B2084" t="s">
        <v>5160</v>
      </c>
      <c r="C2084" t="s">
        <v>5159</v>
      </c>
      <c r="D2084">
        <v>6798</v>
      </c>
    </row>
    <row r="2085" spans="1:4">
      <c r="A2085" t="s">
        <v>5161</v>
      </c>
      <c r="B2085" t="s">
        <v>5162</v>
      </c>
      <c r="C2085" t="s">
        <v>5161</v>
      </c>
      <c r="D2085">
        <v>3674</v>
      </c>
    </row>
    <row r="2086" spans="1:4">
      <c r="A2086" t="s">
        <v>5163</v>
      </c>
      <c r="B2086" t="s">
        <v>5164</v>
      </c>
      <c r="C2086" t="s">
        <v>5163</v>
      </c>
      <c r="D2086">
        <v>2670</v>
      </c>
    </row>
    <row r="2087" spans="1:4">
      <c r="A2087" t="s">
        <v>5165</v>
      </c>
      <c r="B2087" t="s">
        <v>5166</v>
      </c>
      <c r="C2087" t="s">
        <v>5165</v>
      </c>
      <c r="D2087">
        <v>3843</v>
      </c>
    </row>
    <row r="2088" spans="1:4">
      <c r="A2088" t="s">
        <v>5167</v>
      </c>
      <c r="B2088" t="s">
        <v>5168</v>
      </c>
      <c r="C2088" t="s">
        <v>5167</v>
      </c>
      <c r="D2088">
        <v>3669</v>
      </c>
    </row>
    <row r="2089" spans="1:4">
      <c r="A2089" t="s">
        <v>5169</v>
      </c>
      <c r="B2089" t="s">
        <v>5170</v>
      </c>
      <c r="C2089" t="s">
        <v>5169</v>
      </c>
      <c r="D2089">
        <v>3825</v>
      </c>
    </row>
    <row r="2090" spans="1:4">
      <c r="A2090" t="s">
        <v>5171</v>
      </c>
      <c r="B2090" t="s">
        <v>5172</v>
      </c>
      <c r="C2090" t="s">
        <v>5171</v>
      </c>
      <c r="D2090">
        <v>3561</v>
      </c>
    </row>
    <row r="2091" spans="1:4">
      <c r="A2091" t="s">
        <v>5173</v>
      </c>
      <c r="B2091" t="s">
        <v>5174</v>
      </c>
      <c r="C2091" t="s">
        <v>5173</v>
      </c>
      <c r="D2091">
        <v>5065</v>
      </c>
    </row>
    <row r="2092" spans="1:4">
      <c r="A2092" t="s">
        <v>5175</v>
      </c>
      <c r="B2092" t="s">
        <v>5176</v>
      </c>
      <c r="C2092" t="s">
        <v>5175</v>
      </c>
      <c r="D2092">
        <v>7310</v>
      </c>
    </row>
    <row r="2093" spans="1:4">
      <c r="A2093" t="s">
        <v>5177</v>
      </c>
      <c r="B2093" t="s">
        <v>5178</v>
      </c>
      <c r="C2093" t="s">
        <v>5177</v>
      </c>
      <c r="D2093">
        <v>2033</v>
      </c>
    </row>
    <row r="2094" spans="1:4">
      <c r="A2094" t="s">
        <v>5179</v>
      </c>
      <c r="B2094" t="s">
        <v>5180</v>
      </c>
      <c r="C2094" t="s">
        <v>5179</v>
      </c>
      <c r="D2094">
        <v>2052</v>
      </c>
    </row>
    <row r="2095" spans="1:4">
      <c r="A2095" t="s">
        <v>5181</v>
      </c>
      <c r="B2095" t="s">
        <v>5182</v>
      </c>
      <c r="C2095" t="s">
        <v>5181</v>
      </c>
      <c r="D2095">
        <v>2330</v>
      </c>
    </row>
    <row r="2096" spans="1:4">
      <c r="A2096" t="s">
        <v>5183</v>
      </c>
      <c r="B2096" t="s">
        <v>5184</v>
      </c>
      <c r="C2096" t="s">
        <v>5183</v>
      </c>
      <c r="D2096">
        <v>3672</v>
      </c>
    </row>
    <row r="2097" spans="1:4">
      <c r="A2097" t="s">
        <v>5185</v>
      </c>
      <c r="B2097" t="s">
        <v>5186</v>
      </c>
      <c r="C2097" t="s">
        <v>5185</v>
      </c>
      <c r="D2097">
        <v>5812</v>
      </c>
    </row>
    <row r="2098" spans="1:4">
      <c r="A2098" t="s">
        <v>5187</v>
      </c>
      <c r="B2098" t="s">
        <v>5188</v>
      </c>
      <c r="C2098" t="s">
        <v>5187</v>
      </c>
      <c r="D2098">
        <v>6311</v>
      </c>
    </row>
    <row r="2099" spans="1:4">
      <c r="A2099" t="s">
        <v>5189</v>
      </c>
      <c r="B2099" t="s">
        <v>5190</v>
      </c>
      <c r="C2099" t="s">
        <v>5189</v>
      </c>
      <c r="D2099">
        <v>1600</v>
      </c>
    </row>
    <row r="2100" spans="1:4">
      <c r="A2100" t="s">
        <v>5191</v>
      </c>
      <c r="B2100" t="s">
        <v>5192</v>
      </c>
      <c r="C2100" t="s">
        <v>5191</v>
      </c>
      <c r="D2100">
        <v>2834</v>
      </c>
    </row>
    <row r="2101" spans="1:4">
      <c r="A2101" t="s">
        <v>5193</v>
      </c>
      <c r="B2101" t="s">
        <v>5194</v>
      </c>
      <c r="C2101" t="s">
        <v>5193</v>
      </c>
      <c r="D2101">
        <v>3944</v>
      </c>
    </row>
    <row r="2102" spans="1:4">
      <c r="A2102" t="s">
        <v>5195</v>
      </c>
      <c r="B2102" t="s">
        <v>5196</v>
      </c>
      <c r="C2102" t="s">
        <v>5195</v>
      </c>
      <c r="D2102">
        <v>3272</v>
      </c>
    </row>
    <row r="2103" spans="1:4">
      <c r="A2103" t="s">
        <v>5197</v>
      </c>
      <c r="B2103" t="s">
        <v>5198</v>
      </c>
      <c r="C2103" t="s">
        <v>5197</v>
      </c>
      <c r="D2103">
        <v>6331</v>
      </c>
    </row>
    <row r="2104" spans="1:4">
      <c r="A2104" t="s">
        <v>5199</v>
      </c>
      <c r="B2104" t="s">
        <v>5200</v>
      </c>
      <c r="C2104" t="s">
        <v>5199</v>
      </c>
      <c r="D2104">
        <v>7372</v>
      </c>
    </row>
    <row r="2105" spans="1:4">
      <c r="A2105" t="s">
        <v>5201</v>
      </c>
      <c r="B2105" t="s">
        <v>5202</v>
      </c>
      <c r="C2105" t="s">
        <v>5201</v>
      </c>
      <c r="D2105">
        <v>7389</v>
      </c>
    </row>
    <row r="2106" spans="1:4">
      <c r="A2106" t="s">
        <v>5203</v>
      </c>
      <c r="B2106" t="s">
        <v>5204</v>
      </c>
      <c r="C2106" t="s">
        <v>5203</v>
      </c>
      <c r="D2106">
        <v>6282</v>
      </c>
    </row>
    <row r="2107" spans="1:4">
      <c r="A2107" t="s">
        <v>5205</v>
      </c>
      <c r="B2107" t="s">
        <v>5206</v>
      </c>
      <c r="C2107" t="s">
        <v>5205</v>
      </c>
      <c r="D2107">
        <v>3442</v>
      </c>
    </row>
    <row r="2108" spans="1:4">
      <c r="A2108" t="s">
        <v>5207</v>
      </c>
      <c r="B2108" t="s">
        <v>5208</v>
      </c>
      <c r="C2108" t="s">
        <v>5207</v>
      </c>
      <c r="D2108">
        <v>2834</v>
      </c>
    </row>
    <row r="2109" spans="1:4">
      <c r="A2109" t="s">
        <v>5209</v>
      </c>
      <c r="B2109" t="s">
        <v>5210</v>
      </c>
      <c r="C2109" t="s">
        <v>5209</v>
      </c>
      <c r="D2109">
        <v>6798</v>
      </c>
    </row>
    <row r="2110" spans="1:4">
      <c r="A2110" t="s">
        <v>5211</v>
      </c>
      <c r="B2110" t="s">
        <v>5212</v>
      </c>
      <c r="C2110" t="s">
        <v>5211</v>
      </c>
      <c r="D2110">
        <v>5990</v>
      </c>
    </row>
    <row r="2111" spans="1:4">
      <c r="A2111" t="s">
        <v>5213</v>
      </c>
      <c r="B2111" t="s">
        <v>5214</v>
      </c>
      <c r="C2111" t="s">
        <v>5213</v>
      </c>
      <c r="D2111">
        <v>6211</v>
      </c>
    </row>
    <row r="2112" spans="1:4">
      <c r="A2112" t="s">
        <v>5215</v>
      </c>
      <c r="B2112" t="s">
        <v>5216</v>
      </c>
      <c r="C2112" t="s">
        <v>5215</v>
      </c>
      <c r="D2112">
        <v>2430</v>
      </c>
    </row>
    <row r="2113" spans="1:4">
      <c r="A2113" t="s">
        <v>5217</v>
      </c>
      <c r="B2113" t="s">
        <v>5218</v>
      </c>
      <c r="C2113" t="s">
        <v>5217</v>
      </c>
      <c r="D2113">
        <v>2300</v>
      </c>
    </row>
    <row r="2114" spans="1:4">
      <c r="A2114" t="s">
        <v>5219</v>
      </c>
      <c r="B2114" t="s">
        <v>5220</v>
      </c>
      <c r="C2114" t="s">
        <v>5219</v>
      </c>
      <c r="D2114">
        <v>4512</v>
      </c>
    </row>
    <row r="2115" spans="1:4">
      <c r="A2115" t="s">
        <v>5221</v>
      </c>
      <c r="B2115" t="s">
        <v>5222</v>
      </c>
      <c r="C2115" t="s">
        <v>5221</v>
      </c>
      <c r="D2115">
        <v>5211</v>
      </c>
    </row>
    <row r="2116" spans="1:4">
      <c r="A2116" t="s">
        <v>5223</v>
      </c>
      <c r="B2116" t="s">
        <v>5224</v>
      </c>
      <c r="C2116" t="s">
        <v>5223</v>
      </c>
      <c r="D2116">
        <v>7372</v>
      </c>
    </row>
    <row r="2117" spans="1:4">
      <c r="A2117" t="s">
        <v>5225</v>
      </c>
      <c r="B2117" t="s">
        <v>5226</v>
      </c>
      <c r="C2117" t="s">
        <v>5225</v>
      </c>
      <c r="D2117">
        <v>7370</v>
      </c>
    </row>
    <row r="2118" spans="1:4">
      <c r="A2118" t="s">
        <v>5227</v>
      </c>
      <c r="B2118" t="s">
        <v>5228</v>
      </c>
      <c r="C2118" t="s">
        <v>5227</v>
      </c>
      <c r="D2118">
        <v>6199</v>
      </c>
    </row>
    <row r="2119" spans="1:4">
      <c r="A2119" t="s">
        <v>5229</v>
      </c>
      <c r="B2119" t="s">
        <v>5230</v>
      </c>
      <c r="C2119" t="s">
        <v>5229</v>
      </c>
      <c r="D2119">
        <v>3674</v>
      </c>
    </row>
    <row r="2120" spans="1:4">
      <c r="A2120" t="s">
        <v>5231</v>
      </c>
      <c r="B2120" t="s">
        <v>5232</v>
      </c>
      <c r="C2120" t="s">
        <v>5231</v>
      </c>
      <c r="D2120">
        <v>5500</v>
      </c>
    </row>
    <row r="2121" spans="1:4">
      <c r="A2121" t="s">
        <v>5233</v>
      </c>
      <c r="B2121" t="s">
        <v>5234</v>
      </c>
      <c r="C2121" t="s">
        <v>5233</v>
      </c>
      <c r="D2121">
        <v>5940</v>
      </c>
    </row>
    <row r="2122" spans="1:4">
      <c r="A2122" t="s">
        <v>5235</v>
      </c>
      <c r="B2122" t="s">
        <v>5236</v>
      </c>
      <c r="C2122" t="s">
        <v>5235</v>
      </c>
      <c r="D2122">
        <v>3550</v>
      </c>
    </row>
    <row r="2123" spans="1:4">
      <c r="A2123" t="s">
        <v>5237</v>
      </c>
      <c r="B2123" t="s">
        <v>5238</v>
      </c>
      <c r="C2123" t="s">
        <v>5237</v>
      </c>
      <c r="D2123">
        <v>2834</v>
      </c>
    </row>
    <row r="2124" spans="1:4">
      <c r="A2124" t="s">
        <v>5239</v>
      </c>
      <c r="B2124" t="s">
        <v>5240</v>
      </c>
      <c r="C2124" t="s">
        <v>5239</v>
      </c>
      <c r="D2124">
        <v>7380</v>
      </c>
    </row>
    <row r="2125" spans="1:4">
      <c r="A2125" t="s">
        <v>5241</v>
      </c>
      <c r="B2125" t="s">
        <v>5242</v>
      </c>
      <c r="C2125" t="s">
        <v>5241</v>
      </c>
      <c r="D2125">
        <v>3949</v>
      </c>
    </row>
    <row r="2126" spans="1:4">
      <c r="A2126" t="s">
        <v>5243</v>
      </c>
      <c r="B2126" t="s">
        <v>5244</v>
      </c>
      <c r="C2126" t="s">
        <v>5243</v>
      </c>
      <c r="D2126">
        <v>6794</v>
      </c>
    </row>
    <row r="2127" spans="1:4">
      <c r="A2127" t="s">
        <v>5245</v>
      </c>
      <c r="B2127" t="s">
        <v>5246</v>
      </c>
      <c r="C2127" t="s">
        <v>5245</v>
      </c>
      <c r="D2127">
        <v>6531</v>
      </c>
    </row>
    <row r="2128" spans="1:4">
      <c r="A2128" t="s">
        <v>5247</v>
      </c>
      <c r="B2128" t="s">
        <v>5248</v>
      </c>
      <c r="C2128" t="s">
        <v>5247</v>
      </c>
      <c r="D2128">
        <v>2834</v>
      </c>
    </row>
    <row r="2129" spans="1:4">
      <c r="A2129" t="s">
        <v>5249</v>
      </c>
      <c r="B2129" t="s">
        <v>5250</v>
      </c>
      <c r="C2129" t="s">
        <v>5249</v>
      </c>
      <c r="D2129">
        <v>5960</v>
      </c>
    </row>
    <row r="2130" spans="1:4">
      <c r="A2130" t="s">
        <v>5251</v>
      </c>
      <c r="B2130" t="s">
        <v>5252</v>
      </c>
      <c r="C2130" t="s">
        <v>5251</v>
      </c>
      <c r="D2130">
        <v>7374</v>
      </c>
    </row>
    <row r="2131" spans="1:4">
      <c r="A2131" t="s">
        <v>5253</v>
      </c>
      <c r="B2131" t="s">
        <v>5254</v>
      </c>
      <c r="C2131" t="s">
        <v>5253</v>
      </c>
      <c r="D2131">
        <v>6021</v>
      </c>
    </row>
    <row r="2132" spans="1:4">
      <c r="A2132" t="s">
        <v>5255</v>
      </c>
      <c r="B2132" t="s">
        <v>5256</v>
      </c>
      <c r="C2132" t="s">
        <v>5255</v>
      </c>
      <c r="D2132">
        <v>6022</v>
      </c>
    </row>
    <row r="2133" spans="1:4">
      <c r="A2133" t="s">
        <v>5257</v>
      </c>
      <c r="B2133" t="s">
        <v>5258</v>
      </c>
      <c r="C2133" t="s">
        <v>5257</v>
      </c>
      <c r="D2133">
        <v>3576</v>
      </c>
    </row>
    <row r="2134" spans="1:4">
      <c r="A2134" t="s">
        <v>5259</v>
      </c>
      <c r="B2134" t="s">
        <v>5260</v>
      </c>
      <c r="C2134" t="s">
        <v>5259</v>
      </c>
      <c r="D2134">
        <v>6552</v>
      </c>
    </row>
    <row r="2135" spans="1:4">
      <c r="A2135" t="s">
        <v>5261</v>
      </c>
      <c r="B2135" t="s">
        <v>5262</v>
      </c>
      <c r="C2135" t="s">
        <v>5261</v>
      </c>
      <c r="D2135">
        <v>3550</v>
      </c>
    </row>
    <row r="2136" spans="1:4">
      <c r="A2136" t="s">
        <v>5263</v>
      </c>
      <c r="B2136" t="s">
        <v>5264</v>
      </c>
      <c r="C2136" t="s">
        <v>5263</v>
      </c>
      <c r="D2136">
        <v>3350</v>
      </c>
    </row>
    <row r="2137" spans="1:4">
      <c r="A2137" t="s">
        <v>5265</v>
      </c>
      <c r="B2137" t="s">
        <v>5266</v>
      </c>
      <c r="C2137" t="s">
        <v>5265</v>
      </c>
      <c r="D2137">
        <v>5500</v>
      </c>
    </row>
    <row r="2138" spans="1:4">
      <c r="A2138" t="s">
        <v>5267</v>
      </c>
      <c r="B2138" t="s">
        <v>5268</v>
      </c>
      <c r="C2138" t="s">
        <v>5267</v>
      </c>
      <c r="D2138">
        <v>2834</v>
      </c>
    </row>
    <row r="2139" spans="1:4">
      <c r="A2139" t="s">
        <v>5269</v>
      </c>
      <c r="B2139" t="s">
        <v>5270</v>
      </c>
      <c r="C2139" t="s">
        <v>5269</v>
      </c>
      <c r="D2139">
        <v>7374</v>
      </c>
    </row>
    <row r="2140" spans="1:4">
      <c r="A2140" t="s">
        <v>5271</v>
      </c>
      <c r="B2140" t="s">
        <v>5272</v>
      </c>
      <c r="C2140" t="s">
        <v>5271</v>
      </c>
      <c r="D2140">
        <v>7372</v>
      </c>
    </row>
    <row r="2141" spans="1:4">
      <c r="A2141" t="s">
        <v>5273</v>
      </c>
      <c r="B2141" t="s">
        <v>5274</v>
      </c>
      <c r="C2141" t="s">
        <v>5273</v>
      </c>
      <c r="D2141">
        <v>2834</v>
      </c>
    </row>
    <row r="2142" spans="1:4">
      <c r="A2142" t="s">
        <v>5275</v>
      </c>
      <c r="B2142" t="s">
        <v>5276</v>
      </c>
      <c r="C2142" t="s">
        <v>5275</v>
      </c>
      <c r="D2142">
        <v>3760</v>
      </c>
    </row>
    <row r="2143" spans="1:4">
      <c r="A2143" t="s">
        <v>5277</v>
      </c>
      <c r="B2143" t="s">
        <v>5278</v>
      </c>
      <c r="C2143" t="s">
        <v>5277</v>
      </c>
      <c r="D2143">
        <v>3711</v>
      </c>
    </row>
    <row r="2144" spans="1:4">
      <c r="A2144" t="s">
        <v>5279</v>
      </c>
      <c r="B2144" t="s">
        <v>5280</v>
      </c>
      <c r="C2144" t="s">
        <v>5279</v>
      </c>
      <c r="D2144">
        <v>5500</v>
      </c>
    </row>
    <row r="2145" spans="1:4">
      <c r="A2145" t="s">
        <v>5281</v>
      </c>
      <c r="B2145" t="s">
        <v>5282</v>
      </c>
      <c r="C2145" t="s">
        <v>5281</v>
      </c>
      <c r="D2145">
        <v>3089</v>
      </c>
    </row>
    <row r="2146" spans="1:4">
      <c r="A2146" t="s">
        <v>5283</v>
      </c>
      <c r="B2146" t="s">
        <v>5284</v>
      </c>
      <c r="C2146" t="s">
        <v>5283</v>
      </c>
      <c r="D2146">
        <v>2834</v>
      </c>
    </row>
    <row r="2147" spans="1:4">
      <c r="A2147" t="s">
        <v>5285</v>
      </c>
      <c r="B2147" t="s">
        <v>5286</v>
      </c>
      <c r="C2147" t="s">
        <v>5285</v>
      </c>
      <c r="D2147">
        <v>7359</v>
      </c>
    </row>
    <row r="2148" spans="1:4">
      <c r="A2148" t="s">
        <v>5287</v>
      </c>
      <c r="B2148" t="s">
        <v>5288</v>
      </c>
      <c r="C2148" t="s">
        <v>5287</v>
      </c>
      <c r="D2148">
        <v>1531</v>
      </c>
    </row>
    <row r="2149" spans="1:4">
      <c r="A2149" t="s">
        <v>5289</v>
      </c>
      <c r="B2149" t="s">
        <v>5290</v>
      </c>
      <c r="C2149" t="s">
        <v>5289</v>
      </c>
      <c r="D2149">
        <v>1600</v>
      </c>
    </row>
    <row r="2150" spans="1:4">
      <c r="A2150" t="s">
        <v>5291</v>
      </c>
      <c r="B2150" t="s">
        <v>5292</v>
      </c>
      <c r="C2150" t="s">
        <v>5291</v>
      </c>
      <c r="D2150">
        <v>6798</v>
      </c>
    </row>
    <row r="2151" spans="1:4">
      <c r="A2151" t="s">
        <v>5293</v>
      </c>
      <c r="B2151" t="s">
        <v>5294</v>
      </c>
      <c r="C2151" t="s">
        <v>5293</v>
      </c>
      <c r="D2151">
        <v>6035</v>
      </c>
    </row>
    <row r="2152" spans="1:4">
      <c r="A2152" t="s">
        <v>5295</v>
      </c>
      <c r="B2152" t="s">
        <v>5296</v>
      </c>
      <c r="C2152" t="s">
        <v>5295</v>
      </c>
      <c r="D2152">
        <v>2040</v>
      </c>
    </row>
    <row r="2153" spans="1:4">
      <c r="A2153" t="s">
        <v>5297</v>
      </c>
      <c r="B2153" t="s">
        <v>5298</v>
      </c>
      <c r="C2153" t="s">
        <v>5297</v>
      </c>
      <c r="D2153">
        <v>7363</v>
      </c>
    </row>
    <row r="2154" spans="1:4">
      <c r="A2154" t="s">
        <v>5299</v>
      </c>
      <c r="B2154" t="s">
        <v>5300</v>
      </c>
      <c r="C2154" t="s">
        <v>5299</v>
      </c>
      <c r="D2154">
        <v>6331</v>
      </c>
    </row>
    <row r="2155" spans="1:4">
      <c r="A2155" t="s">
        <v>5301</v>
      </c>
      <c r="B2155" t="s">
        <v>5302</v>
      </c>
      <c r="C2155" t="s">
        <v>5301</v>
      </c>
      <c r="D2155">
        <v>2834</v>
      </c>
    </row>
    <row r="2156" spans="1:4">
      <c r="A2156" t="s">
        <v>5303</v>
      </c>
      <c r="B2156" t="s">
        <v>5304</v>
      </c>
      <c r="C2156" t="s">
        <v>5303</v>
      </c>
      <c r="D2156">
        <v>3541</v>
      </c>
    </row>
    <row r="2157" spans="1:4">
      <c r="A2157" t="s">
        <v>5305</v>
      </c>
      <c r="B2157" t="s">
        <v>5306</v>
      </c>
      <c r="C2157" t="s">
        <v>5305</v>
      </c>
      <c r="D2157">
        <v>6500</v>
      </c>
    </row>
    <row r="2158" spans="1:4">
      <c r="A2158" t="s">
        <v>5307</v>
      </c>
      <c r="B2158" t="s">
        <v>5308</v>
      </c>
      <c r="C2158" t="s">
        <v>5307</v>
      </c>
      <c r="D2158">
        <v>6035</v>
      </c>
    </row>
    <row r="2159" spans="1:4">
      <c r="A2159" t="s">
        <v>5309</v>
      </c>
      <c r="B2159" t="s">
        <v>5310</v>
      </c>
      <c r="C2159" t="s">
        <v>5309</v>
      </c>
      <c r="D2159">
        <v>2080</v>
      </c>
    </row>
    <row r="2160" spans="1:4">
      <c r="A2160" t="s">
        <v>5311</v>
      </c>
      <c r="B2160" t="s">
        <v>5312</v>
      </c>
      <c r="C2160" t="s">
        <v>5311</v>
      </c>
      <c r="D2160">
        <v>3821</v>
      </c>
    </row>
    <row r="2161" spans="1:4">
      <c r="A2161" t="s">
        <v>5313</v>
      </c>
      <c r="B2161" t="s">
        <v>5314</v>
      </c>
      <c r="C2161" t="s">
        <v>5313</v>
      </c>
      <c r="D2161">
        <v>3672</v>
      </c>
    </row>
    <row r="2162" spans="1:4">
      <c r="A2162" t="s">
        <v>5315</v>
      </c>
      <c r="B2162" t="s">
        <v>5316</v>
      </c>
      <c r="C2162" t="s">
        <v>5315</v>
      </c>
      <c r="D2162">
        <v>6021</v>
      </c>
    </row>
    <row r="2163" spans="1:4">
      <c r="A2163" t="s">
        <v>5317</v>
      </c>
      <c r="B2163" t="s">
        <v>5318</v>
      </c>
      <c r="C2163" t="s">
        <v>5317</v>
      </c>
      <c r="D2163">
        <v>3823</v>
      </c>
    </row>
    <row r="2164" spans="1:4">
      <c r="A2164" t="s">
        <v>5319</v>
      </c>
      <c r="B2164" t="s">
        <v>5320</v>
      </c>
      <c r="C2164" t="s">
        <v>5319</v>
      </c>
      <c r="D2164">
        <v>7363</v>
      </c>
    </row>
    <row r="2165" spans="1:4">
      <c r="A2165" t="s">
        <v>5321</v>
      </c>
      <c r="B2165" t="s">
        <v>5322</v>
      </c>
      <c r="C2165" t="s">
        <v>5321</v>
      </c>
      <c r="D2165">
        <v>7900</v>
      </c>
    </row>
    <row r="2166" spans="1:4">
      <c r="A2166" t="s">
        <v>5323</v>
      </c>
      <c r="B2166" t="s">
        <v>5324</v>
      </c>
      <c r="C2166" t="s">
        <v>5323</v>
      </c>
      <c r="D2166">
        <v>6798</v>
      </c>
    </row>
    <row r="2167" spans="1:4">
      <c r="A2167" t="s">
        <v>5325</v>
      </c>
      <c r="B2167" t="s">
        <v>5326</v>
      </c>
      <c r="C2167" t="s">
        <v>5325</v>
      </c>
      <c r="D2167">
        <v>3672</v>
      </c>
    </row>
    <row r="2168" spans="1:4">
      <c r="A2168" t="s">
        <v>5327</v>
      </c>
      <c r="B2168" t="s">
        <v>5328</v>
      </c>
      <c r="C2168" t="s">
        <v>5327</v>
      </c>
      <c r="D2168">
        <v>2510</v>
      </c>
    </row>
    <row r="2169" spans="1:4">
      <c r="A2169" t="s">
        <v>5329</v>
      </c>
      <c r="B2169" t="s">
        <v>5330</v>
      </c>
      <c r="C2169" t="s">
        <v>5329</v>
      </c>
      <c r="D2169">
        <v>1311</v>
      </c>
    </row>
    <row r="2170" spans="1:4">
      <c r="A2170" t="s">
        <v>5331</v>
      </c>
      <c r="B2170" t="s">
        <v>5332</v>
      </c>
      <c r="C2170" t="s">
        <v>5331</v>
      </c>
      <c r="D2170">
        <v>2670</v>
      </c>
    </row>
    <row r="2171" spans="1:4">
      <c r="A2171" t="s">
        <v>5333</v>
      </c>
      <c r="B2171" t="s">
        <v>5334</v>
      </c>
      <c r="C2171" t="s">
        <v>5333</v>
      </c>
      <c r="D2171">
        <v>6798</v>
      </c>
    </row>
    <row r="2172" spans="1:4">
      <c r="A2172" t="s">
        <v>5335</v>
      </c>
      <c r="B2172" t="s">
        <v>5336</v>
      </c>
      <c r="C2172" t="s">
        <v>5335</v>
      </c>
      <c r="D2172">
        <v>4922</v>
      </c>
    </row>
    <row r="2173" spans="1:4">
      <c r="A2173" t="s">
        <v>5337</v>
      </c>
      <c r="B2173" t="s">
        <v>5338</v>
      </c>
      <c r="C2173" t="s">
        <v>5337</v>
      </c>
      <c r="D2173">
        <v>7372</v>
      </c>
    </row>
    <row r="2174" spans="1:4">
      <c r="A2174" t="s">
        <v>5339</v>
      </c>
      <c r="B2174" t="s">
        <v>5340</v>
      </c>
      <c r="C2174" t="s">
        <v>5339</v>
      </c>
      <c r="D2174">
        <v>6331</v>
      </c>
    </row>
    <row r="2175" spans="1:4">
      <c r="A2175" t="s">
        <v>5341</v>
      </c>
      <c r="B2175" t="s">
        <v>5342</v>
      </c>
      <c r="C2175" t="s">
        <v>5341</v>
      </c>
      <c r="D2175">
        <v>6331</v>
      </c>
    </row>
    <row r="2176" spans="1:4">
      <c r="A2176" t="s">
        <v>5343</v>
      </c>
      <c r="B2176" t="s">
        <v>5344</v>
      </c>
      <c r="C2176" t="s">
        <v>5343</v>
      </c>
      <c r="D2176">
        <v>6331</v>
      </c>
    </row>
    <row r="2177" spans="1:4">
      <c r="A2177" t="s">
        <v>5345</v>
      </c>
      <c r="B2177" t="s">
        <v>5346</v>
      </c>
      <c r="C2177" t="s">
        <v>5345</v>
      </c>
      <c r="D2177">
        <v>4400</v>
      </c>
    </row>
    <row r="2178" spans="1:4">
      <c r="A2178" t="s">
        <v>5347</v>
      </c>
      <c r="B2178" t="s">
        <v>5348</v>
      </c>
      <c r="C2178" t="s">
        <v>5347</v>
      </c>
      <c r="D2178">
        <v>5990</v>
      </c>
    </row>
    <row r="2179" spans="1:4">
      <c r="A2179" t="s">
        <v>5349</v>
      </c>
      <c r="B2179" t="s">
        <v>5350</v>
      </c>
      <c r="C2179" t="s">
        <v>5349</v>
      </c>
      <c r="D2179">
        <v>6798</v>
      </c>
    </row>
    <row r="2180" spans="1:4">
      <c r="A2180" t="s">
        <v>5351</v>
      </c>
      <c r="B2180" t="s">
        <v>5352</v>
      </c>
      <c r="C2180" t="s">
        <v>5351</v>
      </c>
      <c r="D2180">
        <v>6282</v>
      </c>
    </row>
    <row r="2181" spans="1:4">
      <c r="A2181" t="s">
        <v>5353</v>
      </c>
      <c r="B2181" t="s">
        <v>5354</v>
      </c>
      <c r="C2181" t="s">
        <v>5353</v>
      </c>
      <c r="D2181">
        <v>6798</v>
      </c>
    </row>
    <row r="2182" spans="1:4">
      <c r="A2182" t="s">
        <v>5355</v>
      </c>
      <c r="B2182" t="s">
        <v>5356</v>
      </c>
      <c r="C2182" t="s">
        <v>5355</v>
      </c>
      <c r="D2182">
        <v>3827</v>
      </c>
    </row>
    <row r="2183" spans="1:4">
      <c r="A2183" t="s">
        <v>5357</v>
      </c>
      <c r="B2183" t="s">
        <v>5358</v>
      </c>
      <c r="C2183" t="s">
        <v>5357</v>
      </c>
      <c r="D2183">
        <v>7370</v>
      </c>
    </row>
    <row r="2184" spans="1:4">
      <c r="A2184" t="s">
        <v>5359</v>
      </c>
      <c r="B2184" t="s">
        <v>5360</v>
      </c>
      <c r="C2184" t="s">
        <v>5359</v>
      </c>
      <c r="D2184">
        <v>1389</v>
      </c>
    </row>
    <row r="2185" spans="1:4">
      <c r="A2185" t="s">
        <v>5361</v>
      </c>
      <c r="B2185" t="s">
        <v>5362</v>
      </c>
      <c r="C2185" t="s">
        <v>5361</v>
      </c>
      <c r="D2185">
        <v>4213</v>
      </c>
    </row>
    <row r="2186" spans="1:4">
      <c r="A2186" t="s">
        <v>5363</v>
      </c>
      <c r="B2186" t="s">
        <v>5364</v>
      </c>
      <c r="C2186" t="s">
        <v>5363</v>
      </c>
      <c r="D2186">
        <v>4400</v>
      </c>
    </row>
    <row r="2187" spans="1:4">
      <c r="A2187" t="s">
        <v>5365</v>
      </c>
      <c r="B2187" t="s">
        <v>5366</v>
      </c>
      <c r="C2187" t="s">
        <v>5365</v>
      </c>
      <c r="D2187">
        <v>7370</v>
      </c>
    </row>
    <row r="2188" spans="1:4">
      <c r="A2188" t="s">
        <v>5367</v>
      </c>
      <c r="B2188" t="s">
        <v>5368</v>
      </c>
      <c r="C2188" t="s">
        <v>5367</v>
      </c>
      <c r="D2188">
        <v>3651</v>
      </c>
    </row>
    <row r="2189" spans="1:4">
      <c r="A2189" t="s">
        <v>5369</v>
      </c>
      <c r="B2189" t="s">
        <v>470</v>
      </c>
      <c r="C2189" t="s">
        <v>5369</v>
      </c>
      <c r="D2189">
        <v>5311</v>
      </c>
    </row>
    <row r="2190" spans="1:4">
      <c r="A2190" t="s">
        <v>5370</v>
      </c>
      <c r="B2190" t="s">
        <v>5371</v>
      </c>
      <c r="C2190" t="s">
        <v>5370</v>
      </c>
      <c r="D2190">
        <v>2320</v>
      </c>
    </row>
    <row r="2191" spans="1:4">
      <c r="A2191" t="s">
        <v>5372</v>
      </c>
      <c r="B2191" t="s">
        <v>5373</v>
      </c>
      <c r="C2191" t="s">
        <v>5372</v>
      </c>
      <c r="D2191">
        <v>3674</v>
      </c>
    </row>
    <row r="2192" spans="1:4">
      <c r="A2192" t="s">
        <v>5374</v>
      </c>
      <c r="B2192" t="s">
        <v>5375</v>
      </c>
      <c r="C2192" t="s">
        <v>5374</v>
      </c>
      <c r="D2192">
        <v>2400</v>
      </c>
    </row>
    <row r="2193" spans="1:4">
      <c r="A2193" t="s">
        <v>5376</v>
      </c>
      <c r="B2193" t="s">
        <v>5377</v>
      </c>
      <c r="C2193" t="s">
        <v>5376</v>
      </c>
      <c r="D2193">
        <v>4813</v>
      </c>
    </row>
    <row r="2194" spans="1:4">
      <c r="A2194" t="s">
        <v>5378</v>
      </c>
      <c r="B2194" t="s">
        <v>5379</v>
      </c>
      <c r="C2194" t="s">
        <v>5378</v>
      </c>
      <c r="D2194">
        <v>7361</v>
      </c>
    </row>
    <row r="2195" spans="1:4">
      <c r="A2195" t="s">
        <v>5380</v>
      </c>
      <c r="B2195" t="s">
        <v>5381</v>
      </c>
      <c r="C2195" t="s">
        <v>5380</v>
      </c>
      <c r="D2195">
        <v>3555</v>
      </c>
    </row>
    <row r="2196" spans="1:4">
      <c r="A2196" t="s">
        <v>5382</v>
      </c>
      <c r="B2196" t="s">
        <v>5383</v>
      </c>
      <c r="C2196" t="s">
        <v>5382</v>
      </c>
      <c r="D2196">
        <v>1311</v>
      </c>
    </row>
    <row r="2197" spans="1:4">
      <c r="A2197" t="s">
        <v>5384</v>
      </c>
      <c r="B2197" t="s">
        <v>5385</v>
      </c>
      <c r="C2197" t="s">
        <v>5384</v>
      </c>
      <c r="D2197">
        <v>3651</v>
      </c>
    </row>
    <row r="2198" spans="1:4">
      <c r="A2198" t="s">
        <v>5386</v>
      </c>
      <c r="B2198" t="s">
        <v>5387</v>
      </c>
      <c r="C2198" t="s">
        <v>5386</v>
      </c>
      <c r="D2198">
        <v>2030</v>
      </c>
    </row>
    <row r="2199" spans="1:4">
      <c r="A2199" t="s">
        <v>5388</v>
      </c>
      <c r="B2199" t="s">
        <v>5389</v>
      </c>
      <c r="C2199" t="s">
        <v>5388</v>
      </c>
      <c r="D2199">
        <v>3760</v>
      </c>
    </row>
    <row r="2200" spans="1:4">
      <c r="A2200" t="s">
        <v>5390</v>
      </c>
      <c r="B2200" t="s">
        <v>5391</v>
      </c>
      <c r="C2200" t="s">
        <v>5390</v>
      </c>
      <c r="D2200">
        <v>5400</v>
      </c>
    </row>
    <row r="2201" spans="1:4">
      <c r="A2201" t="s">
        <v>5392</v>
      </c>
      <c r="B2201" t="s">
        <v>5393</v>
      </c>
      <c r="C2201" t="s">
        <v>5392</v>
      </c>
      <c r="D2201">
        <v>5411</v>
      </c>
    </row>
    <row r="2202" spans="1:4">
      <c r="A2202" t="s">
        <v>5394</v>
      </c>
      <c r="B2202" t="s">
        <v>5395</v>
      </c>
      <c r="C2202" t="s">
        <v>5394</v>
      </c>
      <c r="D2202">
        <v>2810</v>
      </c>
    </row>
    <row r="2203" spans="1:4">
      <c r="A2203" t="s">
        <v>5396</v>
      </c>
      <c r="B2203" t="s">
        <v>5397</v>
      </c>
      <c r="C2203" t="s">
        <v>5396</v>
      </c>
      <c r="D2203">
        <v>3674</v>
      </c>
    </row>
    <row r="2204" spans="1:4">
      <c r="A2204" t="s">
        <v>5398</v>
      </c>
      <c r="B2204" t="s">
        <v>5399</v>
      </c>
      <c r="C2204" t="s">
        <v>5398</v>
      </c>
      <c r="D2204">
        <v>5812</v>
      </c>
    </row>
    <row r="2205" spans="1:4">
      <c r="A2205" t="s">
        <v>5400</v>
      </c>
      <c r="B2205" t="s">
        <v>5401</v>
      </c>
      <c r="C2205" t="s">
        <v>5400</v>
      </c>
      <c r="D2205">
        <v>3663</v>
      </c>
    </row>
    <row r="2206" spans="1:4">
      <c r="A2206" t="s">
        <v>5402</v>
      </c>
      <c r="B2206" t="s">
        <v>5403</v>
      </c>
      <c r="C2206" t="s">
        <v>5402</v>
      </c>
      <c r="D2206">
        <v>2836</v>
      </c>
    </row>
    <row r="2207" spans="1:4">
      <c r="A2207" t="s">
        <v>5404</v>
      </c>
      <c r="B2207" t="s">
        <v>5405</v>
      </c>
      <c r="C2207" t="s">
        <v>5404</v>
      </c>
      <c r="D2207">
        <v>7373</v>
      </c>
    </row>
    <row r="2208" spans="1:4">
      <c r="A2208" t="s">
        <v>5406</v>
      </c>
      <c r="B2208" t="s">
        <v>5407</v>
      </c>
      <c r="C2208" t="s">
        <v>5406</v>
      </c>
      <c r="D2208">
        <v>3812</v>
      </c>
    </row>
    <row r="2209" spans="1:4">
      <c r="A2209" t="s">
        <v>5408</v>
      </c>
      <c r="B2209" t="s">
        <v>5409</v>
      </c>
      <c r="C2209" t="s">
        <v>5408</v>
      </c>
      <c r="D2209">
        <v>2836</v>
      </c>
    </row>
    <row r="2210" spans="1:4">
      <c r="A2210" t="s">
        <v>5410</v>
      </c>
      <c r="B2210" t="s">
        <v>5411</v>
      </c>
      <c r="C2210" t="s">
        <v>5410</v>
      </c>
      <c r="D2210">
        <v>2510</v>
      </c>
    </row>
    <row r="2211" spans="1:4">
      <c r="A2211" t="s">
        <v>5412</v>
      </c>
      <c r="B2211" t="s">
        <v>5413</v>
      </c>
      <c r="C2211" t="s">
        <v>5412</v>
      </c>
      <c r="D2211">
        <v>8071</v>
      </c>
    </row>
    <row r="2212" spans="1:4">
      <c r="A2212" t="s">
        <v>5414</v>
      </c>
      <c r="B2212" t="s">
        <v>5415</v>
      </c>
      <c r="C2212" t="s">
        <v>5414</v>
      </c>
      <c r="D2212">
        <v>6798</v>
      </c>
    </row>
    <row r="2213" spans="1:4">
      <c r="A2213" t="s">
        <v>5416</v>
      </c>
      <c r="B2213" t="s">
        <v>5417</v>
      </c>
      <c r="C2213" t="s">
        <v>5416</v>
      </c>
      <c r="D2213">
        <v>2000</v>
      </c>
    </row>
    <row r="2214" spans="1:4">
      <c r="A2214" t="s">
        <v>5418</v>
      </c>
      <c r="B2214" t="s">
        <v>5419</v>
      </c>
      <c r="C2214" t="s">
        <v>5418</v>
      </c>
      <c r="D2214">
        <v>2860</v>
      </c>
    </row>
    <row r="2215" spans="1:4">
      <c r="A2215" t="s">
        <v>5420</v>
      </c>
      <c r="B2215" t="s">
        <v>5421</v>
      </c>
      <c r="C2215" t="s">
        <v>5420</v>
      </c>
      <c r="D2215">
        <v>6035</v>
      </c>
    </row>
    <row r="2216" spans="1:4">
      <c r="A2216" t="s">
        <v>5422</v>
      </c>
      <c r="B2216" t="s">
        <v>5423</v>
      </c>
      <c r="C2216" t="s">
        <v>5422</v>
      </c>
      <c r="D2216">
        <v>6022</v>
      </c>
    </row>
    <row r="2217" spans="1:4">
      <c r="A2217" t="s">
        <v>5424</v>
      </c>
      <c r="B2217" t="s">
        <v>5425</v>
      </c>
      <c r="C2217" t="s">
        <v>5424</v>
      </c>
      <c r="D2217">
        <v>6022</v>
      </c>
    </row>
    <row r="2218" spans="1:4">
      <c r="A2218" t="s">
        <v>5426</v>
      </c>
      <c r="B2218" t="s">
        <v>5427</v>
      </c>
      <c r="C2218" t="s">
        <v>5426</v>
      </c>
      <c r="D2218">
        <v>3842</v>
      </c>
    </row>
    <row r="2219" spans="1:4">
      <c r="A2219" t="s">
        <v>5428</v>
      </c>
      <c r="B2219" t="s">
        <v>5429</v>
      </c>
      <c r="C2219" t="s">
        <v>5428</v>
      </c>
      <c r="D2219">
        <v>3559</v>
      </c>
    </row>
    <row r="2220" spans="1:4">
      <c r="A2220" t="s">
        <v>5430</v>
      </c>
      <c r="B2220" t="s">
        <v>5431</v>
      </c>
      <c r="C2220" t="s">
        <v>5430</v>
      </c>
      <c r="D2220">
        <v>6798</v>
      </c>
    </row>
    <row r="2221" spans="1:4">
      <c r="A2221" t="s">
        <v>5432</v>
      </c>
      <c r="B2221" t="s">
        <v>5433</v>
      </c>
      <c r="C2221" t="s">
        <v>5432</v>
      </c>
      <c r="D2221">
        <v>2030</v>
      </c>
    </row>
    <row r="2222" spans="1:4">
      <c r="A2222" t="s">
        <v>5434</v>
      </c>
      <c r="B2222" t="s">
        <v>5435</v>
      </c>
      <c r="C2222" t="s">
        <v>5434</v>
      </c>
      <c r="D2222">
        <v>2030</v>
      </c>
    </row>
    <row r="2223" spans="1:4">
      <c r="A2223" t="s">
        <v>5436</v>
      </c>
      <c r="B2223" t="s">
        <v>5437</v>
      </c>
      <c r="C2223" t="s">
        <v>5436</v>
      </c>
      <c r="D2223">
        <v>2033</v>
      </c>
    </row>
    <row r="2224" spans="1:4">
      <c r="A2224" t="s">
        <v>5438</v>
      </c>
      <c r="B2224" t="s">
        <v>5439</v>
      </c>
      <c r="C2224" t="s">
        <v>5438</v>
      </c>
      <c r="D2224">
        <v>6021</v>
      </c>
    </row>
    <row r="2225" spans="1:4">
      <c r="A2225" t="s">
        <v>5440</v>
      </c>
      <c r="B2225" t="s">
        <v>5441</v>
      </c>
      <c r="C2225" t="s">
        <v>5440</v>
      </c>
      <c r="D2225">
        <v>2834</v>
      </c>
    </row>
    <row r="2226" spans="1:4">
      <c r="A2226" t="s">
        <v>5442</v>
      </c>
      <c r="B2226" t="s">
        <v>5443</v>
      </c>
      <c r="C2226" t="s">
        <v>5442</v>
      </c>
      <c r="D2226">
        <v>5651</v>
      </c>
    </row>
    <row r="2227" spans="1:4">
      <c r="A2227" t="s">
        <v>5444</v>
      </c>
      <c r="B2227" t="s">
        <v>5445</v>
      </c>
      <c r="C2227" t="s">
        <v>5444</v>
      </c>
      <c r="D2227">
        <v>1531</v>
      </c>
    </row>
    <row r="2228" spans="1:4">
      <c r="A2228" t="s">
        <v>5446</v>
      </c>
      <c r="B2228" t="s">
        <v>5447</v>
      </c>
      <c r="C2228" t="s">
        <v>5446</v>
      </c>
      <c r="D2228">
        <v>4213</v>
      </c>
    </row>
    <row r="2229" spans="1:4">
      <c r="A2229" t="s">
        <v>5448</v>
      </c>
      <c r="B2229" t="s">
        <v>5449</v>
      </c>
      <c r="C2229" t="s">
        <v>5448</v>
      </c>
      <c r="D2229">
        <v>2834</v>
      </c>
    </row>
    <row r="2230" spans="1:4">
      <c r="A2230" t="s">
        <v>5450</v>
      </c>
      <c r="B2230" t="s">
        <v>5451</v>
      </c>
      <c r="C2230" t="s">
        <v>5450</v>
      </c>
      <c r="D2230">
        <v>2835</v>
      </c>
    </row>
    <row r="2231" spans="1:4">
      <c r="A2231" t="s">
        <v>5452</v>
      </c>
      <c r="B2231" t="s">
        <v>5453</v>
      </c>
      <c r="C2231" t="s">
        <v>5452</v>
      </c>
      <c r="D2231">
        <v>3576</v>
      </c>
    </row>
    <row r="2232" spans="1:4">
      <c r="A2232" t="s">
        <v>5454</v>
      </c>
      <c r="B2232" t="s">
        <v>5455</v>
      </c>
      <c r="C2232" t="s">
        <v>5454</v>
      </c>
      <c r="D2232">
        <v>1311</v>
      </c>
    </row>
    <row r="2233" spans="1:4">
      <c r="A2233" t="s">
        <v>5456</v>
      </c>
      <c r="B2233" t="s">
        <v>5457</v>
      </c>
      <c r="C2233" t="s">
        <v>5456</v>
      </c>
      <c r="D2233">
        <v>7011</v>
      </c>
    </row>
    <row r="2234" spans="1:4">
      <c r="A2234" t="s">
        <v>5458</v>
      </c>
      <c r="B2234" t="s">
        <v>5459</v>
      </c>
      <c r="C2234" t="s">
        <v>5458</v>
      </c>
      <c r="D2234">
        <v>5072</v>
      </c>
    </row>
    <row r="2235" spans="1:4">
      <c r="A2235" t="s">
        <v>5460</v>
      </c>
      <c r="B2235" t="s">
        <v>5461</v>
      </c>
      <c r="C2235" t="s">
        <v>5460</v>
      </c>
      <c r="D2235">
        <v>3089</v>
      </c>
    </row>
    <row r="2236" spans="1:4">
      <c r="A2236" t="s">
        <v>5462</v>
      </c>
      <c r="B2236" t="s">
        <v>5463</v>
      </c>
      <c r="C2236" t="s">
        <v>5462</v>
      </c>
      <c r="D2236">
        <v>3674</v>
      </c>
    </row>
    <row r="2237" spans="1:4">
      <c r="A2237" t="s">
        <v>5464</v>
      </c>
      <c r="B2237" t="s">
        <v>5465</v>
      </c>
      <c r="C2237" t="s">
        <v>5464</v>
      </c>
      <c r="D2237">
        <v>8200</v>
      </c>
    </row>
    <row r="2238" spans="1:4">
      <c r="A2238" t="s">
        <v>5466</v>
      </c>
      <c r="B2238" t="s">
        <v>5467</v>
      </c>
      <c r="C2238" t="s">
        <v>5466</v>
      </c>
      <c r="D2238">
        <v>6282</v>
      </c>
    </row>
    <row r="2239" spans="1:4">
      <c r="A2239" t="s">
        <v>5468</v>
      </c>
      <c r="B2239" t="s">
        <v>5469</v>
      </c>
      <c r="C2239" t="s">
        <v>5468</v>
      </c>
      <c r="D2239">
        <v>5500</v>
      </c>
    </row>
    <row r="2240" spans="1:4">
      <c r="A2240" t="s">
        <v>5470</v>
      </c>
      <c r="B2240" t="s">
        <v>5471</v>
      </c>
      <c r="C2240" t="s">
        <v>5470</v>
      </c>
      <c r="D2240">
        <v>3714</v>
      </c>
    </row>
    <row r="2241" spans="1:4">
      <c r="A2241" t="s">
        <v>5472</v>
      </c>
      <c r="B2241" t="s">
        <v>5473</v>
      </c>
      <c r="C2241" t="s">
        <v>5472</v>
      </c>
      <c r="D2241">
        <v>6021</v>
      </c>
    </row>
    <row r="2242" spans="1:4">
      <c r="A2242" t="s">
        <v>5474</v>
      </c>
      <c r="B2242" t="s">
        <v>5475</v>
      </c>
      <c r="C2242" t="s">
        <v>5474</v>
      </c>
      <c r="D2242">
        <v>2834</v>
      </c>
    </row>
    <row r="2243" spans="1:4">
      <c r="A2243" t="s">
        <v>5476</v>
      </c>
      <c r="B2243" t="s">
        <v>5477</v>
      </c>
      <c r="C2243" t="s">
        <v>5476</v>
      </c>
      <c r="D2243">
        <v>3714</v>
      </c>
    </row>
    <row r="2244" spans="1:4">
      <c r="A2244" t="s">
        <v>5478</v>
      </c>
      <c r="B2244" t="s">
        <v>5479</v>
      </c>
      <c r="C2244" t="s">
        <v>5478</v>
      </c>
      <c r="D2244">
        <v>3751</v>
      </c>
    </row>
    <row r="2245" spans="1:4">
      <c r="A2245" t="s">
        <v>5480</v>
      </c>
      <c r="B2245" t="s">
        <v>5481</v>
      </c>
      <c r="C2245" t="s">
        <v>5480</v>
      </c>
      <c r="D2245">
        <v>2711</v>
      </c>
    </row>
    <row r="2246" spans="1:4">
      <c r="A2246" t="s">
        <v>5482</v>
      </c>
      <c r="B2246" t="s">
        <v>5483</v>
      </c>
      <c r="C2246" t="s">
        <v>5482</v>
      </c>
      <c r="D2246">
        <v>2451</v>
      </c>
    </row>
    <row r="2247" spans="1:4">
      <c r="A2247" t="s">
        <v>5484</v>
      </c>
      <c r="B2247" t="s">
        <v>5485</v>
      </c>
      <c r="C2247" t="s">
        <v>5484</v>
      </c>
      <c r="D2247">
        <v>7374</v>
      </c>
    </row>
    <row r="2248" spans="1:4">
      <c r="A2248" t="s">
        <v>5486</v>
      </c>
      <c r="B2248" t="s">
        <v>5487</v>
      </c>
      <c r="C2248" t="s">
        <v>5486</v>
      </c>
      <c r="D2248">
        <v>2510</v>
      </c>
    </row>
    <row r="2249" spans="1:4">
      <c r="A2249" t="s">
        <v>5488</v>
      </c>
      <c r="B2249" t="s">
        <v>5489</v>
      </c>
      <c r="C2249" t="s">
        <v>5488</v>
      </c>
      <c r="D2249">
        <v>7373</v>
      </c>
    </row>
    <row r="2250" spans="1:4">
      <c r="A2250" t="s">
        <v>5490</v>
      </c>
      <c r="B2250" t="s">
        <v>5491</v>
      </c>
      <c r="C2250" t="s">
        <v>5490</v>
      </c>
      <c r="D2250">
        <v>6500</v>
      </c>
    </row>
    <row r="2251" spans="1:4">
      <c r="A2251" t="s">
        <v>5492</v>
      </c>
      <c r="B2251" t="s">
        <v>5493</v>
      </c>
      <c r="C2251" t="s">
        <v>5492</v>
      </c>
      <c r="D2251">
        <v>3841</v>
      </c>
    </row>
    <row r="2252" spans="1:4">
      <c r="A2252" t="s">
        <v>5494</v>
      </c>
      <c r="B2252" t="s">
        <v>5495</v>
      </c>
      <c r="C2252" t="s">
        <v>5494</v>
      </c>
      <c r="D2252">
        <v>6331</v>
      </c>
    </row>
    <row r="2253" spans="1:4">
      <c r="A2253" t="s">
        <v>5496</v>
      </c>
      <c r="B2253" t="s">
        <v>5497</v>
      </c>
      <c r="C2253" t="s">
        <v>5496</v>
      </c>
      <c r="D2253">
        <v>6141</v>
      </c>
    </row>
    <row r="2254" spans="1:4">
      <c r="A2254" t="s">
        <v>5498</v>
      </c>
      <c r="B2254" t="s">
        <v>5499</v>
      </c>
      <c r="C2254" t="s">
        <v>5498</v>
      </c>
      <c r="D2254">
        <v>6163</v>
      </c>
    </row>
    <row r="2255" spans="1:4">
      <c r="A2255" t="s">
        <v>5500</v>
      </c>
      <c r="B2255" t="s">
        <v>5501</v>
      </c>
      <c r="C2255" t="s">
        <v>5500</v>
      </c>
      <c r="D2255">
        <v>1520</v>
      </c>
    </row>
    <row r="2256" spans="1:4">
      <c r="A2256" t="s">
        <v>5502</v>
      </c>
      <c r="B2256" t="s">
        <v>5503</v>
      </c>
      <c r="C2256" t="s">
        <v>5502</v>
      </c>
      <c r="D2256">
        <v>3585</v>
      </c>
    </row>
    <row r="2257" spans="1:4">
      <c r="A2257" t="s">
        <v>5504</v>
      </c>
      <c r="B2257" t="s">
        <v>5505</v>
      </c>
      <c r="C2257" t="s">
        <v>5504</v>
      </c>
      <c r="D2257">
        <v>3841</v>
      </c>
    </row>
    <row r="2258" spans="1:4">
      <c r="A2258" t="s">
        <v>5506</v>
      </c>
      <c r="B2258" t="s">
        <v>5507</v>
      </c>
      <c r="C2258" t="s">
        <v>5506</v>
      </c>
      <c r="D2258">
        <v>5990</v>
      </c>
    </row>
    <row r="2259" spans="1:4">
      <c r="A2259" t="s">
        <v>5508</v>
      </c>
      <c r="B2259" t="s">
        <v>5509</v>
      </c>
      <c r="C2259" t="s">
        <v>5508</v>
      </c>
      <c r="D2259">
        <v>2300</v>
      </c>
    </row>
    <row r="2260" spans="1:4">
      <c r="A2260" t="s">
        <v>5510</v>
      </c>
      <c r="B2260" t="s">
        <v>5511</v>
      </c>
      <c r="C2260" t="s">
        <v>5510</v>
      </c>
      <c r="D2260">
        <v>2834</v>
      </c>
    </row>
    <row r="2261" spans="1:4">
      <c r="A2261" t="s">
        <v>5512</v>
      </c>
      <c r="B2261" t="s">
        <v>5513</v>
      </c>
      <c r="C2261" t="s">
        <v>5512</v>
      </c>
      <c r="D2261">
        <v>6199</v>
      </c>
    </row>
    <row r="2262" spans="1:4">
      <c r="A2262" t="s">
        <v>5514</v>
      </c>
      <c r="B2262" t="s">
        <v>5515</v>
      </c>
      <c r="C2262" t="s">
        <v>5514</v>
      </c>
      <c r="D2262">
        <v>1531</v>
      </c>
    </row>
    <row r="2263" spans="1:4">
      <c r="A2263" t="s">
        <v>5516</v>
      </c>
      <c r="B2263" t="s">
        <v>5517</v>
      </c>
      <c r="C2263" t="s">
        <v>5516</v>
      </c>
      <c r="D2263">
        <v>3679</v>
      </c>
    </row>
    <row r="2264" spans="1:4">
      <c r="A2264" t="s">
        <v>5518</v>
      </c>
      <c r="B2264" t="s">
        <v>5519</v>
      </c>
      <c r="C2264" t="s">
        <v>5518</v>
      </c>
      <c r="D2264">
        <v>8082</v>
      </c>
    </row>
    <row r="2265" spans="1:4">
      <c r="A2265" t="s">
        <v>5520</v>
      </c>
      <c r="B2265" t="s">
        <v>5521</v>
      </c>
      <c r="C2265" t="s">
        <v>5520</v>
      </c>
      <c r="D2265">
        <v>3711</v>
      </c>
    </row>
    <row r="2266" spans="1:4">
      <c r="A2266" t="s">
        <v>5522</v>
      </c>
      <c r="B2266" t="s">
        <v>5523</v>
      </c>
      <c r="C2266" t="s">
        <v>5522</v>
      </c>
      <c r="D2266">
        <v>4841</v>
      </c>
    </row>
    <row r="2267" spans="1:4">
      <c r="A2267" t="s">
        <v>5524</v>
      </c>
      <c r="B2267" t="s">
        <v>5525</v>
      </c>
      <c r="C2267" t="s">
        <v>5524</v>
      </c>
      <c r="D2267">
        <v>4841</v>
      </c>
    </row>
    <row r="2268" spans="1:4">
      <c r="A2268" t="s">
        <v>5526</v>
      </c>
      <c r="B2268" t="s">
        <v>5527</v>
      </c>
      <c r="C2268" t="s">
        <v>5526</v>
      </c>
      <c r="D2268">
        <v>4841</v>
      </c>
    </row>
    <row r="2269" spans="1:4">
      <c r="A2269" t="s">
        <v>5528</v>
      </c>
      <c r="B2269" t="s">
        <v>5529</v>
      </c>
      <c r="C2269" t="s">
        <v>5528</v>
      </c>
      <c r="D2269">
        <v>4833</v>
      </c>
    </row>
    <row r="2270" spans="1:4">
      <c r="A2270" t="s">
        <v>5530</v>
      </c>
      <c r="B2270" t="s">
        <v>5531</v>
      </c>
      <c r="C2270" t="s">
        <v>5530</v>
      </c>
      <c r="D2270">
        <v>1389</v>
      </c>
    </row>
    <row r="2271" spans="1:4">
      <c r="A2271" t="s">
        <v>5532</v>
      </c>
      <c r="B2271" t="s">
        <v>5533</v>
      </c>
      <c r="C2271" t="s">
        <v>5532</v>
      </c>
      <c r="D2271">
        <v>7374</v>
      </c>
    </row>
    <row r="2272" spans="1:4">
      <c r="A2272" t="s">
        <v>5534</v>
      </c>
      <c r="B2272" t="s">
        <v>5535</v>
      </c>
      <c r="C2272" t="s">
        <v>5534</v>
      </c>
      <c r="D2272">
        <v>6798</v>
      </c>
    </row>
    <row r="2273" spans="1:4">
      <c r="A2273" t="s">
        <v>5536</v>
      </c>
      <c r="B2273" t="s">
        <v>5537</v>
      </c>
      <c r="C2273" t="s">
        <v>5536</v>
      </c>
      <c r="D2273">
        <v>7997</v>
      </c>
    </row>
    <row r="2274" spans="1:4">
      <c r="A2274" t="s">
        <v>5538</v>
      </c>
      <c r="B2274" t="s">
        <v>5539</v>
      </c>
      <c r="C2274" t="s">
        <v>5538</v>
      </c>
      <c r="D2274">
        <v>8011</v>
      </c>
    </row>
    <row r="2275" spans="1:4">
      <c r="A2275" t="s">
        <v>5540</v>
      </c>
      <c r="B2275" t="s">
        <v>5541</v>
      </c>
      <c r="C2275" t="s">
        <v>5540</v>
      </c>
      <c r="D2275">
        <v>3420</v>
      </c>
    </row>
    <row r="2276" spans="1:4">
      <c r="A2276" t="s">
        <v>5542</v>
      </c>
      <c r="B2276" t="s">
        <v>5543</v>
      </c>
      <c r="C2276" t="s">
        <v>5542</v>
      </c>
      <c r="D2276">
        <v>2834</v>
      </c>
    </row>
    <row r="2277" spans="1:4">
      <c r="A2277" t="s">
        <v>5544</v>
      </c>
      <c r="B2277" t="s">
        <v>5545</v>
      </c>
      <c r="C2277" t="s">
        <v>5544</v>
      </c>
      <c r="D2277">
        <v>2020</v>
      </c>
    </row>
    <row r="2278" spans="1:4">
      <c r="A2278" t="s">
        <v>5546</v>
      </c>
      <c r="B2278" t="s">
        <v>5547</v>
      </c>
      <c r="C2278" t="s">
        <v>5546</v>
      </c>
      <c r="D2278">
        <v>2834</v>
      </c>
    </row>
    <row r="2279" spans="1:4">
      <c r="A2279" t="s">
        <v>5548</v>
      </c>
      <c r="B2279" t="s">
        <v>5549</v>
      </c>
      <c r="C2279" t="s">
        <v>5548</v>
      </c>
      <c r="D2279">
        <v>8742</v>
      </c>
    </row>
    <row r="2280" spans="1:4">
      <c r="A2280" t="s">
        <v>5550</v>
      </c>
      <c r="B2280" t="s">
        <v>5551</v>
      </c>
      <c r="C2280" t="s">
        <v>5550</v>
      </c>
      <c r="D2280">
        <v>5961</v>
      </c>
    </row>
    <row r="2281" spans="1:4">
      <c r="A2281" t="s">
        <v>5552</v>
      </c>
      <c r="B2281" t="s">
        <v>5553</v>
      </c>
      <c r="C2281" t="s">
        <v>5552</v>
      </c>
      <c r="D2281">
        <v>3711</v>
      </c>
    </row>
    <row r="2282" spans="1:4">
      <c r="A2282" t="s">
        <v>5554</v>
      </c>
      <c r="B2282" t="s">
        <v>5555</v>
      </c>
      <c r="C2282" t="s">
        <v>5554</v>
      </c>
      <c r="D2282">
        <v>3674</v>
      </c>
    </row>
    <row r="2283" spans="1:4">
      <c r="A2283" t="s">
        <v>5556</v>
      </c>
      <c r="B2283" t="s">
        <v>5557</v>
      </c>
      <c r="C2283" t="s">
        <v>5556</v>
      </c>
      <c r="D2283">
        <v>1700</v>
      </c>
    </row>
    <row r="2284" spans="1:4">
      <c r="A2284" t="s">
        <v>5558</v>
      </c>
      <c r="B2284" t="s">
        <v>5559</v>
      </c>
      <c r="C2284" t="s">
        <v>5558</v>
      </c>
      <c r="D2284">
        <v>6021</v>
      </c>
    </row>
    <row r="2285" spans="1:4">
      <c r="A2285" t="s">
        <v>5560</v>
      </c>
      <c r="B2285" t="s">
        <v>5561</v>
      </c>
      <c r="C2285" t="s">
        <v>5560</v>
      </c>
      <c r="D2285">
        <v>100</v>
      </c>
    </row>
    <row r="2286" spans="1:4">
      <c r="A2286" t="s">
        <v>5562</v>
      </c>
      <c r="B2286" t="s">
        <v>5563</v>
      </c>
      <c r="C2286" t="s">
        <v>5562</v>
      </c>
      <c r="D2286">
        <v>8200</v>
      </c>
    </row>
    <row r="2287" spans="1:4">
      <c r="A2287" t="s">
        <v>5564</v>
      </c>
      <c r="B2287" t="s">
        <v>5565</v>
      </c>
      <c r="C2287" t="s">
        <v>5564</v>
      </c>
      <c r="D2287">
        <v>3540</v>
      </c>
    </row>
    <row r="2288" spans="1:4">
      <c r="A2288" t="s">
        <v>5566</v>
      </c>
      <c r="B2288" t="s">
        <v>5567</v>
      </c>
      <c r="C2288" t="s">
        <v>5566</v>
      </c>
      <c r="D2288">
        <v>6311</v>
      </c>
    </row>
    <row r="2289" spans="1:4">
      <c r="A2289" t="s">
        <v>5568</v>
      </c>
      <c r="B2289" t="s">
        <v>5569</v>
      </c>
      <c r="C2289" t="s">
        <v>5568</v>
      </c>
      <c r="D2289">
        <v>4700</v>
      </c>
    </row>
    <row r="2290" spans="1:4">
      <c r="A2290" t="s">
        <v>5570</v>
      </c>
      <c r="B2290" t="s">
        <v>5571</v>
      </c>
      <c r="C2290" t="s">
        <v>5570</v>
      </c>
      <c r="D2290">
        <v>2810</v>
      </c>
    </row>
    <row r="2291" spans="1:4">
      <c r="A2291" t="s">
        <v>5572</v>
      </c>
      <c r="B2291" t="s">
        <v>5573</v>
      </c>
      <c r="C2291" t="s">
        <v>5572</v>
      </c>
      <c r="D2291">
        <v>3523</v>
      </c>
    </row>
    <row r="2292" spans="1:4">
      <c r="A2292" t="s">
        <v>5574</v>
      </c>
      <c r="B2292" t="s">
        <v>5575</v>
      </c>
      <c r="C2292" t="s">
        <v>5574</v>
      </c>
      <c r="D2292">
        <v>2836</v>
      </c>
    </row>
    <row r="2293" spans="1:4">
      <c r="A2293" t="s">
        <v>5576</v>
      </c>
      <c r="B2293" t="s">
        <v>5577</v>
      </c>
      <c r="C2293" t="s">
        <v>5576</v>
      </c>
      <c r="D2293">
        <v>6022</v>
      </c>
    </row>
    <row r="2294" spans="1:4">
      <c r="A2294" t="s">
        <v>5578</v>
      </c>
      <c r="B2294" t="s">
        <v>5579</v>
      </c>
      <c r="C2294" t="s">
        <v>5578</v>
      </c>
      <c r="D2294">
        <v>6211</v>
      </c>
    </row>
    <row r="2295" spans="1:4">
      <c r="A2295" t="s">
        <v>5580</v>
      </c>
      <c r="B2295" t="s">
        <v>5581</v>
      </c>
      <c r="C2295" t="s">
        <v>5580</v>
      </c>
      <c r="D2295">
        <v>7812</v>
      </c>
    </row>
    <row r="2296" spans="1:4">
      <c r="A2296" t="s">
        <v>5582</v>
      </c>
      <c r="B2296" t="s">
        <v>5583</v>
      </c>
      <c r="C2296" t="s">
        <v>5582</v>
      </c>
      <c r="D2296">
        <v>2834</v>
      </c>
    </row>
    <row r="2297" spans="1:4">
      <c r="A2297" t="s">
        <v>5584</v>
      </c>
      <c r="B2297" t="s">
        <v>5585</v>
      </c>
      <c r="C2297" t="s">
        <v>5584</v>
      </c>
      <c r="D2297">
        <v>7389</v>
      </c>
    </row>
    <row r="2298" spans="1:4">
      <c r="A2298" t="s">
        <v>5586</v>
      </c>
      <c r="B2298" t="s">
        <v>5587</v>
      </c>
      <c r="C2298" t="s">
        <v>5586</v>
      </c>
      <c r="D2298">
        <v>2800</v>
      </c>
    </row>
    <row r="2299" spans="1:4">
      <c r="A2299" t="s">
        <v>5588</v>
      </c>
      <c r="B2299" t="s">
        <v>5589</v>
      </c>
      <c r="C2299" t="s">
        <v>5588</v>
      </c>
      <c r="D2299">
        <v>5500</v>
      </c>
    </row>
    <row r="2300" spans="1:4">
      <c r="A2300" t="s">
        <v>5590</v>
      </c>
      <c r="B2300" t="s">
        <v>5591</v>
      </c>
      <c r="C2300" t="s">
        <v>5590</v>
      </c>
      <c r="D2300">
        <v>3613</v>
      </c>
    </row>
    <row r="2301" spans="1:4">
      <c r="A2301" t="s">
        <v>5592</v>
      </c>
      <c r="B2301" t="s">
        <v>5593</v>
      </c>
      <c r="C2301" t="s">
        <v>5592</v>
      </c>
      <c r="D2301">
        <v>3845</v>
      </c>
    </row>
    <row r="2302" spans="1:4">
      <c r="A2302" t="s">
        <v>5594</v>
      </c>
      <c r="B2302" t="s">
        <v>5595</v>
      </c>
      <c r="C2302" t="s">
        <v>5594</v>
      </c>
      <c r="D2302">
        <v>7900</v>
      </c>
    </row>
    <row r="2303" spans="1:4">
      <c r="A2303" t="s">
        <v>5596</v>
      </c>
      <c r="B2303" t="s">
        <v>5597</v>
      </c>
      <c r="C2303" t="s">
        <v>5596</v>
      </c>
      <c r="D2303">
        <v>6022</v>
      </c>
    </row>
    <row r="2304" spans="1:4">
      <c r="A2304" t="s">
        <v>5598</v>
      </c>
      <c r="B2304" t="s">
        <v>5599</v>
      </c>
      <c r="C2304" t="s">
        <v>5598</v>
      </c>
      <c r="D2304">
        <v>5900</v>
      </c>
    </row>
    <row r="2305" spans="1:4">
      <c r="A2305" t="s">
        <v>5600</v>
      </c>
      <c r="B2305" t="s">
        <v>5601</v>
      </c>
      <c r="C2305" t="s">
        <v>5600</v>
      </c>
      <c r="D2305">
        <v>2800</v>
      </c>
    </row>
    <row r="2306" spans="1:4">
      <c r="A2306" t="s">
        <v>5602</v>
      </c>
      <c r="B2306" t="s">
        <v>5603</v>
      </c>
      <c r="C2306" t="s">
        <v>5602</v>
      </c>
      <c r="D2306">
        <v>5812</v>
      </c>
    </row>
    <row r="2307" spans="1:4">
      <c r="A2307" t="s">
        <v>5604</v>
      </c>
      <c r="B2307" t="s">
        <v>5605</v>
      </c>
      <c r="C2307" t="s">
        <v>5604</v>
      </c>
      <c r="D2307">
        <v>7372</v>
      </c>
    </row>
    <row r="2308" spans="1:4">
      <c r="A2308" t="s">
        <v>5606</v>
      </c>
      <c r="B2308" t="s">
        <v>5607</v>
      </c>
      <c r="C2308" t="s">
        <v>5606</v>
      </c>
      <c r="D2308">
        <v>7374</v>
      </c>
    </row>
    <row r="2309" spans="1:4">
      <c r="A2309" t="s">
        <v>5608</v>
      </c>
      <c r="B2309" t="s">
        <v>5609</v>
      </c>
      <c r="C2309" t="s">
        <v>5608</v>
      </c>
      <c r="D2309">
        <v>7374</v>
      </c>
    </row>
    <row r="2310" spans="1:4">
      <c r="A2310" t="s">
        <v>5610</v>
      </c>
      <c r="B2310" t="s">
        <v>5611</v>
      </c>
      <c r="C2310" t="s">
        <v>5610</v>
      </c>
      <c r="D2310">
        <v>8200</v>
      </c>
    </row>
    <row r="2311" spans="1:4">
      <c r="A2311" t="s">
        <v>5612</v>
      </c>
      <c r="B2311" t="s">
        <v>5613</v>
      </c>
      <c r="C2311" t="s">
        <v>5612</v>
      </c>
      <c r="D2311">
        <v>7370</v>
      </c>
    </row>
    <row r="2312" spans="1:4">
      <c r="A2312" t="s">
        <v>5614</v>
      </c>
      <c r="B2312" t="s">
        <v>5615</v>
      </c>
      <c r="C2312" t="s">
        <v>5614</v>
      </c>
      <c r="D2312">
        <v>5010</v>
      </c>
    </row>
    <row r="2313" spans="1:4">
      <c r="A2313" t="s">
        <v>5616</v>
      </c>
      <c r="B2313" t="s">
        <v>5617</v>
      </c>
      <c r="C2313" t="s">
        <v>5616</v>
      </c>
      <c r="D2313">
        <v>5211</v>
      </c>
    </row>
    <row r="2314" spans="1:4">
      <c r="A2314" t="s">
        <v>5618</v>
      </c>
      <c r="B2314" t="s">
        <v>5619</v>
      </c>
      <c r="C2314" t="s">
        <v>5618</v>
      </c>
      <c r="D2314">
        <v>5500</v>
      </c>
    </row>
    <row r="2315" spans="1:4">
      <c r="A2315" t="s">
        <v>5620</v>
      </c>
      <c r="B2315" t="s">
        <v>5621</v>
      </c>
      <c r="C2315" t="s">
        <v>5620</v>
      </c>
      <c r="D2315">
        <v>6199</v>
      </c>
    </row>
    <row r="2316" spans="1:4">
      <c r="A2316" t="s">
        <v>5622</v>
      </c>
      <c r="B2316" t="s">
        <v>5623</v>
      </c>
      <c r="C2316" t="s">
        <v>5622</v>
      </c>
      <c r="D2316">
        <v>3760</v>
      </c>
    </row>
    <row r="2317" spans="1:4">
      <c r="A2317" t="s">
        <v>5624</v>
      </c>
      <c r="B2317" t="s">
        <v>5625</v>
      </c>
      <c r="C2317" t="s">
        <v>5624</v>
      </c>
      <c r="D2317">
        <v>6331</v>
      </c>
    </row>
    <row r="2318" spans="1:4">
      <c r="A2318" t="s">
        <v>5626</v>
      </c>
      <c r="B2318" t="s">
        <v>5627</v>
      </c>
      <c r="C2318" t="s">
        <v>5626</v>
      </c>
      <c r="D2318">
        <v>2836</v>
      </c>
    </row>
    <row r="2319" spans="1:4">
      <c r="A2319" t="s">
        <v>5628</v>
      </c>
      <c r="B2319" t="s">
        <v>5629</v>
      </c>
      <c r="C2319" t="s">
        <v>5628</v>
      </c>
      <c r="D2319">
        <v>3577</v>
      </c>
    </row>
    <row r="2320" spans="1:4">
      <c r="A2320" t="s">
        <v>5630</v>
      </c>
      <c r="B2320" t="s">
        <v>5631</v>
      </c>
      <c r="C2320" t="s">
        <v>5630</v>
      </c>
      <c r="D2320">
        <v>2800</v>
      </c>
    </row>
    <row r="2321" spans="1:4">
      <c r="A2321" t="s">
        <v>5632</v>
      </c>
      <c r="B2321" t="s">
        <v>5633</v>
      </c>
      <c r="C2321" t="s">
        <v>5632</v>
      </c>
      <c r="D2321">
        <v>7372</v>
      </c>
    </row>
    <row r="2322" spans="1:4">
      <c r="A2322" t="s">
        <v>5634</v>
      </c>
      <c r="B2322" t="s">
        <v>5635</v>
      </c>
      <c r="C2322" t="s">
        <v>5634</v>
      </c>
      <c r="D2322">
        <v>2400</v>
      </c>
    </row>
    <row r="2323" spans="1:4">
      <c r="A2323" t="s">
        <v>5636</v>
      </c>
      <c r="B2323" t="s">
        <v>5637</v>
      </c>
      <c r="C2323" t="s">
        <v>5636</v>
      </c>
      <c r="D2323">
        <v>100</v>
      </c>
    </row>
    <row r="2324" spans="1:4">
      <c r="A2324" t="s">
        <v>5638</v>
      </c>
      <c r="B2324" t="s">
        <v>5639</v>
      </c>
      <c r="C2324" t="s">
        <v>5638</v>
      </c>
      <c r="D2324">
        <v>5211</v>
      </c>
    </row>
    <row r="2325" spans="1:4">
      <c r="A2325" t="s">
        <v>5640</v>
      </c>
      <c r="B2325" t="s">
        <v>5641</v>
      </c>
      <c r="C2325" t="s">
        <v>5640</v>
      </c>
      <c r="D2325">
        <v>7389</v>
      </c>
    </row>
    <row r="2326" spans="1:4">
      <c r="A2326" t="s">
        <v>5642</v>
      </c>
      <c r="B2326" t="s">
        <v>5643</v>
      </c>
      <c r="C2326" t="s">
        <v>5642</v>
      </c>
      <c r="D2326">
        <v>6200</v>
      </c>
    </row>
    <row r="2327" spans="1:4">
      <c r="A2327" t="s">
        <v>5644</v>
      </c>
      <c r="B2327" t="s">
        <v>5645</v>
      </c>
      <c r="C2327" t="s">
        <v>5644</v>
      </c>
      <c r="D2327">
        <v>2810</v>
      </c>
    </row>
    <row r="2328" spans="1:4">
      <c r="A2328" t="s">
        <v>5646</v>
      </c>
      <c r="B2328" t="s">
        <v>5647</v>
      </c>
      <c r="C2328" t="s">
        <v>5646</v>
      </c>
      <c r="D2328">
        <v>3640</v>
      </c>
    </row>
    <row r="2329" spans="1:4">
      <c r="A2329" t="s">
        <v>5648</v>
      </c>
      <c r="B2329" t="s">
        <v>5649</v>
      </c>
      <c r="C2329" t="s">
        <v>5648</v>
      </c>
      <c r="D2329">
        <v>6798</v>
      </c>
    </row>
    <row r="2330" spans="1:4">
      <c r="A2330" t="s">
        <v>5650</v>
      </c>
      <c r="B2330" t="s">
        <v>5651</v>
      </c>
      <c r="C2330" t="s">
        <v>5650</v>
      </c>
      <c r="D2330">
        <v>3711</v>
      </c>
    </row>
    <row r="2331" spans="1:4">
      <c r="A2331" t="s">
        <v>5652</v>
      </c>
      <c r="B2331" t="s">
        <v>5653</v>
      </c>
      <c r="C2331" t="s">
        <v>5652</v>
      </c>
      <c r="D2331">
        <v>2835</v>
      </c>
    </row>
    <row r="2332" spans="1:4">
      <c r="A2332" t="s">
        <v>5654</v>
      </c>
      <c r="B2332" t="s">
        <v>5655</v>
      </c>
      <c r="C2332" t="s">
        <v>5654</v>
      </c>
      <c r="D2332">
        <v>5810</v>
      </c>
    </row>
    <row r="2333" spans="1:4">
      <c r="A2333" t="s">
        <v>5656</v>
      </c>
      <c r="B2333" t="s">
        <v>5657</v>
      </c>
      <c r="C2333" t="s">
        <v>5656</v>
      </c>
      <c r="D2333">
        <v>5961</v>
      </c>
    </row>
    <row r="2334" spans="1:4">
      <c r="A2334" t="s">
        <v>5658</v>
      </c>
      <c r="B2334" t="s">
        <v>5659</v>
      </c>
      <c r="C2334" t="s">
        <v>5658</v>
      </c>
      <c r="D2334">
        <v>2300</v>
      </c>
    </row>
    <row r="2335" spans="1:4">
      <c r="A2335" t="s">
        <v>5660</v>
      </c>
      <c r="B2335" t="s">
        <v>5661</v>
      </c>
      <c r="C2335" t="s">
        <v>5660</v>
      </c>
      <c r="D2335">
        <v>4813</v>
      </c>
    </row>
    <row r="2336" spans="1:4">
      <c r="A2336" t="s">
        <v>5662</v>
      </c>
      <c r="B2336" t="s">
        <v>5663</v>
      </c>
      <c r="C2336" t="s">
        <v>5662</v>
      </c>
      <c r="D2336">
        <v>6798</v>
      </c>
    </row>
    <row r="2337" spans="1:4">
      <c r="A2337" t="s">
        <v>5664</v>
      </c>
      <c r="B2337" t="s">
        <v>5665</v>
      </c>
      <c r="C2337" t="s">
        <v>5664</v>
      </c>
      <c r="D2337">
        <v>3669</v>
      </c>
    </row>
    <row r="2338" spans="1:4">
      <c r="A2338" t="s">
        <v>5666</v>
      </c>
      <c r="B2338" t="s">
        <v>5667</v>
      </c>
      <c r="C2338" t="s">
        <v>5666</v>
      </c>
      <c r="D2338">
        <v>3714</v>
      </c>
    </row>
    <row r="2339" spans="1:4">
      <c r="A2339" t="s">
        <v>5668</v>
      </c>
      <c r="B2339" t="s">
        <v>5669</v>
      </c>
      <c r="C2339" t="s">
        <v>5668</v>
      </c>
      <c r="D2339">
        <v>2834</v>
      </c>
    </row>
    <row r="2340" spans="1:4">
      <c r="A2340" t="s">
        <v>5670</v>
      </c>
      <c r="B2340" t="s">
        <v>5671</v>
      </c>
      <c r="C2340" t="s">
        <v>5670</v>
      </c>
      <c r="D2340">
        <v>8731</v>
      </c>
    </row>
    <row r="2341" spans="1:4">
      <c r="A2341" t="s">
        <v>5672</v>
      </c>
      <c r="B2341" t="s">
        <v>5673</v>
      </c>
      <c r="C2341" t="s">
        <v>5672</v>
      </c>
      <c r="D2341">
        <v>7371</v>
      </c>
    </row>
    <row r="2342" spans="1:4">
      <c r="A2342" t="s">
        <v>5674</v>
      </c>
      <c r="B2342" t="s">
        <v>5675</v>
      </c>
      <c r="C2342" t="s">
        <v>5674</v>
      </c>
      <c r="D2342">
        <v>6022</v>
      </c>
    </row>
    <row r="2343" spans="1:4">
      <c r="A2343" t="s">
        <v>5676</v>
      </c>
      <c r="B2343" t="s">
        <v>5677</v>
      </c>
      <c r="C2343" t="s">
        <v>5676</v>
      </c>
      <c r="D2343">
        <v>2810</v>
      </c>
    </row>
    <row r="2344" spans="1:4">
      <c r="A2344" t="s">
        <v>5678</v>
      </c>
      <c r="B2344" t="s">
        <v>5679</v>
      </c>
      <c r="C2344" t="s">
        <v>5678</v>
      </c>
      <c r="D2344">
        <v>6798</v>
      </c>
    </row>
    <row r="2345" spans="1:4">
      <c r="A2345" t="s">
        <v>5680</v>
      </c>
      <c r="B2345" t="s">
        <v>5681</v>
      </c>
      <c r="C2345" t="s">
        <v>5680</v>
      </c>
      <c r="D2345">
        <v>2834</v>
      </c>
    </row>
    <row r="2346" spans="1:4">
      <c r="A2346" t="s">
        <v>5682</v>
      </c>
      <c r="B2346" t="s">
        <v>5683</v>
      </c>
      <c r="C2346" t="s">
        <v>5682</v>
      </c>
      <c r="D2346">
        <v>7389</v>
      </c>
    </row>
    <row r="2347" spans="1:4">
      <c r="A2347" t="s">
        <v>5684</v>
      </c>
      <c r="B2347" t="s">
        <v>5685</v>
      </c>
      <c r="C2347" t="s">
        <v>5684</v>
      </c>
      <c r="D2347">
        <v>2860</v>
      </c>
    </row>
    <row r="2348" spans="1:4">
      <c r="A2348" t="s">
        <v>5686</v>
      </c>
      <c r="B2348" t="s">
        <v>5687</v>
      </c>
      <c r="C2348" t="s">
        <v>5686</v>
      </c>
      <c r="D2348">
        <v>6022</v>
      </c>
    </row>
    <row r="2349" spans="1:4">
      <c r="A2349" t="s">
        <v>5688</v>
      </c>
      <c r="B2349" t="s">
        <v>5689</v>
      </c>
      <c r="C2349" t="s">
        <v>5688</v>
      </c>
      <c r="D2349">
        <v>1531</v>
      </c>
    </row>
    <row r="2350" spans="1:4">
      <c r="A2350" t="s">
        <v>5690</v>
      </c>
      <c r="B2350" t="s">
        <v>5691</v>
      </c>
      <c r="C2350" t="s">
        <v>5690</v>
      </c>
      <c r="D2350">
        <v>1531</v>
      </c>
    </row>
    <row r="2351" spans="1:4">
      <c r="A2351" t="s">
        <v>5692</v>
      </c>
      <c r="B2351" t="s">
        <v>5693</v>
      </c>
      <c r="C2351" t="s">
        <v>5692</v>
      </c>
      <c r="D2351">
        <v>6022</v>
      </c>
    </row>
    <row r="2352" spans="1:4">
      <c r="A2352" t="s">
        <v>5694</v>
      </c>
      <c r="B2352" t="s">
        <v>5695</v>
      </c>
      <c r="C2352" t="s">
        <v>5694</v>
      </c>
      <c r="D2352">
        <v>6798</v>
      </c>
    </row>
    <row r="2353" spans="1:4">
      <c r="A2353" t="s">
        <v>5696</v>
      </c>
      <c r="B2353" t="s">
        <v>5697</v>
      </c>
      <c r="C2353" t="s">
        <v>5696</v>
      </c>
      <c r="D2353">
        <v>3674</v>
      </c>
    </row>
    <row r="2354" spans="1:4">
      <c r="A2354" t="s">
        <v>5698</v>
      </c>
      <c r="B2354" t="s">
        <v>5699</v>
      </c>
      <c r="C2354" t="s">
        <v>5698</v>
      </c>
      <c r="D2354">
        <v>5172</v>
      </c>
    </row>
    <row r="2355" spans="1:4">
      <c r="A2355" t="s">
        <v>5700</v>
      </c>
      <c r="B2355" t="s">
        <v>5701</v>
      </c>
      <c r="C2355" t="s">
        <v>5700</v>
      </c>
      <c r="D2355">
        <v>2834</v>
      </c>
    </row>
    <row r="2356" spans="1:4">
      <c r="A2356" t="s">
        <v>5702</v>
      </c>
      <c r="B2356" t="s">
        <v>5703</v>
      </c>
      <c r="C2356" t="s">
        <v>5702</v>
      </c>
      <c r="D2356">
        <v>5311</v>
      </c>
    </row>
    <row r="2357" spans="1:4">
      <c r="A2357" t="s">
        <v>5704</v>
      </c>
      <c r="B2357" t="s">
        <v>5705</v>
      </c>
      <c r="C2357" t="s">
        <v>5704</v>
      </c>
      <c r="D2357">
        <v>7900</v>
      </c>
    </row>
    <row r="2358" spans="1:4">
      <c r="A2358" t="s">
        <v>5706</v>
      </c>
      <c r="B2358" t="s">
        <v>5707</v>
      </c>
      <c r="C2358" t="s">
        <v>5706</v>
      </c>
      <c r="D2358">
        <v>7990</v>
      </c>
    </row>
    <row r="2359" spans="1:4">
      <c r="A2359" t="s">
        <v>5708</v>
      </c>
      <c r="B2359" t="s">
        <v>5709</v>
      </c>
      <c r="C2359" t="s">
        <v>5708</v>
      </c>
      <c r="D2359">
        <v>4610</v>
      </c>
    </row>
    <row r="2360" spans="1:4">
      <c r="A2360" t="s">
        <v>5710</v>
      </c>
      <c r="B2360" t="s">
        <v>5711</v>
      </c>
      <c r="C2360" t="s">
        <v>5710</v>
      </c>
      <c r="D2360">
        <v>3714</v>
      </c>
    </row>
    <row r="2361" spans="1:4">
      <c r="A2361" t="s">
        <v>5712</v>
      </c>
      <c r="B2361" t="s">
        <v>5713</v>
      </c>
      <c r="C2361" t="s">
        <v>5712</v>
      </c>
      <c r="D2361">
        <v>3674</v>
      </c>
    </row>
    <row r="2362" spans="1:4">
      <c r="A2362" t="s">
        <v>5714</v>
      </c>
      <c r="B2362" t="s">
        <v>5715</v>
      </c>
      <c r="C2362" t="s">
        <v>5714</v>
      </c>
      <c r="D2362">
        <v>7370</v>
      </c>
    </row>
    <row r="2363" spans="1:4">
      <c r="A2363" t="s">
        <v>5716</v>
      </c>
      <c r="B2363" t="s">
        <v>5717</v>
      </c>
      <c r="C2363" t="s">
        <v>5716</v>
      </c>
      <c r="D2363">
        <v>1311</v>
      </c>
    </row>
    <row r="2364" spans="1:4">
      <c r="A2364" t="s">
        <v>5718</v>
      </c>
      <c r="B2364" t="s">
        <v>5719</v>
      </c>
      <c r="C2364" t="s">
        <v>5718</v>
      </c>
      <c r="D2364">
        <v>6035</v>
      </c>
    </row>
    <row r="2365" spans="1:4">
      <c r="A2365" t="s">
        <v>5720</v>
      </c>
      <c r="B2365" t="s">
        <v>5721</v>
      </c>
      <c r="C2365" t="s">
        <v>5720</v>
      </c>
      <c r="D2365">
        <v>6331</v>
      </c>
    </row>
    <row r="2366" spans="1:4">
      <c r="A2366" t="s">
        <v>5722</v>
      </c>
      <c r="B2366" t="s">
        <v>5723</v>
      </c>
      <c r="C2366" t="s">
        <v>5722</v>
      </c>
      <c r="D2366">
        <v>6022</v>
      </c>
    </row>
    <row r="2367" spans="1:4">
      <c r="A2367" t="s">
        <v>5724</v>
      </c>
      <c r="B2367" t="s">
        <v>5725</v>
      </c>
      <c r="C2367" t="s">
        <v>5724</v>
      </c>
      <c r="D2367">
        <v>3730</v>
      </c>
    </row>
    <row r="2368" spans="1:4">
      <c r="A2368" t="s">
        <v>5726</v>
      </c>
      <c r="B2368" t="s">
        <v>5727</v>
      </c>
      <c r="C2368" t="s">
        <v>5726</v>
      </c>
      <c r="D2368">
        <v>6035</v>
      </c>
    </row>
    <row r="2369" spans="1:4">
      <c r="A2369" t="s">
        <v>5728</v>
      </c>
      <c r="B2369" t="s">
        <v>5729</v>
      </c>
      <c r="C2369" t="s">
        <v>5728</v>
      </c>
      <c r="D2369">
        <v>2013</v>
      </c>
    </row>
    <row r="2370" spans="1:4">
      <c r="A2370" t="s">
        <v>5730</v>
      </c>
      <c r="B2370" t="s">
        <v>5731</v>
      </c>
      <c r="C2370" t="s">
        <v>5730</v>
      </c>
      <c r="D2370">
        <v>1389</v>
      </c>
    </row>
    <row r="2371" spans="1:4">
      <c r="A2371" t="s">
        <v>5732</v>
      </c>
      <c r="B2371" t="s">
        <v>5733</v>
      </c>
      <c r="C2371" t="s">
        <v>5732</v>
      </c>
      <c r="D2371">
        <v>3577</v>
      </c>
    </row>
    <row r="2372" spans="1:4">
      <c r="A2372" t="s">
        <v>5734</v>
      </c>
      <c r="B2372" t="s">
        <v>5735</v>
      </c>
      <c r="C2372" t="s">
        <v>5734</v>
      </c>
      <c r="D2372">
        <v>7372</v>
      </c>
    </row>
    <row r="2373" spans="1:4">
      <c r="A2373" t="s">
        <v>5736</v>
      </c>
      <c r="B2373" t="s">
        <v>5737</v>
      </c>
      <c r="C2373" t="s">
        <v>5736</v>
      </c>
      <c r="D2373">
        <v>6798</v>
      </c>
    </row>
    <row r="2374" spans="1:4">
      <c r="A2374" t="s">
        <v>5738</v>
      </c>
      <c r="B2374" t="s">
        <v>5739</v>
      </c>
      <c r="C2374" t="s">
        <v>5738</v>
      </c>
      <c r="D2374">
        <v>3559</v>
      </c>
    </row>
    <row r="2375" spans="1:4">
      <c r="A2375" t="s">
        <v>5740</v>
      </c>
      <c r="B2375" t="s">
        <v>5741</v>
      </c>
      <c r="C2375" t="s">
        <v>5740</v>
      </c>
      <c r="D2375">
        <v>3531</v>
      </c>
    </row>
    <row r="2376" spans="1:4">
      <c r="A2376" t="s">
        <v>5742</v>
      </c>
      <c r="B2376" t="s">
        <v>5743</v>
      </c>
      <c r="C2376" t="s">
        <v>5742</v>
      </c>
      <c r="D2376">
        <v>2833</v>
      </c>
    </row>
    <row r="2377" spans="1:4">
      <c r="A2377" t="s">
        <v>5744</v>
      </c>
      <c r="B2377" t="s">
        <v>5745</v>
      </c>
      <c r="C2377" t="s">
        <v>5744</v>
      </c>
      <c r="D2377">
        <v>6282</v>
      </c>
    </row>
    <row r="2378" spans="1:4">
      <c r="A2378" t="s">
        <v>5746</v>
      </c>
      <c r="B2378" t="s">
        <v>5747</v>
      </c>
      <c r="C2378" t="s">
        <v>5746</v>
      </c>
      <c r="D2378">
        <v>2834</v>
      </c>
    </row>
    <row r="2379" spans="1:4">
      <c r="A2379" t="s">
        <v>5748</v>
      </c>
      <c r="B2379" t="s">
        <v>5749</v>
      </c>
      <c r="C2379" t="s">
        <v>5748</v>
      </c>
      <c r="D2379">
        <v>7363</v>
      </c>
    </row>
    <row r="2380" spans="1:4">
      <c r="A2380" t="s">
        <v>5750</v>
      </c>
      <c r="B2380" t="s">
        <v>5751</v>
      </c>
      <c r="C2380" t="s">
        <v>5750</v>
      </c>
      <c r="D2380">
        <v>8741</v>
      </c>
    </row>
    <row r="2381" spans="1:4">
      <c r="A2381" t="s">
        <v>5752</v>
      </c>
      <c r="B2381" t="s">
        <v>5753</v>
      </c>
      <c r="C2381" t="s">
        <v>5752</v>
      </c>
      <c r="D2381">
        <v>6500</v>
      </c>
    </row>
    <row r="2382" spans="1:4">
      <c r="A2382" t="s">
        <v>5754</v>
      </c>
      <c r="B2382" t="s">
        <v>5755</v>
      </c>
      <c r="C2382" t="s">
        <v>5754</v>
      </c>
      <c r="D2382">
        <v>7374</v>
      </c>
    </row>
    <row r="2383" spans="1:4">
      <c r="A2383" t="s">
        <v>5756</v>
      </c>
      <c r="B2383" t="s">
        <v>5757</v>
      </c>
      <c r="C2383" t="s">
        <v>5756</v>
      </c>
      <c r="D2383">
        <v>1311</v>
      </c>
    </row>
    <row r="2384" spans="1:4">
      <c r="A2384" t="s">
        <v>5758</v>
      </c>
      <c r="B2384" t="s">
        <v>5759</v>
      </c>
      <c r="C2384" t="s">
        <v>5758</v>
      </c>
      <c r="D2384">
        <v>2911</v>
      </c>
    </row>
    <row r="2385" spans="1:4">
      <c r="A2385" t="s">
        <v>5760</v>
      </c>
      <c r="B2385" t="s">
        <v>5761</v>
      </c>
      <c r="C2385" t="s">
        <v>5760</v>
      </c>
      <c r="D2385">
        <v>2834</v>
      </c>
    </row>
    <row r="2386" spans="1:4">
      <c r="A2386" t="s">
        <v>5762</v>
      </c>
      <c r="B2386" t="s">
        <v>5763</v>
      </c>
      <c r="C2386" t="s">
        <v>5762</v>
      </c>
      <c r="D2386">
        <v>7389</v>
      </c>
    </row>
    <row r="2387" spans="1:4">
      <c r="A2387" t="s">
        <v>5764</v>
      </c>
      <c r="B2387" t="s">
        <v>5765</v>
      </c>
      <c r="C2387" t="s">
        <v>5764</v>
      </c>
      <c r="D2387">
        <v>6531</v>
      </c>
    </row>
    <row r="2388" spans="1:4">
      <c r="A2388" t="s">
        <v>5766</v>
      </c>
      <c r="B2388" t="s">
        <v>5767</v>
      </c>
      <c r="C2388" t="s">
        <v>5766</v>
      </c>
      <c r="D2388">
        <v>7830</v>
      </c>
    </row>
    <row r="2389" spans="1:4">
      <c r="A2389" t="s">
        <v>5768</v>
      </c>
      <c r="B2389" t="s">
        <v>5769</v>
      </c>
      <c r="C2389" t="s">
        <v>5768</v>
      </c>
      <c r="D2389">
        <v>2833</v>
      </c>
    </row>
    <row r="2390" spans="1:4">
      <c r="A2390" t="s">
        <v>5770</v>
      </c>
      <c r="B2390" t="s">
        <v>5771</v>
      </c>
      <c r="C2390" t="s">
        <v>5770</v>
      </c>
      <c r="D2390">
        <v>7374</v>
      </c>
    </row>
    <row r="2391" spans="1:4">
      <c r="A2391" t="s">
        <v>5772</v>
      </c>
      <c r="B2391" t="s">
        <v>5773</v>
      </c>
      <c r="C2391" t="s">
        <v>5772</v>
      </c>
      <c r="D2391">
        <v>3730</v>
      </c>
    </row>
    <row r="2392" spans="1:4">
      <c r="A2392" t="s">
        <v>5774</v>
      </c>
      <c r="B2392" t="s">
        <v>5775</v>
      </c>
      <c r="C2392" t="s">
        <v>5774</v>
      </c>
      <c r="D2392">
        <v>5531</v>
      </c>
    </row>
    <row r="2393" spans="1:4">
      <c r="A2393" t="s">
        <v>5776</v>
      </c>
      <c r="B2393" t="s">
        <v>5777</v>
      </c>
      <c r="C2393" t="s">
        <v>5776</v>
      </c>
      <c r="D2393">
        <v>2834</v>
      </c>
    </row>
    <row r="2394" spans="1:4">
      <c r="A2394" t="s">
        <v>5778</v>
      </c>
      <c r="B2394" t="s">
        <v>5779</v>
      </c>
      <c r="C2394" t="s">
        <v>5778</v>
      </c>
      <c r="D2394">
        <v>2834</v>
      </c>
    </row>
    <row r="2395" spans="1:4">
      <c r="A2395" t="s">
        <v>5780</v>
      </c>
      <c r="B2395" t="s">
        <v>5781</v>
      </c>
      <c r="C2395" t="s">
        <v>5780</v>
      </c>
      <c r="D2395">
        <v>6331</v>
      </c>
    </row>
    <row r="2396" spans="1:4">
      <c r="A2396" t="s">
        <v>5782</v>
      </c>
      <c r="B2396" t="s">
        <v>5783</v>
      </c>
      <c r="C2396" t="s">
        <v>5782</v>
      </c>
      <c r="D2396">
        <v>2834</v>
      </c>
    </row>
    <row r="2397" spans="1:4">
      <c r="A2397" t="s">
        <v>5784</v>
      </c>
      <c r="B2397" t="s">
        <v>5785</v>
      </c>
      <c r="C2397" t="s">
        <v>5784</v>
      </c>
      <c r="D2397">
        <v>6211</v>
      </c>
    </row>
    <row r="2398" spans="1:4">
      <c r="A2398" t="s">
        <v>5786</v>
      </c>
      <c r="B2398" t="s">
        <v>5787</v>
      </c>
      <c r="C2398" t="s">
        <v>5786</v>
      </c>
      <c r="D2398">
        <v>7372</v>
      </c>
    </row>
    <row r="2399" spans="1:4">
      <c r="A2399" t="s">
        <v>5788</v>
      </c>
      <c r="B2399" t="s">
        <v>5789</v>
      </c>
      <c r="C2399" t="s">
        <v>5788</v>
      </c>
      <c r="D2399">
        <v>3577</v>
      </c>
    </row>
    <row r="2400" spans="1:4">
      <c r="A2400" t="s">
        <v>5790</v>
      </c>
      <c r="B2400" t="s">
        <v>5791</v>
      </c>
      <c r="C2400" t="s">
        <v>5790</v>
      </c>
      <c r="D2400">
        <v>7372</v>
      </c>
    </row>
    <row r="2401" spans="1:4">
      <c r="A2401" t="s">
        <v>5792</v>
      </c>
      <c r="B2401" t="s">
        <v>5793</v>
      </c>
      <c r="C2401" t="s">
        <v>5792</v>
      </c>
      <c r="D2401">
        <v>7011</v>
      </c>
    </row>
    <row r="2402" spans="1:4">
      <c r="A2402" t="s">
        <v>5794</v>
      </c>
      <c r="B2402" t="s">
        <v>5795</v>
      </c>
      <c r="C2402" t="s">
        <v>5794</v>
      </c>
      <c r="D2402">
        <v>6531</v>
      </c>
    </row>
    <row r="2403" spans="1:4">
      <c r="A2403" t="s">
        <v>5796</v>
      </c>
      <c r="B2403" t="s">
        <v>5797</v>
      </c>
      <c r="C2403" t="s">
        <v>5796</v>
      </c>
      <c r="D2403">
        <v>2870</v>
      </c>
    </row>
    <row r="2404" spans="1:4">
      <c r="A2404" t="s">
        <v>5798</v>
      </c>
      <c r="B2404" t="s">
        <v>5799</v>
      </c>
      <c r="C2404" t="s">
        <v>5798</v>
      </c>
      <c r="D2404">
        <v>6411</v>
      </c>
    </row>
    <row r="2405" spans="1:4">
      <c r="A2405" t="s">
        <v>5800</v>
      </c>
      <c r="B2405" t="s">
        <v>5801</v>
      </c>
      <c r="C2405" t="s">
        <v>5800</v>
      </c>
      <c r="D2405">
        <v>4213</v>
      </c>
    </row>
    <row r="2406" spans="1:4">
      <c r="A2406" t="s">
        <v>5802</v>
      </c>
      <c r="B2406" t="s">
        <v>5803</v>
      </c>
      <c r="C2406" t="s">
        <v>5802</v>
      </c>
      <c r="D2406">
        <v>1400</v>
      </c>
    </row>
    <row r="2407" spans="1:4">
      <c r="A2407" t="s">
        <v>5804</v>
      </c>
      <c r="B2407" t="s">
        <v>5805</v>
      </c>
      <c r="C2407" t="s">
        <v>5804</v>
      </c>
      <c r="D2407">
        <v>5171</v>
      </c>
    </row>
    <row r="2408" spans="1:4">
      <c r="A2408" t="s">
        <v>5806</v>
      </c>
      <c r="B2408" t="s">
        <v>5807</v>
      </c>
      <c r="C2408" t="s">
        <v>5806</v>
      </c>
      <c r="D2408">
        <v>3674</v>
      </c>
    </row>
    <row r="2409" spans="1:4">
      <c r="A2409" t="s">
        <v>5808</v>
      </c>
      <c r="B2409" t="s">
        <v>5809</v>
      </c>
      <c r="C2409" t="s">
        <v>5808</v>
      </c>
      <c r="D2409">
        <v>3430</v>
      </c>
    </row>
    <row r="2410" spans="1:4">
      <c r="A2410" t="s">
        <v>5810</v>
      </c>
      <c r="B2410" t="s">
        <v>5811</v>
      </c>
      <c r="C2410" t="s">
        <v>5810</v>
      </c>
      <c r="D2410">
        <v>3845</v>
      </c>
    </row>
    <row r="2411" spans="1:4">
      <c r="A2411" t="s">
        <v>5812</v>
      </c>
      <c r="B2411" t="s">
        <v>5813</v>
      </c>
      <c r="C2411" t="s">
        <v>5812</v>
      </c>
      <c r="D2411">
        <v>2430</v>
      </c>
    </row>
    <row r="2412" spans="1:4">
      <c r="A2412" t="s">
        <v>5814</v>
      </c>
      <c r="B2412" t="s">
        <v>5815</v>
      </c>
      <c r="C2412" t="s">
        <v>5814</v>
      </c>
      <c r="D2412">
        <v>1623</v>
      </c>
    </row>
    <row r="2413" spans="1:4">
      <c r="A2413" t="s">
        <v>5816</v>
      </c>
      <c r="B2413" t="s">
        <v>5817</v>
      </c>
      <c r="C2413" t="s">
        <v>5816</v>
      </c>
      <c r="D2413">
        <v>8742</v>
      </c>
    </row>
    <row r="2414" spans="1:4">
      <c r="A2414" t="s">
        <v>5818</v>
      </c>
      <c r="B2414" t="s">
        <v>5819</v>
      </c>
      <c r="C2414" t="s">
        <v>5818</v>
      </c>
      <c r="D2414">
        <v>7389</v>
      </c>
    </row>
    <row r="2415" spans="1:4">
      <c r="A2415" t="s">
        <v>5820</v>
      </c>
      <c r="B2415" t="s">
        <v>5821</v>
      </c>
      <c r="C2415" t="s">
        <v>5820</v>
      </c>
      <c r="D2415">
        <v>3730</v>
      </c>
    </row>
    <row r="2416" spans="1:4">
      <c r="A2416" t="s">
        <v>5822</v>
      </c>
      <c r="B2416" t="s">
        <v>5823</v>
      </c>
      <c r="C2416" t="s">
        <v>5822</v>
      </c>
      <c r="D2416">
        <v>1311</v>
      </c>
    </row>
    <row r="2417" spans="1:4">
      <c r="A2417" t="s">
        <v>5824</v>
      </c>
      <c r="B2417" t="s">
        <v>5825</v>
      </c>
      <c r="C2417" t="s">
        <v>5824</v>
      </c>
      <c r="D2417">
        <v>7370</v>
      </c>
    </row>
    <row r="2418" spans="1:4">
      <c r="A2418" t="s">
        <v>5826</v>
      </c>
      <c r="B2418" t="s">
        <v>5827</v>
      </c>
      <c r="C2418" t="s">
        <v>5826</v>
      </c>
      <c r="D2418">
        <v>3460</v>
      </c>
    </row>
    <row r="2419" spans="1:4">
      <c r="A2419" t="s">
        <v>5828</v>
      </c>
      <c r="B2419" t="s">
        <v>5829</v>
      </c>
      <c r="C2419" t="s">
        <v>5828</v>
      </c>
      <c r="D2419">
        <v>2834</v>
      </c>
    </row>
    <row r="2420" spans="1:4">
      <c r="A2420" t="s">
        <v>5830</v>
      </c>
      <c r="B2420" t="s">
        <v>5831</v>
      </c>
      <c r="C2420" t="s">
        <v>5830</v>
      </c>
      <c r="D2420">
        <v>1700</v>
      </c>
    </row>
    <row r="2421" spans="1:4">
      <c r="A2421" t="s">
        <v>5832</v>
      </c>
      <c r="B2421" t="s">
        <v>5833</v>
      </c>
      <c r="C2421" t="s">
        <v>5832</v>
      </c>
      <c r="D2421">
        <v>4400</v>
      </c>
    </row>
    <row r="2422" spans="1:4">
      <c r="A2422" t="s">
        <v>5834</v>
      </c>
      <c r="B2422" t="s">
        <v>5835</v>
      </c>
      <c r="C2422" t="s">
        <v>5834</v>
      </c>
      <c r="D2422">
        <v>3942</v>
      </c>
    </row>
    <row r="2423" spans="1:4">
      <c r="A2423" t="s">
        <v>5836</v>
      </c>
      <c r="B2423" t="s">
        <v>5837</v>
      </c>
      <c r="C2423" t="s">
        <v>5836</v>
      </c>
      <c r="D2423">
        <v>7372</v>
      </c>
    </row>
    <row r="2424" spans="1:4">
      <c r="A2424" t="s">
        <v>5838</v>
      </c>
      <c r="B2424" t="s">
        <v>5839</v>
      </c>
      <c r="C2424" t="s">
        <v>5838</v>
      </c>
      <c r="D2424">
        <v>3360</v>
      </c>
    </row>
    <row r="2425" spans="1:4">
      <c r="A2425" t="s">
        <v>5840</v>
      </c>
      <c r="B2425" t="s">
        <v>5841</v>
      </c>
      <c r="C2425" t="s">
        <v>5840</v>
      </c>
      <c r="D2425">
        <v>6500</v>
      </c>
    </row>
    <row r="2426" spans="1:4">
      <c r="A2426" t="s">
        <v>5842</v>
      </c>
      <c r="B2426" t="s">
        <v>5843</v>
      </c>
      <c r="C2426" t="s">
        <v>5842</v>
      </c>
      <c r="D2426">
        <v>3663</v>
      </c>
    </row>
    <row r="2427" spans="1:4">
      <c r="A2427" t="s">
        <v>5844</v>
      </c>
      <c r="B2427" t="s">
        <v>5845</v>
      </c>
      <c r="C2427" t="s">
        <v>5844</v>
      </c>
      <c r="D2427">
        <v>8731</v>
      </c>
    </row>
    <row r="2428" spans="1:4">
      <c r="A2428" t="s">
        <v>5846</v>
      </c>
      <c r="B2428" t="s">
        <v>5847</v>
      </c>
      <c r="C2428" t="s">
        <v>5846</v>
      </c>
      <c r="D2428">
        <v>3674</v>
      </c>
    </row>
    <row r="2429" spans="1:4">
      <c r="A2429" t="s">
        <v>5848</v>
      </c>
      <c r="B2429" t="s">
        <v>5849</v>
      </c>
      <c r="C2429" t="s">
        <v>5848</v>
      </c>
      <c r="D2429">
        <v>7389</v>
      </c>
    </row>
    <row r="2430" spans="1:4">
      <c r="A2430" t="s">
        <v>5850</v>
      </c>
      <c r="B2430" t="s">
        <v>5851</v>
      </c>
      <c r="C2430" t="s">
        <v>5850</v>
      </c>
      <c r="D2430">
        <v>3674</v>
      </c>
    </row>
    <row r="2431" spans="1:4">
      <c r="A2431" t="s">
        <v>5852</v>
      </c>
      <c r="B2431" t="s">
        <v>5853</v>
      </c>
      <c r="C2431" t="s">
        <v>5852</v>
      </c>
      <c r="D2431">
        <v>6512</v>
      </c>
    </row>
    <row r="2432" spans="1:4">
      <c r="A2432" t="s">
        <v>5854</v>
      </c>
      <c r="B2432" t="s">
        <v>5855</v>
      </c>
      <c r="C2432" t="s">
        <v>5854</v>
      </c>
      <c r="D2432">
        <v>3460</v>
      </c>
    </row>
    <row r="2433" spans="1:4">
      <c r="A2433" t="s">
        <v>5856</v>
      </c>
      <c r="B2433" t="s">
        <v>5857</v>
      </c>
      <c r="C2433" t="s">
        <v>5856</v>
      </c>
      <c r="D2433">
        <v>6351</v>
      </c>
    </row>
    <row r="2434" spans="1:4">
      <c r="A2434" t="s">
        <v>5858</v>
      </c>
      <c r="B2434" t="s">
        <v>5859</v>
      </c>
      <c r="C2434" t="s">
        <v>5858</v>
      </c>
      <c r="D2434">
        <v>2090</v>
      </c>
    </row>
    <row r="2435" spans="1:4">
      <c r="A2435" t="s">
        <v>5860</v>
      </c>
      <c r="B2435" t="s">
        <v>5861</v>
      </c>
      <c r="C2435" t="s">
        <v>5860</v>
      </c>
      <c r="D2435">
        <v>5812</v>
      </c>
    </row>
    <row r="2436" spans="1:4">
      <c r="A2436" t="s">
        <v>5862</v>
      </c>
      <c r="B2436" t="s">
        <v>5863</v>
      </c>
      <c r="C2436" t="s">
        <v>5862</v>
      </c>
      <c r="D2436">
        <v>1040</v>
      </c>
    </row>
    <row r="2437" spans="1:4">
      <c r="A2437" t="s">
        <v>5864</v>
      </c>
      <c r="B2437" t="s">
        <v>5865</v>
      </c>
      <c r="C2437" t="s">
        <v>5864</v>
      </c>
      <c r="D2437">
        <v>7359</v>
      </c>
    </row>
    <row r="2438" spans="1:4">
      <c r="A2438" t="s">
        <v>5866</v>
      </c>
      <c r="B2438" t="s">
        <v>5867</v>
      </c>
      <c r="C2438" t="s">
        <v>5866</v>
      </c>
      <c r="D2438">
        <v>5122</v>
      </c>
    </row>
    <row r="2439" spans="1:4">
      <c r="A2439" t="s">
        <v>5868</v>
      </c>
      <c r="B2439" t="s">
        <v>5869</v>
      </c>
      <c r="C2439" t="s">
        <v>5868</v>
      </c>
      <c r="D2439">
        <v>1400</v>
      </c>
    </row>
    <row r="2440" spans="1:4">
      <c r="A2440" t="s">
        <v>5870</v>
      </c>
      <c r="B2440" t="s">
        <v>5871</v>
      </c>
      <c r="C2440" t="s">
        <v>5870</v>
      </c>
      <c r="D2440">
        <v>6798</v>
      </c>
    </row>
    <row r="2441" spans="1:4">
      <c r="A2441" t="s">
        <v>5872</v>
      </c>
      <c r="B2441" t="s">
        <v>5873</v>
      </c>
      <c r="C2441" t="s">
        <v>5872</v>
      </c>
      <c r="D2441">
        <v>6199</v>
      </c>
    </row>
    <row r="2442" spans="1:4">
      <c r="A2442" t="s">
        <v>5874</v>
      </c>
      <c r="B2442" t="s">
        <v>5875</v>
      </c>
      <c r="C2442" t="s">
        <v>5874</v>
      </c>
      <c r="D2442">
        <v>5912</v>
      </c>
    </row>
    <row r="2443" spans="1:4">
      <c r="A2443" t="s">
        <v>5876</v>
      </c>
      <c r="B2443" t="s">
        <v>5877</v>
      </c>
      <c r="C2443" t="s">
        <v>5876</v>
      </c>
      <c r="D2443">
        <v>6399</v>
      </c>
    </row>
    <row r="2444" spans="1:4">
      <c r="A2444" t="s">
        <v>5878</v>
      </c>
      <c r="B2444" t="s">
        <v>5879</v>
      </c>
      <c r="C2444" t="s">
        <v>5878</v>
      </c>
      <c r="D2444">
        <v>4832</v>
      </c>
    </row>
    <row r="2445" spans="1:4">
      <c r="A2445" t="s">
        <v>5880</v>
      </c>
      <c r="B2445" t="s">
        <v>5881</v>
      </c>
      <c r="C2445" t="s">
        <v>5880</v>
      </c>
      <c r="D2445">
        <v>6798</v>
      </c>
    </row>
    <row r="2446" spans="1:4">
      <c r="A2446" t="s">
        <v>5882</v>
      </c>
      <c r="B2446" t="s">
        <v>5883</v>
      </c>
      <c r="C2446" t="s">
        <v>5882</v>
      </c>
      <c r="D2446">
        <v>8742</v>
      </c>
    </row>
    <row r="2447" spans="1:4">
      <c r="A2447" t="s">
        <v>5884</v>
      </c>
      <c r="B2447" t="s">
        <v>5885</v>
      </c>
      <c r="C2447" t="s">
        <v>5884</v>
      </c>
      <c r="D2447">
        <v>2090</v>
      </c>
    </row>
    <row r="2448" spans="1:4">
      <c r="A2448" t="s">
        <v>5886</v>
      </c>
      <c r="B2448" t="s">
        <v>5887</v>
      </c>
      <c r="C2448" t="s">
        <v>5886</v>
      </c>
      <c r="D2448">
        <v>5990</v>
      </c>
    </row>
    <row r="2449" spans="1:4">
      <c r="A2449" t="s">
        <v>5888</v>
      </c>
      <c r="B2449" t="s">
        <v>5889</v>
      </c>
      <c r="C2449" t="s">
        <v>5888</v>
      </c>
      <c r="D2449">
        <v>8060</v>
      </c>
    </row>
    <row r="2450" spans="1:4">
      <c r="A2450" t="s">
        <v>5890</v>
      </c>
      <c r="B2450" t="s">
        <v>5891</v>
      </c>
      <c r="C2450" t="s">
        <v>5890</v>
      </c>
      <c r="D2450">
        <v>8731</v>
      </c>
    </row>
    <row r="2451" spans="1:4">
      <c r="A2451" t="s">
        <v>5892</v>
      </c>
      <c r="B2451" t="s">
        <v>5893</v>
      </c>
      <c r="C2451" t="s">
        <v>5892</v>
      </c>
      <c r="D2451">
        <v>3845</v>
      </c>
    </row>
    <row r="2452" spans="1:4">
      <c r="A2452" t="s">
        <v>5894</v>
      </c>
      <c r="B2452" t="s">
        <v>5895</v>
      </c>
      <c r="C2452" t="s">
        <v>5894</v>
      </c>
      <c r="D2452">
        <v>2834</v>
      </c>
    </row>
    <row r="2453" spans="1:4">
      <c r="A2453" t="s">
        <v>5896</v>
      </c>
      <c r="B2453" t="s">
        <v>5897</v>
      </c>
      <c r="C2453" t="s">
        <v>5896</v>
      </c>
      <c r="D2453">
        <v>2836</v>
      </c>
    </row>
    <row r="2454" spans="1:4">
      <c r="A2454" t="s">
        <v>5898</v>
      </c>
      <c r="B2454" t="s">
        <v>5899</v>
      </c>
      <c r="C2454" t="s">
        <v>5898</v>
      </c>
      <c r="D2454">
        <v>5961</v>
      </c>
    </row>
    <row r="2455" spans="1:4">
      <c r="A2455" t="s">
        <v>5900</v>
      </c>
      <c r="B2455" t="s">
        <v>5901</v>
      </c>
      <c r="C2455" t="s">
        <v>5900</v>
      </c>
      <c r="D2455">
        <v>7011</v>
      </c>
    </row>
    <row r="2456" spans="1:4">
      <c r="A2456" t="s">
        <v>5902</v>
      </c>
      <c r="B2456" t="s">
        <v>5903</v>
      </c>
      <c r="C2456" t="s">
        <v>5902</v>
      </c>
      <c r="D2456">
        <v>7011</v>
      </c>
    </row>
    <row r="2457" spans="1:4">
      <c r="A2457" t="s">
        <v>5904</v>
      </c>
      <c r="B2457" t="s">
        <v>5905</v>
      </c>
      <c r="C2457" t="s">
        <v>5904</v>
      </c>
      <c r="D2457">
        <v>7389</v>
      </c>
    </row>
    <row r="2458" spans="1:4">
      <c r="A2458" t="s">
        <v>5906</v>
      </c>
      <c r="B2458" t="s">
        <v>5907</v>
      </c>
      <c r="C2458" t="s">
        <v>5906</v>
      </c>
      <c r="D2458">
        <v>6022</v>
      </c>
    </row>
    <row r="2459" spans="1:4">
      <c r="A2459" t="s">
        <v>5908</v>
      </c>
      <c r="B2459" t="s">
        <v>5909</v>
      </c>
      <c r="C2459" t="s">
        <v>5908</v>
      </c>
      <c r="D2459">
        <v>2611</v>
      </c>
    </row>
    <row r="2460" spans="1:4">
      <c r="A2460" t="s">
        <v>5910</v>
      </c>
      <c r="B2460" t="s">
        <v>5911</v>
      </c>
      <c r="C2460" t="s">
        <v>5910</v>
      </c>
      <c r="D2460">
        <v>6022</v>
      </c>
    </row>
    <row r="2461" spans="1:4">
      <c r="A2461" t="s">
        <v>5912</v>
      </c>
      <c r="B2461" t="s">
        <v>5913</v>
      </c>
      <c r="C2461" t="s">
        <v>5912</v>
      </c>
      <c r="D2461">
        <v>2834</v>
      </c>
    </row>
    <row r="2462" spans="1:4">
      <c r="A2462" t="s">
        <v>5914</v>
      </c>
      <c r="B2462" t="s">
        <v>5915</v>
      </c>
      <c r="C2462" t="s">
        <v>5914</v>
      </c>
      <c r="D2462">
        <v>6331</v>
      </c>
    </row>
    <row r="2463" spans="1:4">
      <c r="A2463" t="s">
        <v>5916</v>
      </c>
      <c r="B2463" t="s">
        <v>5917</v>
      </c>
      <c r="C2463" t="s">
        <v>5916</v>
      </c>
      <c r="D2463">
        <v>3670</v>
      </c>
    </row>
    <row r="2464" spans="1:4">
      <c r="A2464" t="s">
        <v>5918</v>
      </c>
      <c r="B2464" t="s">
        <v>5919</v>
      </c>
      <c r="C2464" t="s">
        <v>5918</v>
      </c>
      <c r="D2464">
        <v>2835</v>
      </c>
    </row>
    <row r="2465" spans="1:4">
      <c r="A2465" t="s">
        <v>5920</v>
      </c>
      <c r="B2465" t="s">
        <v>5921</v>
      </c>
      <c r="C2465" t="s">
        <v>5920</v>
      </c>
      <c r="D2465">
        <v>6021</v>
      </c>
    </row>
    <row r="2466" spans="1:4">
      <c r="A2466" t="s">
        <v>5922</v>
      </c>
      <c r="B2466" t="s">
        <v>5923</v>
      </c>
      <c r="C2466" t="s">
        <v>5922</v>
      </c>
      <c r="D2466">
        <v>7372</v>
      </c>
    </row>
    <row r="2467" spans="1:4">
      <c r="A2467" t="s">
        <v>5924</v>
      </c>
      <c r="B2467" t="s">
        <v>5925</v>
      </c>
      <c r="C2467" t="s">
        <v>5924</v>
      </c>
      <c r="D2467">
        <v>3841</v>
      </c>
    </row>
    <row r="2468" spans="1:4">
      <c r="A2468" t="s">
        <v>5926</v>
      </c>
      <c r="B2468" t="s">
        <v>5927</v>
      </c>
      <c r="C2468" t="s">
        <v>5926</v>
      </c>
      <c r="D2468">
        <v>3714</v>
      </c>
    </row>
    <row r="2469" spans="1:4">
      <c r="A2469" t="s">
        <v>5928</v>
      </c>
      <c r="B2469" t="s">
        <v>5929</v>
      </c>
      <c r="C2469" t="s">
        <v>5928</v>
      </c>
      <c r="D2469">
        <v>2834</v>
      </c>
    </row>
    <row r="2470" spans="1:4">
      <c r="A2470" t="s">
        <v>5930</v>
      </c>
      <c r="B2470" t="s">
        <v>5931</v>
      </c>
      <c r="C2470" t="s">
        <v>5930</v>
      </c>
      <c r="D2470">
        <v>2834</v>
      </c>
    </row>
    <row r="2471" spans="1:4">
      <c r="A2471" t="s">
        <v>5932</v>
      </c>
      <c r="B2471" t="s">
        <v>5933</v>
      </c>
      <c r="C2471" t="s">
        <v>5932</v>
      </c>
      <c r="D2471">
        <v>4512</v>
      </c>
    </row>
    <row r="2472" spans="1:4">
      <c r="A2472" t="s">
        <v>5934</v>
      </c>
      <c r="B2472" t="s">
        <v>5935</v>
      </c>
      <c r="C2472" t="s">
        <v>5934</v>
      </c>
      <c r="D2472">
        <v>3823</v>
      </c>
    </row>
    <row r="2473" spans="1:4">
      <c r="A2473" t="s">
        <v>5936</v>
      </c>
      <c r="B2473" t="s">
        <v>5937</v>
      </c>
      <c r="C2473" t="s">
        <v>5936</v>
      </c>
      <c r="D2473">
        <v>6795</v>
      </c>
    </row>
    <row r="2474" spans="1:4">
      <c r="A2474" t="s">
        <v>5938</v>
      </c>
      <c r="B2474" t="s">
        <v>5939</v>
      </c>
      <c r="C2474" t="s">
        <v>5938</v>
      </c>
      <c r="D2474">
        <v>6021</v>
      </c>
    </row>
    <row r="2475" spans="1:4">
      <c r="A2475" t="s">
        <v>5940</v>
      </c>
      <c r="B2475" t="s">
        <v>5941</v>
      </c>
      <c r="C2475" t="s">
        <v>5940</v>
      </c>
      <c r="D2475">
        <v>3674</v>
      </c>
    </row>
    <row r="2476" spans="1:4">
      <c r="A2476" t="s">
        <v>5942</v>
      </c>
      <c r="B2476" t="s">
        <v>5943</v>
      </c>
      <c r="C2476" t="s">
        <v>5942</v>
      </c>
      <c r="D2476">
        <v>8200</v>
      </c>
    </row>
    <row r="2477" spans="1:4">
      <c r="A2477" t="s">
        <v>5944</v>
      </c>
      <c r="B2477" t="s">
        <v>5945</v>
      </c>
      <c r="C2477" t="s">
        <v>5944</v>
      </c>
      <c r="D2477">
        <v>3678</v>
      </c>
    </row>
    <row r="2478" spans="1:4">
      <c r="A2478" t="s">
        <v>5946</v>
      </c>
      <c r="B2478" t="s">
        <v>5947</v>
      </c>
      <c r="C2478" t="s">
        <v>5946</v>
      </c>
      <c r="D2478">
        <v>6311</v>
      </c>
    </row>
    <row r="2479" spans="1:4">
      <c r="A2479" t="s">
        <v>5948</v>
      </c>
      <c r="B2479" t="s">
        <v>5949</v>
      </c>
      <c r="C2479" t="s">
        <v>5948</v>
      </c>
      <c r="D2479">
        <v>6022</v>
      </c>
    </row>
    <row r="2480" spans="1:4">
      <c r="A2480" t="s">
        <v>5950</v>
      </c>
      <c r="B2480" t="s">
        <v>5951</v>
      </c>
      <c r="C2480" t="s">
        <v>5950</v>
      </c>
      <c r="D2480">
        <v>6331</v>
      </c>
    </row>
    <row r="2481" spans="1:4">
      <c r="A2481" t="s">
        <v>5952</v>
      </c>
      <c r="B2481" t="s">
        <v>5953</v>
      </c>
      <c r="C2481" t="s">
        <v>5952</v>
      </c>
      <c r="D2481">
        <v>6022</v>
      </c>
    </row>
    <row r="2482" spans="1:4">
      <c r="A2482" t="s">
        <v>5954</v>
      </c>
      <c r="B2482" t="s">
        <v>5955</v>
      </c>
      <c r="C2482" t="s">
        <v>5954</v>
      </c>
      <c r="D2482">
        <v>3826</v>
      </c>
    </row>
    <row r="2483" spans="1:4">
      <c r="A2483" t="s">
        <v>5956</v>
      </c>
      <c r="B2483" t="s">
        <v>5957</v>
      </c>
      <c r="C2483" t="s">
        <v>5956</v>
      </c>
      <c r="D2483">
        <v>1311</v>
      </c>
    </row>
    <row r="2484" spans="1:4">
      <c r="A2484" t="s">
        <v>5958</v>
      </c>
      <c r="B2484" t="s">
        <v>5959</v>
      </c>
      <c r="C2484" t="s">
        <v>5958</v>
      </c>
      <c r="D2484">
        <v>6798</v>
      </c>
    </row>
    <row r="2485" spans="1:4">
      <c r="A2485" t="s">
        <v>5960</v>
      </c>
      <c r="B2485" t="s">
        <v>5961</v>
      </c>
      <c r="C2485" t="s">
        <v>5960</v>
      </c>
      <c r="D2485">
        <v>4900</v>
      </c>
    </row>
    <row r="2486" spans="1:4">
      <c r="A2486" t="s">
        <v>5962</v>
      </c>
      <c r="B2486" t="s">
        <v>5963</v>
      </c>
      <c r="C2486" t="s">
        <v>5962</v>
      </c>
      <c r="D2486">
        <v>6351</v>
      </c>
    </row>
    <row r="2487" spans="1:4">
      <c r="A2487" t="s">
        <v>5964</v>
      </c>
      <c r="B2487" t="s">
        <v>5965</v>
      </c>
      <c r="C2487" t="s">
        <v>5964</v>
      </c>
      <c r="D2487">
        <v>7011</v>
      </c>
    </row>
    <row r="2488" spans="1:4">
      <c r="A2488" t="s">
        <v>5966</v>
      </c>
      <c r="B2488" t="s">
        <v>5967</v>
      </c>
      <c r="C2488" t="s">
        <v>5966</v>
      </c>
      <c r="D2488">
        <v>5180</v>
      </c>
    </row>
    <row r="2489" spans="1:4">
      <c r="A2489" t="s">
        <v>5968</v>
      </c>
      <c r="B2489" t="s">
        <v>5969</v>
      </c>
      <c r="C2489" t="s">
        <v>5968</v>
      </c>
      <c r="D2489">
        <v>3674</v>
      </c>
    </row>
    <row r="2490" spans="1:4">
      <c r="A2490" t="s">
        <v>5970</v>
      </c>
      <c r="B2490" t="s">
        <v>5971</v>
      </c>
      <c r="C2490" t="s">
        <v>5970</v>
      </c>
      <c r="D2490">
        <v>3674</v>
      </c>
    </row>
    <row r="2491" spans="1:4">
      <c r="A2491" t="s">
        <v>5972</v>
      </c>
      <c r="B2491" t="s">
        <v>5973</v>
      </c>
      <c r="C2491" t="s">
        <v>5972</v>
      </c>
      <c r="D2491">
        <v>3674</v>
      </c>
    </row>
    <row r="2492" spans="1:4">
      <c r="A2492" t="s">
        <v>5974</v>
      </c>
      <c r="B2492" t="s">
        <v>5975</v>
      </c>
      <c r="C2492" t="s">
        <v>5974</v>
      </c>
      <c r="D2492">
        <v>7372</v>
      </c>
    </row>
    <row r="2493" spans="1:4">
      <c r="A2493" t="s">
        <v>5976</v>
      </c>
      <c r="B2493" t="s">
        <v>5977</v>
      </c>
      <c r="C2493" t="s">
        <v>5976</v>
      </c>
      <c r="D2493">
        <v>7372</v>
      </c>
    </row>
    <row r="2494" spans="1:4">
      <c r="A2494" t="s">
        <v>5978</v>
      </c>
      <c r="B2494" t="s">
        <v>5979</v>
      </c>
      <c r="C2494" t="s">
        <v>5978</v>
      </c>
      <c r="D2494">
        <v>3690</v>
      </c>
    </row>
    <row r="2495" spans="1:4">
      <c r="A2495" t="s">
        <v>5980</v>
      </c>
      <c r="B2495" t="s">
        <v>5981</v>
      </c>
      <c r="C2495" t="s">
        <v>5980</v>
      </c>
      <c r="D2495">
        <v>3679</v>
      </c>
    </row>
    <row r="2496" spans="1:4">
      <c r="A2496" t="s">
        <v>5982</v>
      </c>
      <c r="B2496" t="s">
        <v>5983</v>
      </c>
      <c r="C2496" t="s">
        <v>5982</v>
      </c>
      <c r="D2496">
        <v>3670</v>
      </c>
    </row>
    <row r="2497" spans="1:4">
      <c r="A2497" t="s">
        <v>5984</v>
      </c>
      <c r="B2497" t="s">
        <v>5985</v>
      </c>
      <c r="C2497" t="s">
        <v>5984</v>
      </c>
      <c r="D2497">
        <v>6798</v>
      </c>
    </row>
    <row r="2498" spans="1:4">
      <c r="A2498" t="s">
        <v>5986</v>
      </c>
      <c r="B2498" t="s">
        <v>5987</v>
      </c>
      <c r="C2498" t="s">
        <v>5986</v>
      </c>
      <c r="D2498">
        <v>6022</v>
      </c>
    </row>
    <row r="2499" spans="1:4">
      <c r="A2499" t="s">
        <v>5988</v>
      </c>
      <c r="B2499" t="s">
        <v>5989</v>
      </c>
      <c r="C2499" t="s">
        <v>5988</v>
      </c>
      <c r="D2499">
        <v>6035</v>
      </c>
    </row>
    <row r="2500" spans="1:4">
      <c r="A2500" t="s">
        <v>5990</v>
      </c>
      <c r="B2500" t="s">
        <v>5991</v>
      </c>
      <c r="C2500" t="s">
        <v>5990</v>
      </c>
      <c r="D2500">
        <v>3580</v>
      </c>
    </row>
    <row r="2501" spans="1:4">
      <c r="A2501" t="s">
        <v>5992</v>
      </c>
      <c r="B2501" t="s">
        <v>5993</v>
      </c>
      <c r="C2501" t="s">
        <v>5992</v>
      </c>
      <c r="D2501">
        <v>6022</v>
      </c>
    </row>
    <row r="2502" spans="1:4">
      <c r="A2502" t="s">
        <v>5994</v>
      </c>
      <c r="B2502" t="s">
        <v>5995</v>
      </c>
      <c r="C2502" t="s">
        <v>5994</v>
      </c>
      <c r="D2502">
        <v>4941</v>
      </c>
    </row>
    <row r="2503" spans="1:4">
      <c r="A2503" t="s">
        <v>5996</v>
      </c>
      <c r="B2503" t="s">
        <v>5997</v>
      </c>
      <c r="C2503" t="s">
        <v>5996</v>
      </c>
      <c r="D2503">
        <v>6022</v>
      </c>
    </row>
    <row r="2504" spans="1:4">
      <c r="A2504" t="s">
        <v>5998</v>
      </c>
      <c r="B2504" t="s">
        <v>5999</v>
      </c>
      <c r="C2504" t="s">
        <v>5998</v>
      </c>
      <c r="D2504">
        <v>6311</v>
      </c>
    </row>
    <row r="2505" spans="1:4">
      <c r="A2505" t="s">
        <v>6000</v>
      </c>
      <c r="B2505" t="s">
        <v>6001</v>
      </c>
      <c r="C2505" t="s">
        <v>6000</v>
      </c>
      <c r="D2505">
        <v>6022</v>
      </c>
    </row>
    <row r="2506" spans="1:4">
      <c r="A2506" t="s">
        <v>6002</v>
      </c>
      <c r="B2506" t="s">
        <v>6003</v>
      </c>
      <c r="C2506" t="s">
        <v>6002</v>
      </c>
      <c r="D2506">
        <v>3842</v>
      </c>
    </row>
    <row r="2507" spans="1:4">
      <c r="A2507" t="s">
        <v>6004</v>
      </c>
      <c r="B2507" t="s">
        <v>6005</v>
      </c>
      <c r="C2507" t="s">
        <v>6004</v>
      </c>
      <c r="D2507">
        <v>3713</v>
      </c>
    </row>
    <row r="2508" spans="1:4">
      <c r="A2508" t="s">
        <v>6006</v>
      </c>
      <c r="B2508" t="s">
        <v>6007</v>
      </c>
      <c r="C2508" t="s">
        <v>6006</v>
      </c>
      <c r="D2508">
        <v>3841</v>
      </c>
    </row>
    <row r="2509" spans="1:4">
      <c r="A2509" t="s">
        <v>6008</v>
      </c>
      <c r="B2509" t="s">
        <v>6009</v>
      </c>
      <c r="C2509" t="s">
        <v>6008</v>
      </c>
      <c r="D2509">
        <v>7371</v>
      </c>
    </row>
    <row r="2510" spans="1:4">
      <c r="A2510" t="s">
        <v>6010</v>
      </c>
      <c r="B2510" t="s">
        <v>6011</v>
      </c>
      <c r="C2510" t="s">
        <v>6010</v>
      </c>
      <c r="D2510">
        <v>3812</v>
      </c>
    </row>
    <row r="2511" spans="1:4">
      <c r="A2511" t="s">
        <v>6012</v>
      </c>
      <c r="B2511" t="s">
        <v>6013</v>
      </c>
      <c r="C2511" t="s">
        <v>6012</v>
      </c>
      <c r="D2511">
        <v>2810</v>
      </c>
    </row>
    <row r="2512" spans="1:4">
      <c r="A2512" t="s">
        <v>6014</v>
      </c>
      <c r="B2512" t="s">
        <v>6015</v>
      </c>
      <c r="C2512" t="s">
        <v>6014</v>
      </c>
      <c r="D2512">
        <v>3841</v>
      </c>
    </row>
    <row r="2513" spans="1:4">
      <c r="A2513" t="s">
        <v>6016</v>
      </c>
      <c r="B2513" t="s">
        <v>6017</v>
      </c>
      <c r="C2513" t="s">
        <v>6016</v>
      </c>
      <c r="D2513">
        <v>4700</v>
      </c>
    </row>
    <row r="2514" spans="1:4">
      <c r="A2514" t="s">
        <v>6018</v>
      </c>
      <c r="B2514" t="s">
        <v>6019</v>
      </c>
      <c r="C2514" t="s">
        <v>6018</v>
      </c>
      <c r="D2514">
        <v>3661</v>
      </c>
    </row>
    <row r="2515" spans="1:4">
      <c r="A2515" t="s">
        <v>6020</v>
      </c>
      <c r="B2515" t="s">
        <v>6021</v>
      </c>
      <c r="C2515" t="s">
        <v>6020</v>
      </c>
      <c r="D2515">
        <v>2834</v>
      </c>
    </row>
    <row r="2516" spans="1:4">
      <c r="A2516" t="s">
        <v>6022</v>
      </c>
      <c r="B2516" t="s">
        <v>6023</v>
      </c>
      <c r="C2516" t="s">
        <v>6022</v>
      </c>
      <c r="D2516">
        <v>700</v>
      </c>
    </row>
    <row r="2517" spans="1:4">
      <c r="A2517" t="s">
        <v>6024</v>
      </c>
      <c r="B2517" t="s">
        <v>6025</v>
      </c>
      <c r="C2517" t="s">
        <v>6024</v>
      </c>
      <c r="D2517">
        <v>7500</v>
      </c>
    </row>
    <row r="2518" spans="1:4">
      <c r="A2518" t="s">
        <v>6026</v>
      </c>
      <c r="B2518" t="s">
        <v>6027</v>
      </c>
      <c r="C2518" t="s">
        <v>6026</v>
      </c>
      <c r="D2518">
        <v>8711</v>
      </c>
    </row>
    <row r="2519" spans="1:4">
      <c r="A2519" t="s">
        <v>6028</v>
      </c>
      <c r="B2519" t="s">
        <v>6029</v>
      </c>
      <c r="C2519" t="s">
        <v>6028</v>
      </c>
      <c r="D2519">
        <v>3577</v>
      </c>
    </row>
    <row r="2520" spans="1:4">
      <c r="A2520" t="s">
        <v>6030</v>
      </c>
      <c r="B2520" t="s">
        <v>6031</v>
      </c>
      <c r="C2520" t="s">
        <v>6030</v>
      </c>
      <c r="D2520">
        <v>7372</v>
      </c>
    </row>
    <row r="2521" spans="1:4">
      <c r="A2521" t="s">
        <v>6032</v>
      </c>
      <c r="B2521" t="s">
        <v>6033</v>
      </c>
      <c r="C2521" t="s">
        <v>6032</v>
      </c>
      <c r="D2521">
        <v>3823</v>
      </c>
    </row>
    <row r="2522" spans="1:4">
      <c r="A2522" t="s">
        <v>6034</v>
      </c>
      <c r="B2522" t="s">
        <v>6035</v>
      </c>
      <c r="C2522" t="s">
        <v>6034</v>
      </c>
      <c r="D2522">
        <v>7370</v>
      </c>
    </row>
    <row r="2523" spans="1:4">
      <c r="A2523" t="s">
        <v>6036</v>
      </c>
      <c r="B2523" t="s">
        <v>6037</v>
      </c>
      <c r="C2523" t="s">
        <v>6036</v>
      </c>
      <c r="D2523">
        <v>2836</v>
      </c>
    </row>
    <row r="2524" spans="1:4">
      <c r="A2524" t="s">
        <v>6038</v>
      </c>
      <c r="B2524" t="s">
        <v>6039</v>
      </c>
      <c r="C2524" t="s">
        <v>6038</v>
      </c>
      <c r="D2524">
        <v>3714</v>
      </c>
    </row>
    <row r="2525" spans="1:4">
      <c r="A2525" t="s">
        <v>6040</v>
      </c>
      <c r="B2525" t="s">
        <v>6041</v>
      </c>
      <c r="C2525" t="s">
        <v>6040</v>
      </c>
      <c r="D2525">
        <v>4700</v>
      </c>
    </row>
    <row r="2526" spans="1:4">
      <c r="A2526" t="s">
        <v>6042</v>
      </c>
      <c r="B2526" t="s">
        <v>6043</v>
      </c>
      <c r="C2526" t="s">
        <v>6042</v>
      </c>
      <c r="D2526">
        <v>6282</v>
      </c>
    </row>
    <row r="2527" spans="1:4">
      <c r="A2527" t="s">
        <v>6044</v>
      </c>
      <c r="B2527" t="s">
        <v>6045</v>
      </c>
      <c r="C2527" t="s">
        <v>6044</v>
      </c>
      <c r="D2527">
        <v>7389</v>
      </c>
    </row>
    <row r="2528" spans="1:4">
      <c r="A2528" t="s">
        <v>6046</v>
      </c>
      <c r="B2528" t="s">
        <v>6047</v>
      </c>
      <c r="C2528" t="s">
        <v>6046</v>
      </c>
      <c r="D2528">
        <v>2273</v>
      </c>
    </row>
    <row r="2529" spans="1:4">
      <c r="A2529" t="s">
        <v>6048</v>
      </c>
      <c r="B2529" t="s">
        <v>6049</v>
      </c>
      <c r="C2529" t="s">
        <v>6048</v>
      </c>
      <c r="D2529">
        <v>7389</v>
      </c>
    </row>
    <row r="2530" spans="1:4">
      <c r="A2530" t="s">
        <v>6050</v>
      </c>
      <c r="B2530" t="s">
        <v>6051</v>
      </c>
      <c r="C2530" t="s">
        <v>6050</v>
      </c>
      <c r="D2530">
        <v>2834</v>
      </c>
    </row>
    <row r="2531" spans="1:4">
      <c r="A2531" t="s">
        <v>6052</v>
      </c>
      <c r="B2531" t="s">
        <v>6053</v>
      </c>
      <c r="C2531" t="s">
        <v>6052</v>
      </c>
      <c r="D2531">
        <v>6324</v>
      </c>
    </row>
    <row r="2532" spans="1:4">
      <c r="A2532" t="s">
        <v>6054</v>
      </c>
      <c r="B2532" t="s">
        <v>6055</v>
      </c>
      <c r="C2532" t="s">
        <v>6054</v>
      </c>
      <c r="D2532">
        <v>2082</v>
      </c>
    </row>
    <row r="2533" spans="1:4">
      <c r="A2533" t="s">
        <v>6056</v>
      </c>
      <c r="B2533" t="s">
        <v>6057</v>
      </c>
      <c r="C2533" t="s">
        <v>6056</v>
      </c>
      <c r="D2533">
        <v>7370</v>
      </c>
    </row>
    <row r="2534" spans="1:4">
      <c r="A2534" t="s">
        <v>6058</v>
      </c>
      <c r="B2534" t="s">
        <v>6059</v>
      </c>
      <c r="C2534" t="s">
        <v>6058</v>
      </c>
      <c r="D2534">
        <v>3760</v>
      </c>
    </row>
    <row r="2535" spans="1:4">
      <c r="A2535" t="s">
        <v>6060</v>
      </c>
      <c r="B2535" t="s">
        <v>6061</v>
      </c>
      <c r="C2535" t="s">
        <v>6060</v>
      </c>
      <c r="D2535">
        <v>7011</v>
      </c>
    </row>
    <row r="2536" spans="1:4">
      <c r="A2536" t="s">
        <v>6062</v>
      </c>
      <c r="B2536" t="s">
        <v>6063</v>
      </c>
      <c r="C2536" t="s">
        <v>6062</v>
      </c>
      <c r="D2536">
        <v>7372</v>
      </c>
    </row>
    <row r="2537" spans="1:4">
      <c r="A2537" t="s">
        <v>6064</v>
      </c>
      <c r="B2537" t="s">
        <v>6065</v>
      </c>
      <c r="C2537" t="s">
        <v>6064</v>
      </c>
      <c r="D2537">
        <v>2000</v>
      </c>
    </row>
    <row r="2538" spans="1:4">
      <c r="A2538" t="s">
        <v>6066</v>
      </c>
      <c r="B2538" t="s">
        <v>6067</v>
      </c>
      <c r="C2538" t="s">
        <v>6066</v>
      </c>
      <c r="D2538">
        <v>7389</v>
      </c>
    </row>
    <row r="2539" spans="1:4">
      <c r="A2539" t="s">
        <v>6068</v>
      </c>
      <c r="B2539" t="s">
        <v>6069</v>
      </c>
      <c r="C2539" t="s">
        <v>6068</v>
      </c>
      <c r="D2539">
        <v>6199</v>
      </c>
    </row>
    <row r="2540" spans="1:4">
      <c r="A2540" t="s">
        <v>6070</v>
      </c>
      <c r="B2540" t="s">
        <v>6071</v>
      </c>
      <c r="C2540" t="s">
        <v>6070</v>
      </c>
      <c r="D2540">
        <v>7372</v>
      </c>
    </row>
    <row r="2541" spans="1:4">
      <c r="A2541" t="s">
        <v>6072</v>
      </c>
      <c r="B2541" t="s">
        <v>6073</v>
      </c>
      <c r="C2541" t="s">
        <v>6072</v>
      </c>
      <c r="D2541">
        <v>3674</v>
      </c>
    </row>
    <row r="2542" spans="1:4">
      <c r="A2542" t="s">
        <v>6074</v>
      </c>
      <c r="B2542" t="s">
        <v>6075</v>
      </c>
      <c r="C2542" t="s">
        <v>6074</v>
      </c>
      <c r="D2542">
        <v>2834</v>
      </c>
    </row>
    <row r="2543" spans="1:4">
      <c r="A2543" t="s">
        <v>6076</v>
      </c>
      <c r="B2543" t="s">
        <v>6077</v>
      </c>
      <c r="C2543" t="s">
        <v>6076</v>
      </c>
      <c r="D2543">
        <v>7500</v>
      </c>
    </row>
    <row r="2544" spans="1:4">
      <c r="A2544" t="s">
        <v>6078</v>
      </c>
      <c r="B2544" t="s">
        <v>6079</v>
      </c>
      <c r="C2544" t="s">
        <v>6078</v>
      </c>
      <c r="D2544">
        <v>2086</v>
      </c>
    </row>
    <row r="2545" spans="1:4">
      <c r="A2545" t="s">
        <v>6080</v>
      </c>
      <c r="B2545" t="s">
        <v>6081</v>
      </c>
      <c r="C2545" t="s">
        <v>6080</v>
      </c>
      <c r="D2545">
        <v>4932</v>
      </c>
    </row>
    <row r="2546" spans="1:4">
      <c r="A2546" t="s">
        <v>6082</v>
      </c>
      <c r="B2546" t="s">
        <v>6083</v>
      </c>
      <c r="C2546" t="s">
        <v>6082</v>
      </c>
      <c r="D2546">
        <v>8742</v>
      </c>
    </row>
    <row r="2547" spans="1:4">
      <c r="A2547" t="s">
        <v>6084</v>
      </c>
      <c r="B2547" t="s">
        <v>6085</v>
      </c>
      <c r="C2547" t="s">
        <v>6084</v>
      </c>
      <c r="D2547">
        <v>7320</v>
      </c>
    </row>
    <row r="2548" spans="1:4">
      <c r="A2548" t="s">
        <v>6086</v>
      </c>
      <c r="B2548" t="s">
        <v>6087</v>
      </c>
      <c r="C2548" t="s">
        <v>6086</v>
      </c>
      <c r="D2548">
        <v>3590</v>
      </c>
    </row>
    <row r="2549" spans="1:4">
      <c r="A2549" t="s">
        <v>6088</v>
      </c>
      <c r="B2549" t="s">
        <v>6089</v>
      </c>
      <c r="C2549" t="s">
        <v>6088</v>
      </c>
      <c r="D2549">
        <v>6211</v>
      </c>
    </row>
    <row r="2550" spans="1:4">
      <c r="A2550" t="s">
        <v>6090</v>
      </c>
      <c r="B2550" t="s">
        <v>6091</v>
      </c>
      <c r="C2550" t="s">
        <v>6090</v>
      </c>
      <c r="D2550">
        <v>6282</v>
      </c>
    </row>
    <row r="2551" spans="1:4">
      <c r="A2551" t="s">
        <v>6092</v>
      </c>
      <c r="B2551" t="s">
        <v>6093</v>
      </c>
      <c r="C2551" t="s">
        <v>6092</v>
      </c>
      <c r="D2551">
        <v>2834</v>
      </c>
    </row>
    <row r="2552" spans="1:4">
      <c r="A2552" t="s">
        <v>6094</v>
      </c>
      <c r="B2552" t="s">
        <v>6095</v>
      </c>
      <c r="C2552" t="s">
        <v>6094</v>
      </c>
      <c r="D2552">
        <v>2870</v>
      </c>
    </row>
    <row r="2553" spans="1:4">
      <c r="A2553" t="s">
        <v>6096</v>
      </c>
      <c r="B2553" t="s">
        <v>6097</v>
      </c>
      <c r="C2553" t="s">
        <v>6096</v>
      </c>
      <c r="D2553">
        <v>3714</v>
      </c>
    </row>
    <row r="2554" spans="1:4">
      <c r="A2554" t="s">
        <v>6098</v>
      </c>
      <c r="B2554" t="s">
        <v>6099</v>
      </c>
      <c r="C2554" t="s">
        <v>6098</v>
      </c>
      <c r="D2554">
        <v>3663</v>
      </c>
    </row>
    <row r="2555" spans="1:4">
      <c r="A2555" t="s">
        <v>6100</v>
      </c>
      <c r="B2555" t="s">
        <v>6101</v>
      </c>
      <c r="C2555" t="s">
        <v>6100</v>
      </c>
      <c r="D2555">
        <v>3841</v>
      </c>
    </row>
    <row r="2556" spans="1:4">
      <c r="A2556" t="s">
        <v>6102</v>
      </c>
      <c r="B2556" t="s">
        <v>6103</v>
      </c>
      <c r="C2556" t="s">
        <v>6102</v>
      </c>
      <c r="D2556">
        <v>3873</v>
      </c>
    </row>
    <row r="2557" spans="1:4">
      <c r="A2557" t="s">
        <v>6104</v>
      </c>
      <c r="B2557" t="s">
        <v>6105</v>
      </c>
      <c r="C2557" t="s">
        <v>6104</v>
      </c>
      <c r="D2557">
        <v>1000</v>
      </c>
    </row>
    <row r="2558" spans="1:4">
      <c r="A2558" t="s">
        <v>6106</v>
      </c>
      <c r="B2558" t="s">
        <v>6107</v>
      </c>
      <c r="C2558" t="s">
        <v>6106</v>
      </c>
      <c r="D2558">
        <v>4610</v>
      </c>
    </row>
    <row r="2559" spans="1:4">
      <c r="A2559" t="s">
        <v>6108</v>
      </c>
      <c r="B2559" t="s">
        <v>6109</v>
      </c>
      <c r="C2559" t="s">
        <v>6108</v>
      </c>
      <c r="D2559">
        <v>6199</v>
      </c>
    </row>
    <row r="2560" spans="1:4">
      <c r="A2560" t="s">
        <v>6110</v>
      </c>
      <c r="B2560" t="s">
        <v>6111</v>
      </c>
      <c r="C2560" t="s">
        <v>6110</v>
      </c>
      <c r="D2560">
        <v>5084</v>
      </c>
    </row>
    <row r="2561" spans="1:4">
      <c r="A2561" t="s">
        <v>6112</v>
      </c>
      <c r="B2561" t="s">
        <v>6113</v>
      </c>
      <c r="C2561" t="s">
        <v>6112</v>
      </c>
      <c r="D2561">
        <v>3842</v>
      </c>
    </row>
    <row r="2562" spans="1:4">
      <c r="A2562" t="s">
        <v>6114</v>
      </c>
      <c r="B2562" t="s">
        <v>6115</v>
      </c>
      <c r="C2562" t="s">
        <v>6114</v>
      </c>
      <c r="D2562">
        <v>5084</v>
      </c>
    </row>
    <row r="2563" spans="1:4">
      <c r="A2563" t="s">
        <v>6116</v>
      </c>
      <c r="B2563" t="s">
        <v>6117</v>
      </c>
      <c r="C2563" t="s">
        <v>6116</v>
      </c>
      <c r="D2563">
        <v>7389</v>
      </c>
    </row>
    <row r="2564" spans="1:4">
      <c r="A2564" t="s">
        <v>6118</v>
      </c>
      <c r="B2564" t="s">
        <v>6119</v>
      </c>
      <c r="C2564" t="s">
        <v>6118</v>
      </c>
      <c r="D2564">
        <v>3350</v>
      </c>
    </row>
    <row r="2565" spans="1:4">
      <c r="A2565" t="s">
        <v>6120</v>
      </c>
      <c r="B2565" t="s">
        <v>6121</v>
      </c>
      <c r="C2565" t="s">
        <v>6120</v>
      </c>
      <c r="D2565">
        <v>3490</v>
      </c>
    </row>
    <row r="2566" spans="1:4">
      <c r="A2566" t="s">
        <v>6122</v>
      </c>
      <c r="B2566" t="s">
        <v>6123</v>
      </c>
      <c r="C2566" t="s">
        <v>6122</v>
      </c>
      <c r="D2566">
        <v>2870</v>
      </c>
    </row>
    <row r="2567" spans="1:4">
      <c r="A2567" t="s">
        <v>6124</v>
      </c>
      <c r="B2567" t="s">
        <v>6125</v>
      </c>
      <c r="C2567" t="s">
        <v>6124</v>
      </c>
      <c r="D2567">
        <v>7389</v>
      </c>
    </row>
    <row r="2568" spans="1:4">
      <c r="A2568" t="s">
        <v>6126</v>
      </c>
      <c r="B2568" t="s">
        <v>6127</v>
      </c>
      <c r="C2568" t="s">
        <v>6126</v>
      </c>
      <c r="D2568">
        <v>1311</v>
      </c>
    </row>
    <row r="2569" spans="1:4">
      <c r="A2569" t="s">
        <v>6128</v>
      </c>
      <c r="B2569" t="s">
        <v>6129</v>
      </c>
      <c r="C2569" t="s">
        <v>6128</v>
      </c>
      <c r="D2569">
        <v>5500</v>
      </c>
    </row>
    <row r="2570" spans="1:4">
      <c r="A2570" t="s">
        <v>6130</v>
      </c>
      <c r="B2570" t="s">
        <v>6131</v>
      </c>
      <c r="C2570" t="s">
        <v>6130</v>
      </c>
      <c r="D2570">
        <v>6022</v>
      </c>
    </row>
    <row r="2571" spans="1:4">
      <c r="A2571" t="s">
        <v>6132</v>
      </c>
      <c r="B2571" t="s">
        <v>6133</v>
      </c>
      <c r="C2571" t="s">
        <v>6132</v>
      </c>
      <c r="D2571">
        <v>3089</v>
      </c>
    </row>
    <row r="2572" spans="1:4">
      <c r="A2572" t="s">
        <v>6134</v>
      </c>
      <c r="B2572" t="s">
        <v>6135</v>
      </c>
      <c r="C2572" t="s">
        <v>6134</v>
      </c>
      <c r="D2572">
        <v>3842</v>
      </c>
    </row>
    <row r="2573" spans="1:4">
      <c r="A2573" t="s">
        <v>6136</v>
      </c>
      <c r="B2573" t="s">
        <v>6137</v>
      </c>
      <c r="C2573" t="s">
        <v>6136</v>
      </c>
      <c r="D2573">
        <v>2834</v>
      </c>
    </row>
    <row r="2574" spans="1:4">
      <c r="A2574" t="s">
        <v>6138</v>
      </c>
      <c r="B2574" t="s">
        <v>6139</v>
      </c>
      <c r="C2574" t="s">
        <v>6138</v>
      </c>
      <c r="D2574">
        <v>1623</v>
      </c>
    </row>
    <row r="2575" spans="1:4">
      <c r="A2575" t="s">
        <v>6140</v>
      </c>
      <c r="B2575" t="s">
        <v>6141</v>
      </c>
      <c r="C2575" t="s">
        <v>6140</v>
      </c>
      <c r="D2575">
        <v>2835</v>
      </c>
    </row>
    <row r="2576" spans="1:4">
      <c r="A2576" t="s">
        <v>6142</v>
      </c>
      <c r="B2576" t="s">
        <v>6143</v>
      </c>
      <c r="C2576" t="s">
        <v>6142</v>
      </c>
      <c r="D2576">
        <v>7372</v>
      </c>
    </row>
    <row r="2577" spans="1:4">
      <c r="A2577" t="s">
        <v>6144</v>
      </c>
      <c r="B2577" t="s">
        <v>6145</v>
      </c>
      <c r="C2577" t="s">
        <v>6144</v>
      </c>
      <c r="D2577">
        <v>1381</v>
      </c>
    </row>
    <row r="2578" spans="1:4">
      <c r="A2578" t="s">
        <v>6146</v>
      </c>
      <c r="B2578" t="s">
        <v>6147</v>
      </c>
      <c r="C2578" t="s">
        <v>6146</v>
      </c>
      <c r="D2578">
        <v>3630</v>
      </c>
    </row>
    <row r="2579" spans="1:4">
      <c r="A2579" t="s">
        <v>6148</v>
      </c>
      <c r="B2579" t="s">
        <v>6149</v>
      </c>
      <c r="C2579" t="s">
        <v>6148</v>
      </c>
      <c r="D2579">
        <v>6500</v>
      </c>
    </row>
    <row r="2580" spans="1:4">
      <c r="A2580" t="s">
        <v>6150</v>
      </c>
      <c r="B2580" t="s">
        <v>6151</v>
      </c>
      <c r="C2580" t="s">
        <v>6150</v>
      </c>
      <c r="D2580">
        <v>3390</v>
      </c>
    </row>
    <row r="2581" spans="1:4">
      <c r="A2581" t="s">
        <v>6152</v>
      </c>
      <c r="B2581" t="s">
        <v>6153</v>
      </c>
      <c r="C2581" t="s">
        <v>6152</v>
      </c>
      <c r="D2581">
        <v>2836</v>
      </c>
    </row>
    <row r="2582" spans="1:4">
      <c r="A2582" t="s">
        <v>6154</v>
      </c>
      <c r="B2582" t="s">
        <v>6155</v>
      </c>
      <c r="C2582" t="s">
        <v>6154</v>
      </c>
      <c r="D2582">
        <v>7374</v>
      </c>
    </row>
    <row r="2583" spans="1:4">
      <c r="A2583" t="s">
        <v>6156</v>
      </c>
      <c r="B2583" t="s">
        <v>6157</v>
      </c>
      <c r="C2583" t="s">
        <v>6156</v>
      </c>
      <c r="D2583">
        <v>3669</v>
      </c>
    </row>
    <row r="2584" spans="1:4">
      <c r="A2584" t="s">
        <v>6158</v>
      </c>
      <c r="B2584" t="s">
        <v>6159</v>
      </c>
      <c r="C2584" t="s">
        <v>6158</v>
      </c>
      <c r="D2584">
        <v>6200</v>
      </c>
    </row>
    <row r="2585" spans="1:4">
      <c r="A2585" t="s">
        <v>6160</v>
      </c>
      <c r="B2585" t="s">
        <v>6161</v>
      </c>
      <c r="C2585" t="s">
        <v>6160</v>
      </c>
      <c r="D2585">
        <v>8071</v>
      </c>
    </row>
    <row r="2586" spans="1:4">
      <c r="A2586" t="s">
        <v>6162</v>
      </c>
      <c r="B2586" t="s">
        <v>6163</v>
      </c>
      <c r="C2586" t="s">
        <v>6162</v>
      </c>
      <c r="D2586">
        <v>5812</v>
      </c>
    </row>
    <row r="2587" spans="1:4">
      <c r="A2587" t="s">
        <v>6164</v>
      </c>
      <c r="B2587" t="s">
        <v>6165</v>
      </c>
      <c r="C2587" t="s">
        <v>6164</v>
      </c>
      <c r="D2587">
        <v>6021</v>
      </c>
    </row>
    <row r="2588" spans="1:4">
      <c r="A2588" t="s">
        <v>6166</v>
      </c>
      <c r="B2588" t="s">
        <v>6167</v>
      </c>
      <c r="C2588" t="s">
        <v>6166</v>
      </c>
      <c r="D2588">
        <v>6021</v>
      </c>
    </row>
    <row r="2589" spans="1:4">
      <c r="A2589" t="s">
        <v>6168</v>
      </c>
      <c r="B2589" t="s">
        <v>6169</v>
      </c>
      <c r="C2589" t="s">
        <v>6168</v>
      </c>
      <c r="D2589">
        <v>2086</v>
      </c>
    </row>
    <row r="2590" spans="1:4">
      <c r="A2590" t="s">
        <v>6170</v>
      </c>
      <c r="B2590" t="s">
        <v>6171</v>
      </c>
      <c r="C2590" t="s">
        <v>6170</v>
      </c>
      <c r="D2590">
        <v>7310</v>
      </c>
    </row>
    <row r="2591" spans="1:4">
      <c r="A2591" t="s">
        <v>6172</v>
      </c>
      <c r="B2591" t="s">
        <v>6173</v>
      </c>
      <c r="C2591" t="s">
        <v>6172</v>
      </c>
      <c r="D2591">
        <v>4924</v>
      </c>
    </row>
    <row r="2592" spans="1:4">
      <c r="A2592" t="s">
        <v>6174</v>
      </c>
      <c r="B2592" t="s">
        <v>6175</v>
      </c>
      <c r="C2592" t="s">
        <v>6174</v>
      </c>
      <c r="D2592">
        <v>6798</v>
      </c>
    </row>
    <row r="2593" spans="1:4">
      <c r="A2593" t="s">
        <v>6176</v>
      </c>
      <c r="B2593" t="s">
        <v>6177</v>
      </c>
      <c r="C2593" t="s">
        <v>6176</v>
      </c>
      <c r="D2593">
        <v>8051</v>
      </c>
    </row>
    <row r="2594" spans="1:4">
      <c r="A2594" t="s">
        <v>6178</v>
      </c>
      <c r="B2594" t="s">
        <v>6179</v>
      </c>
      <c r="C2594" t="s">
        <v>6178</v>
      </c>
      <c r="D2594">
        <v>7372</v>
      </c>
    </row>
    <row r="2595" spans="1:4">
      <c r="A2595" t="s">
        <v>6180</v>
      </c>
      <c r="B2595" t="s">
        <v>6181</v>
      </c>
      <c r="C2595" t="s">
        <v>6180</v>
      </c>
      <c r="D2595">
        <v>3480</v>
      </c>
    </row>
    <row r="2596" spans="1:4">
      <c r="A2596" t="s">
        <v>6182</v>
      </c>
      <c r="B2596" t="s">
        <v>6183</v>
      </c>
      <c r="C2596" t="s">
        <v>6182</v>
      </c>
      <c r="D2596">
        <v>8731</v>
      </c>
    </row>
    <row r="2597" spans="1:4">
      <c r="A2597" t="s">
        <v>6184</v>
      </c>
      <c r="B2597" t="s">
        <v>6185</v>
      </c>
      <c r="C2597" t="s">
        <v>6184</v>
      </c>
      <c r="D2597">
        <v>6798</v>
      </c>
    </row>
    <row r="2598" spans="1:4">
      <c r="A2598" t="s">
        <v>6186</v>
      </c>
      <c r="B2598" t="s">
        <v>6187</v>
      </c>
      <c r="C2598" t="s">
        <v>6186</v>
      </c>
      <c r="D2598">
        <v>6798</v>
      </c>
    </row>
    <row r="2599" spans="1:4">
      <c r="A2599" t="s">
        <v>6188</v>
      </c>
      <c r="B2599" t="s">
        <v>6189</v>
      </c>
      <c r="C2599" t="s">
        <v>6188</v>
      </c>
      <c r="D2599">
        <v>3851</v>
      </c>
    </row>
    <row r="2600" spans="1:4">
      <c r="A2600" t="s">
        <v>6190</v>
      </c>
      <c r="B2600" t="s">
        <v>6191</v>
      </c>
      <c r="C2600" t="s">
        <v>6190</v>
      </c>
      <c r="D2600">
        <v>6311</v>
      </c>
    </row>
    <row r="2601" spans="1:4">
      <c r="A2601" t="s">
        <v>6192</v>
      </c>
      <c r="B2601" t="s">
        <v>6193</v>
      </c>
      <c r="C2601" t="s">
        <v>6192</v>
      </c>
      <c r="D2601">
        <v>2833</v>
      </c>
    </row>
    <row r="2602" spans="1:4">
      <c r="A2602" t="s">
        <v>6194</v>
      </c>
      <c r="B2602" t="s">
        <v>6195</v>
      </c>
      <c r="C2602" t="s">
        <v>6194</v>
      </c>
      <c r="D2602">
        <v>1389</v>
      </c>
    </row>
    <row r="2603" spans="1:4">
      <c r="A2603" t="s">
        <v>6196</v>
      </c>
      <c r="B2603" t="s">
        <v>6197</v>
      </c>
      <c r="C2603" t="s">
        <v>6196</v>
      </c>
      <c r="D2603">
        <v>5411</v>
      </c>
    </row>
    <row r="2604" spans="1:4">
      <c r="A2604" t="s">
        <v>6198</v>
      </c>
      <c r="B2604" t="s">
        <v>6199</v>
      </c>
      <c r="C2604" t="s">
        <v>6198</v>
      </c>
      <c r="D2604">
        <v>5190</v>
      </c>
    </row>
    <row r="2605" spans="1:4">
      <c r="A2605" t="s">
        <v>6200</v>
      </c>
      <c r="B2605" t="s">
        <v>6201</v>
      </c>
      <c r="C2605" t="s">
        <v>6200</v>
      </c>
      <c r="D2605">
        <v>1221</v>
      </c>
    </row>
    <row r="2606" spans="1:4">
      <c r="A2606" t="s">
        <v>6202</v>
      </c>
      <c r="B2606" t="s">
        <v>6203</v>
      </c>
      <c r="C2606" t="s">
        <v>6202</v>
      </c>
      <c r="D2606">
        <v>2834</v>
      </c>
    </row>
    <row r="2607" spans="1:4">
      <c r="A2607" t="s">
        <v>6204</v>
      </c>
      <c r="B2607" t="s">
        <v>6205</v>
      </c>
      <c r="C2607" t="s">
        <v>6204</v>
      </c>
      <c r="D2607">
        <v>3845</v>
      </c>
    </row>
    <row r="2608" spans="1:4">
      <c r="A2608" t="s">
        <v>6206</v>
      </c>
      <c r="B2608" t="s">
        <v>6207</v>
      </c>
      <c r="C2608" t="s">
        <v>6206</v>
      </c>
      <c r="D2608">
        <v>6211</v>
      </c>
    </row>
    <row r="2609" spans="1:4">
      <c r="A2609" t="s">
        <v>6208</v>
      </c>
      <c r="B2609" t="s">
        <v>6209</v>
      </c>
      <c r="C2609" t="s">
        <v>6208</v>
      </c>
      <c r="D2609">
        <v>4412</v>
      </c>
    </row>
    <row r="2610" spans="1:4">
      <c r="A2610" t="s">
        <v>6210</v>
      </c>
      <c r="B2610" t="s">
        <v>6211</v>
      </c>
      <c r="C2610" t="s">
        <v>6210</v>
      </c>
      <c r="D2610">
        <v>4412</v>
      </c>
    </row>
    <row r="2611" spans="1:4">
      <c r="A2611" t="s">
        <v>6212</v>
      </c>
      <c r="B2611" t="s">
        <v>6213</v>
      </c>
      <c r="C2611" t="s">
        <v>6212</v>
      </c>
      <c r="D2611">
        <v>4412</v>
      </c>
    </row>
    <row r="2612" spans="1:4">
      <c r="A2612" t="s">
        <v>6214</v>
      </c>
      <c r="B2612" t="s">
        <v>6215</v>
      </c>
      <c r="C2612" t="s">
        <v>6214</v>
      </c>
      <c r="D2612">
        <v>3674</v>
      </c>
    </row>
    <row r="2613" spans="1:4">
      <c r="A2613" t="s">
        <v>6216</v>
      </c>
      <c r="B2613" t="s">
        <v>6217</v>
      </c>
      <c r="C2613" t="s">
        <v>6216</v>
      </c>
      <c r="D2613">
        <v>6021</v>
      </c>
    </row>
    <row r="2614" spans="1:4">
      <c r="A2614" t="s">
        <v>6218</v>
      </c>
      <c r="B2614" t="s">
        <v>6219</v>
      </c>
      <c r="C2614" t="s">
        <v>6218</v>
      </c>
      <c r="D2614">
        <v>7372</v>
      </c>
    </row>
    <row r="2615" spans="1:4">
      <c r="A2615" t="s">
        <v>6220</v>
      </c>
      <c r="B2615" t="s">
        <v>6221</v>
      </c>
      <c r="C2615" t="s">
        <v>6220</v>
      </c>
      <c r="D2615">
        <v>3578</v>
      </c>
    </row>
    <row r="2616" spans="1:4">
      <c r="A2616" t="s">
        <v>6222</v>
      </c>
      <c r="B2616" t="s">
        <v>6223</v>
      </c>
      <c r="C2616" t="s">
        <v>6222</v>
      </c>
      <c r="D2616">
        <v>1389</v>
      </c>
    </row>
    <row r="2617" spans="1:4">
      <c r="A2617" t="s">
        <v>6224</v>
      </c>
      <c r="B2617" t="s">
        <v>6225</v>
      </c>
      <c r="C2617" t="s">
        <v>6224</v>
      </c>
      <c r="D2617">
        <v>2621</v>
      </c>
    </row>
    <row r="2618" spans="1:4">
      <c r="A2618" t="s">
        <v>6226</v>
      </c>
      <c r="B2618" t="s">
        <v>6227</v>
      </c>
      <c r="C2618" t="s">
        <v>6226</v>
      </c>
      <c r="D2618">
        <v>2834</v>
      </c>
    </row>
    <row r="2619" spans="1:4">
      <c r="A2619" t="s">
        <v>6228</v>
      </c>
      <c r="B2619" t="s">
        <v>6229</v>
      </c>
      <c r="C2619" t="s">
        <v>6228</v>
      </c>
      <c r="D2619">
        <v>6141</v>
      </c>
    </row>
    <row r="2620" spans="1:4">
      <c r="A2620" t="s">
        <v>6230</v>
      </c>
      <c r="B2620" t="s">
        <v>6231</v>
      </c>
      <c r="C2620" t="s">
        <v>6230</v>
      </c>
      <c r="D2620">
        <v>2835</v>
      </c>
    </row>
    <row r="2621" spans="1:4">
      <c r="A2621" t="s">
        <v>6232</v>
      </c>
      <c r="B2621" t="s">
        <v>6233</v>
      </c>
      <c r="C2621" t="s">
        <v>6232</v>
      </c>
      <c r="D2621">
        <v>8734</v>
      </c>
    </row>
    <row r="2622" spans="1:4">
      <c r="A2622" t="s">
        <v>6234</v>
      </c>
      <c r="B2622" t="s">
        <v>6235</v>
      </c>
      <c r="C2622" t="s">
        <v>6234</v>
      </c>
      <c r="D2622">
        <v>3679</v>
      </c>
    </row>
    <row r="2623" spans="1:4">
      <c r="A2623" t="s">
        <v>6236</v>
      </c>
      <c r="B2623" t="s">
        <v>6237</v>
      </c>
      <c r="C2623" t="s">
        <v>6236</v>
      </c>
      <c r="D2623">
        <v>3674</v>
      </c>
    </row>
    <row r="2624" spans="1:4">
      <c r="A2624" t="s">
        <v>6238</v>
      </c>
      <c r="B2624" t="s">
        <v>6239</v>
      </c>
      <c r="C2624" t="s">
        <v>6238</v>
      </c>
      <c r="D2624">
        <v>3841</v>
      </c>
    </row>
    <row r="2625" spans="1:4">
      <c r="A2625" t="s">
        <v>6240</v>
      </c>
      <c r="B2625" t="s">
        <v>6241</v>
      </c>
      <c r="C2625" t="s">
        <v>6240</v>
      </c>
      <c r="D2625">
        <v>7374</v>
      </c>
    </row>
    <row r="2626" spans="1:4">
      <c r="A2626" t="s">
        <v>6242</v>
      </c>
      <c r="B2626" t="s">
        <v>6243</v>
      </c>
      <c r="C2626" t="s">
        <v>6242</v>
      </c>
      <c r="D2626">
        <v>7372</v>
      </c>
    </row>
    <row r="2627" spans="1:4">
      <c r="A2627" t="s">
        <v>6244</v>
      </c>
      <c r="B2627" t="s">
        <v>6245</v>
      </c>
      <c r="C2627" t="s">
        <v>6244</v>
      </c>
      <c r="D2627">
        <v>7374</v>
      </c>
    </row>
    <row r="2628" spans="1:4">
      <c r="A2628" t="s">
        <v>6246</v>
      </c>
      <c r="B2628" t="s">
        <v>6247</v>
      </c>
      <c r="C2628" t="s">
        <v>6246</v>
      </c>
      <c r="D2628">
        <v>3572</v>
      </c>
    </row>
    <row r="2629" spans="1:4">
      <c r="A2629" t="s">
        <v>6248</v>
      </c>
      <c r="B2629" t="s">
        <v>6249</v>
      </c>
      <c r="C2629" t="s">
        <v>6248</v>
      </c>
      <c r="D2629">
        <v>7372</v>
      </c>
    </row>
    <row r="2630" spans="1:4">
      <c r="A2630" t="s">
        <v>6250</v>
      </c>
      <c r="B2630" t="s">
        <v>6251</v>
      </c>
      <c r="C2630" t="s">
        <v>6250</v>
      </c>
      <c r="D2630">
        <v>7841</v>
      </c>
    </row>
    <row r="2631" spans="1:4">
      <c r="A2631" t="s">
        <v>6252</v>
      </c>
      <c r="B2631" t="s">
        <v>6253</v>
      </c>
      <c r="C2631" t="s">
        <v>6252</v>
      </c>
      <c r="D2631">
        <v>3661</v>
      </c>
    </row>
    <row r="2632" spans="1:4">
      <c r="A2632" t="s">
        <v>6254</v>
      </c>
      <c r="B2632" t="s">
        <v>6255</v>
      </c>
      <c r="C2632" t="s">
        <v>6254</v>
      </c>
      <c r="D2632">
        <v>3674</v>
      </c>
    </row>
    <row r="2633" spans="1:4">
      <c r="A2633" t="s">
        <v>6256</v>
      </c>
      <c r="B2633" t="s">
        <v>6257</v>
      </c>
      <c r="C2633" t="s">
        <v>6256</v>
      </c>
      <c r="D2633">
        <v>7373</v>
      </c>
    </row>
    <row r="2634" spans="1:4">
      <c r="A2634" t="s">
        <v>6258</v>
      </c>
      <c r="B2634" t="s">
        <v>6259</v>
      </c>
      <c r="C2634" t="s">
        <v>6258</v>
      </c>
      <c r="D2634">
        <v>7372</v>
      </c>
    </row>
    <row r="2635" spans="1:4">
      <c r="A2635" t="s">
        <v>6260</v>
      </c>
      <c r="B2635" t="s">
        <v>6261</v>
      </c>
      <c r="C2635" t="s">
        <v>6260</v>
      </c>
      <c r="D2635">
        <v>6794</v>
      </c>
    </row>
    <row r="2636" spans="1:4">
      <c r="A2636" t="s">
        <v>6262</v>
      </c>
      <c r="B2636" t="s">
        <v>6263</v>
      </c>
      <c r="C2636" t="s">
        <v>6262</v>
      </c>
      <c r="D2636">
        <v>2834</v>
      </c>
    </row>
    <row r="2637" spans="1:4">
      <c r="A2637" t="s">
        <v>6264</v>
      </c>
      <c r="B2637" t="s">
        <v>6265</v>
      </c>
      <c r="C2637" t="s">
        <v>6264</v>
      </c>
      <c r="D2637">
        <v>2836</v>
      </c>
    </row>
    <row r="2638" spans="1:4">
      <c r="A2638" t="s">
        <v>6266</v>
      </c>
      <c r="B2638" t="s">
        <v>6267</v>
      </c>
      <c r="C2638" t="s">
        <v>6266</v>
      </c>
      <c r="D2638">
        <v>3841</v>
      </c>
    </row>
    <row r="2639" spans="1:4">
      <c r="A2639" t="s">
        <v>6268</v>
      </c>
      <c r="B2639" t="s">
        <v>6269</v>
      </c>
      <c r="C2639" t="s">
        <v>6268</v>
      </c>
      <c r="D2639">
        <v>3841</v>
      </c>
    </row>
    <row r="2640" spans="1:4">
      <c r="A2640" t="s">
        <v>6270</v>
      </c>
      <c r="B2640" t="s">
        <v>6271</v>
      </c>
      <c r="C2640" t="s">
        <v>6270</v>
      </c>
      <c r="D2640">
        <v>3841</v>
      </c>
    </row>
    <row r="2641" spans="1:4">
      <c r="A2641" t="s">
        <v>6272</v>
      </c>
      <c r="B2641" t="s">
        <v>6273</v>
      </c>
      <c r="C2641" t="s">
        <v>6272</v>
      </c>
      <c r="D2641">
        <v>6513</v>
      </c>
    </row>
    <row r="2642" spans="1:4">
      <c r="A2642" t="s">
        <v>6274</v>
      </c>
      <c r="B2642" t="s">
        <v>6275</v>
      </c>
      <c r="C2642" t="s">
        <v>6274</v>
      </c>
      <c r="D2642">
        <v>4924</v>
      </c>
    </row>
    <row r="2643" spans="1:4">
      <c r="A2643" t="s">
        <v>6276</v>
      </c>
      <c r="B2643" t="s">
        <v>6277</v>
      </c>
      <c r="C2643" t="s">
        <v>6276</v>
      </c>
      <c r="D2643">
        <v>4924</v>
      </c>
    </row>
    <row r="2644" spans="1:4">
      <c r="A2644" t="s">
        <v>6278</v>
      </c>
      <c r="B2644" t="s">
        <v>6279</v>
      </c>
      <c r="C2644" t="s">
        <v>6278</v>
      </c>
      <c r="D2644">
        <v>8200</v>
      </c>
    </row>
    <row r="2645" spans="1:4">
      <c r="A2645" t="s">
        <v>6280</v>
      </c>
      <c r="B2645" t="s">
        <v>6281</v>
      </c>
      <c r="C2645" t="s">
        <v>6280</v>
      </c>
      <c r="D2645">
        <v>6022</v>
      </c>
    </row>
    <row r="2646" spans="1:4">
      <c r="A2646" t="s">
        <v>6282</v>
      </c>
      <c r="B2646" t="s">
        <v>6283</v>
      </c>
      <c r="C2646" t="s">
        <v>6282</v>
      </c>
      <c r="D2646">
        <v>7372</v>
      </c>
    </row>
    <row r="2647" spans="1:4">
      <c r="A2647" t="s">
        <v>6284</v>
      </c>
      <c r="B2647" t="s">
        <v>6285</v>
      </c>
      <c r="C2647" t="s">
        <v>6284</v>
      </c>
      <c r="D2647">
        <v>6798</v>
      </c>
    </row>
    <row r="2648" spans="1:4">
      <c r="A2648" t="s">
        <v>6286</v>
      </c>
      <c r="B2648" t="s">
        <v>6287</v>
      </c>
      <c r="C2648" t="s">
        <v>6286</v>
      </c>
      <c r="D2648">
        <v>6036</v>
      </c>
    </row>
    <row r="2649" spans="1:4">
      <c r="A2649" t="s">
        <v>6288</v>
      </c>
      <c r="B2649" t="s">
        <v>6289</v>
      </c>
      <c r="C2649" t="s">
        <v>6288</v>
      </c>
      <c r="D2649">
        <v>6798</v>
      </c>
    </row>
    <row r="2650" spans="1:4">
      <c r="A2650" t="s">
        <v>6290</v>
      </c>
      <c r="B2650" t="s">
        <v>6291</v>
      </c>
      <c r="C2650" t="s">
        <v>6290</v>
      </c>
      <c r="D2650">
        <v>2711</v>
      </c>
    </row>
    <row r="2651" spans="1:4">
      <c r="A2651" t="s">
        <v>6292</v>
      </c>
      <c r="B2651" t="s">
        <v>6293</v>
      </c>
      <c r="C2651" t="s">
        <v>6292</v>
      </c>
      <c r="D2651">
        <v>2082</v>
      </c>
    </row>
    <row r="2652" spans="1:4">
      <c r="A2652" t="s">
        <v>6294</v>
      </c>
      <c r="B2652" t="s">
        <v>6295</v>
      </c>
      <c r="C2652" t="s">
        <v>6294</v>
      </c>
      <c r="D2652">
        <v>5990</v>
      </c>
    </row>
    <row r="2653" spans="1:4">
      <c r="A2653" t="s">
        <v>6296</v>
      </c>
      <c r="B2653" t="s">
        <v>6297</v>
      </c>
      <c r="C2653" t="s">
        <v>6296</v>
      </c>
      <c r="D2653">
        <v>3089</v>
      </c>
    </row>
    <row r="2654" spans="1:4">
      <c r="A2654" t="s">
        <v>6298</v>
      </c>
      <c r="B2654" t="s">
        <v>6299</v>
      </c>
      <c r="C2654" t="s">
        <v>6298</v>
      </c>
      <c r="D2654">
        <v>6798</v>
      </c>
    </row>
    <row r="2655" spans="1:4">
      <c r="A2655" t="s">
        <v>6300</v>
      </c>
      <c r="B2655" t="s">
        <v>6301</v>
      </c>
      <c r="C2655" t="s">
        <v>6300</v>
      </c>
      <c r="D2655">
        <v>6531</v>
      </c>
    </row>
    <row r="2656" spans="1:4">
      <c r="A2656" t="s">
        <v>6302</v>
      </c>
      <c r="B2656" t="s">
        <v>6303</v>
      </c>
      <c r="C2656" t="s">
        <v>6302</v>
      </c>
      <c r="D2656">
        <v>2860</v>
      </c>
    </row>
    <row r="2657" spans="1:4">
      <c r="A2657" t="s">
        <v>6304</v>
      </c>
      <c r="B2657" t="s">
        <v>6305</v>
      </c>
      <c r="C2657" t="s">
        <v>6304</v>
      </c>
      <c r="D2657">
        <v>1040</v>
      </c>
    </row>
    <row r="2658" spans="1:4">
      <c r="A2658" t="s">
        <v>6306</v>
      </c>
      <c r="B2658" t="s">
        <v>6307</v>
      </c>
      <c r="C2658" t="s">
        <v>6306</v>
      </c>
      <c r="D2658">
        <v>3533</v>
      </c>
    </row>
    <row r="2659" spans="1:4">
      <c r="A2659" t="s">
        <v>6308</v>
      </c>
      <c r="B2659" t="s">
        <v>6309</v>
      </c>
      <c r="C2659" t="s">
        <v>6308</v>
      </c>
      <c r="D2659">
        <v>2711</v>
      </c>
    </row>
    <row r="2660" spans="1:4">
      <c r="A2660" t="s">
        <v>6310</v>
      </c>
      <c r="B2660" t="s">
        <v>6311</v>
      </c>
      <c r="C2660" t="s">
        <v>6310</v>
      </c>
      <c r="D2660">
        <v>6798</v>
      </c>
    </row>
    <row r="2661" spans="1:4">
      <c r="A2661" t="s">
        <v>6312</v>
      </c>
      <c r="B2661" t="s">
        <v>6313</v>
      </c>
      <c r="C2661" t="s">
        <v>6312</v>
      </c>
      <c r="D2661">
        <v>6798</v>
      </c>
    </row>
    <row r="2662" spans="1:4">
      <c r="A2662" t="s">
        <v>6314</v>
      </c>
      <c r="B2662" t="s">
        <v>6315</v>
      </c>
      <c r="C2662" t="s">
        <v>6314</v>
      </c>
      <c r="D2662">
        <v>4833</v>
      </c>
    </row>
    <row r="2663" spans="1:4">
      <c r="A2663" t="s">
        <v>6316</v>
      </c>
      <c r="B2663" t="s">
        <v>6317</v>
      </c>
      <c r="C2663" t="s">
        <v>6316</v>
      </c>
      <c r="D2663">
        <v>2834</v>
      </c>
    </row>
    <row r="2664" spans="1:4">
      <c r="A2664" t="s">
        <v>6318</v>
      </c>
      <c r="B2664" t="s">
        <v>6319</v>
      </c>
      <c r="C2664" t="s">
        <v>6318</v>
      </c>
      <c r="D2664">
        <v>7370</v>
      </c>
    </row>
    <row r="2665" spans="1:4">
      <c r="A2665" t="s">
        <v>6320</v>
      </c>
      <c r="B2665" t="s">
        <v>6321</v>
      </c>
      <c r="C2665" t="s">
        <v>6320</v>
      </c>
      <c r="D2665">
        <v>4911</v>
      </c>
    </row>
    <row r="2666" spans="1:4">
      <c r="A2666" t="s">
        <v>6322</v>
      </c>
      <c r="B2666" t="s">
        <v>6323</v>
      </c>
      <c r="C2666" t="s">
        <v>6322</v>
      </c>
      <c r="D2666">
        <v>4911</v>
      </c>
    </row>
    <row r="2667" spans="1:4">
      <c r="A2667" t="s">
        <v>6324</v>
      </c>
      <c r="B2667" t="s">
        <v>6325</v>
      </c>
      <c r="C2667" t="s">
        <v>6324</v>
      </c>
      <c r="D2667">
        <v>7373</v>
      </c>
    </row>
    <row r="2668" spans="1:4">
      <c r="A2668" t="s">
        <v>6326</v>
      </c>
      <c r="B2668" t="s">
        <v>6327</v>
      </c>
      <c r="C2668" t="s">
        <v>6326</v>
      </c>
      <c r="D2668">
        <v>1389</v>
      </c>
    </row>
    <row r="2669" spans="1:4">
      <c r="A2669" t="s">
        <v>6328</v>
      </c>
      <c r="B2669" t="s">
        <v>6329</v>
      </c>
      <c r="C2669" t="s">
        <v>6328</v>
      </c>
      <c r="D2669">
        <v>3812</v>
      </c>
    </row>
    <row r="2670" spans="1:4">
      <c r="A2670" t="s">
        <v>6330</v>
      </c>
      <c r="B2670" t="s">
        <v>6331</v>
      </c>
      <c r="C2670" t="s">
        <v>6330</v>
      </c>
      <c r="D2670">
        <v>7389</v>
      </c>
    </row>
    <row r="2671" spans="1:4">
      <c r="A2671" t="s">
        <v>6332</v>
      </c>
      <c r="B2671" t="s">
        <v>6333</v>
      </c>
      <c r="C2671" t="s">
        <v>6332</v>
      </c>
      <c r="D2671">
        <v>4922</v>
      </c>
    </row>
    <row r="2672" spans="1:4">
      <c r="A2672" t="s">
        <v>6334</v>
      </c>
      <c r="B2672" t="s">
        <v>6335</v>
      </c>
      <c r="C2672" t="s">
        <v>6334</v>
      </c>
      <c r="D2672">
        <v>2834</v>
      </c>
    </row>
    <row r="2673" spans="1:4">
      <c r="A2673" t="s">
        <v>6336</v>
      </c>
      <c r="B2673" t="s">
        <v>6337</v>
      </c>
      <c r="C2673" t="s">
        <v>6336</v>
      </c>
      <c r="D2673">
        <v>6331</v>
      </c>
    </row>
    <row r="2674" spans="1:4">
      <c r="A2674" t="s">
        <v>6338</v>
      </c>
      <c r="B2674" t="s">
        <v>6339</v>
      </c>
      <c r="C2674" t="s">
        <v>6338</v>
      </c>
      <c r="D2674">
        <v>7372</v>
      </c>
    </row>
    <row r="2675" spans="1:4">
      <c r="A2675" t="s">
        <v>6340</v>
      </c>
      <c r="B2675" t="s">
        <v>6341</v>
      </c>
      <c r="C2675" t="s">
        <v>6340</v>
      </c>
      <c r="D2675">
        <v>6153</v>
      </c>
    </row>
    <row r="2676" spans="1:4">
      <c r="A2676" t="s">
        <v>6342</v>
      </c>
      <c r="B2676" t="s">
        <v>6343</v>
      </c>
      <c r="C2676" t="s">
        <v>6342</v>
      </c>
      <c r="D2676">
        <v>7389</v>
      </c>
    </row>
    <row r="2677" spans="1:4">
      <c r="A2677" t="s">
        <v>6344</v>
      </c>
      <c r="B2677" t="s">
        <v>6345</v>
      </c>
      <c r="C2677" t="s">
        <v>6344</v>
      </c>
      <c r="D2677">
        <v>3021</v>
      </c>
    </row>
    <row r="2678" spans="1:4">
      <c r="A2678" t="s">
        <v>6346</v>
      </c>
      <c r="B2678" t="s">
        <v>6347</v>
      </c>
      <c r="C2678" t="s">
        <v>6346</v>
      </c>
      <c r="D2678">
        <v>3711</v>
      </c>
    </row>
    <row r="2679" spans="1:4">
      <c r="A2679" t="s">
        <v>6348</v>
      </c>
      <c r="B2679" t="s">
        <v>6349</v>
      </c>
      <c r="C2679" t="s">
        <v>6348</v>
      </c>
      <c r="D2679">
        <v>1389</v>
      </c>
    </row>
    <row r="2680" spans="1:4">
      <c r="A2680" t="s">
        <v>6350</v>
      </c>
      <c r="B2680" t="s">
        <v>6351</v>
      </c>
      <c r="C2680" t="s">
        <v>6350</v>
      </c>
      <c r="D2680">
        <v>3711</v>
      </c>
    </row>
    <row r="2681" spans="1:4">
      <c r="A2681" t="s">
        <v>6352</v>
      </c>
      <c r="B2681" t="s">
        <v>6353</v>
      </c>
      <c r="C2681" t="s">
        <v>6352</v>
      </c>
      <c r="D2681">
        <v>4931</v>
      </c>
    </row>
    <row r="2682" spans="1:4">
      <c r="A2682" t="s">
        <v>6354</v>
      </c>
      <c r="B2682" t="s">
        <v>6355</v>
      </c>
      <c r="C2682" t="s">
        <v>6354</v>
      </c>
      <c r="D2682">
        <v>3490</v>
      </c>
    </row>
    <row r="2683" spans="1:4">
      <c r="A2683" t="s">
        <v>6356</v>
      </c>
      <c r="B2683" t="s">
        <v>6357</v>
      </c>
      <c r="C2683" t="s">
        <v>6356</v>
      </c>
      <c r="D2683">
        <v>3711</v>
      </c>
    </row>
    <row r="2684" spans="1:4">
      <c r="A2684" t="s">
        <v>6358</v>
      </c>
      <c r="B2684" t="s">
        <v>6359</v>
      </c>
      <c r="C2684" t="s">
        <v>6358</v>
      </c>
      <c r="D2684">
        <v>2810</v>
      </c>
    </row>
    <row r="2685" spans="1:4">
      <c r="A2685" t="s">
        <v>6360</v>
      </c>
      <c r="B2685" t="s">
        <v>6361</v>
      </c>
      <c r="C2685" t="s">
        <v>6360</v>
      </c>
      <c r="D2685">
        <v>3674</v>
      </c>
    </row>
    <row r="2686" spans="1:4">
      <c r="A2686" t="s">
        <v>6362</v>
      </c>
      <c r="B2686" t="s">
        <v>6363</v>
      </c>
      <c r="C2686" t="s">
        <v>6362</v>
      </c>
      <c r="D2686">
        <v>6351</v>
      </c>
    </row>
    <row r="2687" spans="1:4">
      <c r="A2687" t="s">
        <v>6364</v>
      </c>
      <c r="B2687" t="s">
        <v>6365</v>
      </c>
      <c r="C2687" t="s">
        <v>6364</v>
      </c>
      <c r="D2687">
        <v>3540</v>
      </c>
    </row>
    <row r="2688" spans="1:4">
      <c r="A2688" t="s">
        <v>6366</v>
      </c>
      <c r="B2688" t="s">
        <v>6367</v>
      </c>
      <c r="C2688" t="s">
        <v>6366</v>
      </c>
      <c r="D2688">
        <v>6282</v>
      </c>
    </row>
    <row r="2689" spans="1:4">
      <c r="A2689" t="s">
        <v>6368</v>
      </c>
      <c r="B2689" t="s">
        <v>6369</v>
      </c>
      <c r="C2689" t="s">
        <v>6368</v>
      </c>
      <c r="D2689">
        <v>2451</v>
      </c>
    </row>
    <row r="2690" spans="1:4">
      <c r="A2690" t="s">
        <v>6370</v>
      </c>
      <c r="B2690" t="s">
        <v>6371</v>
      </c>
      <c r="C2690" t="s">
        <v>6370</v>
      </c>
      <c r="D2690">
        <v>1381</v>
      </c>
    </row>
    <row r="2691" spans="1:4">
      <c r="A2691" t="s">
        <v>6372</v>
      </c>
      <c r="B2691" t="s">
        <v>6373</v>
      </c>
      <c r="C2691" t="s">
        <v>6372</v>
      </c>
      <c r="D2691">
        <v>7389</v>
      </c>
    </row>
    <row r="2692" spans="1:4">
      <c r="A2692" t="s">
        <v>6374</v>
      </c>
      <c r="B2692" t="s">
        <v>6375</v>
      </c>
      <c r="C2692" t="s">
        <v>6374</v>
      </c>
      <c r="D2692">
        <v>5812</v>
      </c>
    </row>
    <row r="2693" spans="1:4">
      <c r="A2693" t="s">
        <v>6376</v>
      </c>
      <c r="B2693" t="s">
        <v>6377</v>
      </c>
      <c r="C2693" t="s">
        <v>6376</v>
      </c>
      <c r="D2693">
        <v>4400</v>
      </c>
    </row>
    <row r="2694" spans="1:4">
      <c r="A2694" t="s">
        <v>6378</v>
      </c>
      <c r="B2694" t="s">
        <v>6379</v>
      </c>
      <c r="C2694" t="s">
        <v>6378</v>
      </c>
      <c r="D2694">
        <v>3569</v>
      </c>
    </row>
    <row r="2695" spans="1:4">
      <c r="A2695" t="s">
        <v>471</v>
      </c>
      <c r="B2695" t="s">
        <v>472</v>
      </c>
      <c r="C2695" t="s">
        <v>471</v>
      </c>
      <c r="D2695">
        <v>5651</v>
      </c>
    </row>
    <row r="2696" spans="1:4">
      <c r="A2696" t="s">
        <v>6380</v>
      </c>
      <c r="B2696" t="s">
        <v>6381</v>
      </c>
      <c r="C2696" t="s">
        <v>6380</v>
      </c>
      <c r="D2696">
        <v>4011</v>
      </c>
    </row>
    <row r="2697" spans="1:4">
      <c r="A2697" t="s">
        <v>6382</v>
      </c>
      <c r="B2697" t="s">
        <v>6383</v>
      </c>
      <c r="C2697" t="s">
        <v>6382</v>
      </c>
      <c r="D2697">
        <v>3679</v>
      </c>
    </row>
    <row r="2698" spans="1:4">
      <c r="A2698" t="s">
        <v>6384</v>
      </c>
      <c r="B2698" t="s">
        <v>6385</v>
      </c>
      <c r="C2698" t="s">
        <v>6384</v>
      </c>
      <c r="D2698">
        <v>6036</v>
      </c>
    </row>
    <row r="2699" spans="1:4">
      <c r="A2699" t="s">
        <v>6386</v>
      </c>
      <c r="B2699" t="s">
        <v>6387</v>
      </c>
      <c r="C2699" t="s">
        <v>6386</v>
      </c>
      <c r="D2699">
        <v>1311</v>
      </c>
    </row>
    <row r="2700" spans="1:4">
      <c r="A2700" t="s">
        <v>6388</v>
      </c>
      <c r="B2700" t="s">
        <v>6389</v>
      </c>
      <c r="C2700" t="s">
        <v>6388</v>
      </c>
      <c r="D2700">
        <v>3470</v>
      </c>
    </row>
    <row r="2701" spans="1:4">
      <c r="A2701" t="s">
        <v>6390</v>
      </c>
      <c r="B2701" t="s">
        <v>6391</v>
      </c>
      <c r="C2701" t="s">
        <v>6390</v>
      </c>
      <c r="D2701">
        <v>6022</v>
      </c>
    </row>
    <row r="2702" spans="1:4">
      <c r="A2702" t="s">
        <v>6392</v>
      </c>
      <c r="B2702" t="s">
        <v>6393</v>
      </c>
      <c r="C2702" t="s">
        <v>6392</v>
      </c>
      <c r="D2702">
        <v>6035</v>
      </c>
    </row>
    <row r="2703" spans="1:4">
      <c r="A2703" t="s">
        <v>6394</v>
      </c>
      <c r="B2703" t="s">
        <v>6395</v>
      </c>
      <c r="C2703" t="s">
        <v>6394</v>
      </c>
      <c r="D2703">
        <v>6035</v>
      </c>
    </row>
    <row r="2704" spans="1:4">
      <c r="A2704" t="s">
        <v>6396</v>
      </c>
      <c r="B2704" t="s">
        <v>6397</v>
      </c>
      <c r="C2704" t="s">
        <v>6396</v>
      </c>
      <c r="D2704">
        <v>3812</v>
      </c>
    </row>
    <row r="2705" spans="1:4">
      <c r="A2705" t="s">
        <v>6398</v>
      </c>
      <c r="B2705" t="s">
        <v>6399</v>
      </c>
      <c r="C2705" t="s">
        <v>6398</v>
      </c>
      <c r="D2705">
        <v>6798</v>
      </c>
    </row>
    <row r="2706" spans="1:4">
      <c r="A2706" t="s">
        <v>6400</v>
      </c>
      <c r="B2706" t="s">
        <v>6401</v>
      </c>
      <c r="C2706" t="s">
        <v>6400</v>
      </c>
      <c r="D2706">
        <v>6021</v>
      </c>
    </row>
    <row r="2707" spans="1:4">
      <c r="A2707" t="s">
        <v>6402</v>
      </c>
      <c r="B2707" t="s">
        <v>6403</v>
      </c>
      <c r="C2707" t="s">
        <v>6402</v>
      </c>
      <c r="D2707">
        <v>2834</v>
      </c>
    </row>
    <row r="2708" spans="1:4">
      <c r="A2708" t="s">
        <v>6404</v>
      </c>
      <c r="B2708" t="s">
        <v>6405</v>
      </c>
      <c r="C2708" t="s">
        <v>6404</v>
      </c>
      <c r="D2708">
        <v>4924</v>
      </c>
    </row>
    <row r="2709" spans="1:4">
      <c r="A2709" t="s">
        <v>6406</v>
      </c>
      <c r="B2709" t="s">
        <v>6407</v>
      </c>
      <c r="C2709" t="s">
        <v>6406</v>
      </c>
      <c r="D2709">
        <v>3317</v>
      </c>
    </row>
    <row r="2710" spans="1:4">
      <c r="A2710" t="s">
        <v>6408</v>
      </c>
      <c r="B2710" t="s">
        <v>6409</v>
      </c>
      <c r="C2710" t="s">
        <v>6408</v>
      </c>
      <c r="D2710">
        <v>4931</v>
      </c>
    </row>
    <row r="2711" spans="1:4">
      <c r="A2711" t="s">
        <v>6410</v>
      </c>
      <c r="B2711" t="s">
        <v>6411</v>
      </c>
      <c r="C2711" t="s">
        <v>6410</v>
      </c>
      <c r="D2711">
        <v>7372</v>
      </c>
    </row>
    <row r="2712" spans="1:4">
      <c r="A2712" t="s">
        <v>6412</v>
      </c>
      <c r="B2712" t="s">
        <v>6413</v>
      </c>
      <c r="C2712" t="s">
        <v>6412</v>
      </c>
      <c r="D2712">
        <v>4400</v>
      </c>
    </row>
    <row r="2713" spans="1:4">
      <c r="A2713" t="s">
        <v>6414</v>
      </c>
      <c r="B2713" t="s">
        <v>6415</v>
      </c>
      <c r="C2713" t="s">
        <v>6414</v>
      </c>
      <c r="D2713">
        <v>6022</v>
      </c>
    </row>
    <row r="2714" spans="1:4">
      <c r="A2714" t="s">
        <v>6416</v>
      </c>
      <c r="B2714" t="s">
        <v>6417</v>
      </c>
      <c r="C2714" t="s">
        <v>6416</v>
      </c>
      <c r="D2714">
        <v>3533</v>
      </c>
    </row>
    <row r="2715" spans="1:4">
      <c r="A2715" t="s">
        <v>6418</v>
      </c>
      <c r="B2715" t="s">
        <v>6419</v>
      </c>
      <c r="C2715" t="s">
        <v>6418</v>
      </c>
      <c r="D2715">
        <v>3827</v>
      </c>
    </row>
    <row r="2716" spans="1:4">
      <c r="A2716" t="s">
        <v>6420</v>
      </c>
      <c r="B2716" t="s">
        <v>6421</v>
      </c>
      <c r="C2716" t="s">
        <v>6420</v>
      </c>
      <c r="D2716">
        <v>2834</v>
      </c>
    </row>
    <row r="2717" spans="1:4">
      <c r="A2717" t="s">
        <v>6422</v>
      </c>
      <c r="B2717" t="s">
        <v>6423</v>
      </c>
      <c r="C2717" t="s">
        <v>6422</v>
      </c>
      <c r="D2717">
        <v>2834</v>
      </c>
    </row>
    <row r="2718" spans="1:4">
      <c r="A2718" t="s">
        <v>6424</v>
      </c>
      <c r="B2718" t="s">
        <v>6425</v>
      </c>
      <c r="C2718" t="s">
        <v>6424</v>
      </c>
      <c r="D2718">
        <v>3690</v>
      </c>
    </row>
    <row r="2719" spans="1:4">
      <c r="A2719" t="s">
        <v>6426</v>
      </c>
      <c r="B2719" t="s">
        <v>6427</v>
      </c>
      <c r="C2719" t="s">
        <v>6426</v>
      </c>
      <c r="D2719">
        <v>2836</v>
      </c>
    </row>
    <row r="2720" spans="1:4">
      <c r="A2720" t="s">
        <v>6428</v>
      </c>
      <c r="B2720" t="s">
        <v>6429</v>
      </c>
      <c r="C2720" t="s">
        <v>6428</v>
      </c>
      <c r="D2720">
        <v>3510</v>
      </c>
    </row>
    <row r="2721" spans="1:4">
      <c r="A2721" t="s">
        <v>6430</v>
      </c>
      <c r="B2721" t="s">
        <v>6431</v>
      </c>
      <c r="C2721" t="s">
        <v>6430</v>
      </c>
      <c r="D2721">
        <v>3841</v>
      </c>
    </row>
    <row r="2722" spans="1:4">
      <c r="A2722" t="s">
        <v>6432</v>
      </c>
      <c r="B2722" t="s">
        <v>6433</v>
      </c>
      <c r="C2722" t="s">
        <v>6432</v>
      </c>
      <c r="D2722">
        <v>3533</v>
      </c>
    </row>
    <row r="2723" spans="1:4">
      <c r="A2723" t="s">
        <v>6434</v>
      </c>
      <c r="B2723" t="s">
        <v>6435</v>
      </c>
      <c r="C2723" t="s">
        <v>6434</v>
      </c>
      <c r="D2723">
        <v>4911</v>
      </c>
    </row>
    <row r="2724" spans="1:4">
      <c r="A2724" t="s">
        <v>6436</v>
      </c>
      <c r="B2724" t="s">
        <v>6437</v>
      </c>
      <c r="C2724" t="s">
        <v>6436</v>
      </c>
      <c r="D2724">
        <v>5122</v>
      </c>
    </row>
    <row r="2725" spans="1:4">
      <c r="A2725" t="s">
        <v>6438</v>
      </c>
      <c r="B2725" t="s">
        <v>6439</v>
      </c>
      <c r="C2725" t="s">
        <v>6438</v>
      </c>
      <c r="D2725">
        <v>3312</v>
      </c>
    </row>
    <row r="2726" spans="1:4">
      <c r="A2726" t="s">
        <v>6440</v>
      </c>
      <c r="B2726" t="s">
        <v>6441</v>
      </c>
      <c r="C2726" t="s">
        <v>6440</v>
      </c>
      <c r="D2726">
        <v>2834</v>
      </c>
    </row>
    <row r="2727" spans="1:4">
      <c r="A2727" t="s">
        <v>6442</v>
      </c>
      <c r="B2727" t="s">
        <v>6443</v>
      </c>
      <c r="C2727" t="s">
        <v>6442</v>
      </c>
      <c r="D2727">
        <v>4610</v>
      </c>
    </row>
    <row r="2728" spans="1:4">
      <c r="A2728" t="s">
        <v>6444</v>
      </c>
      <c r="B2728" t="s">
        <v>6445</v>
      </c>
      <c r="C2728" t="s">
        <v>6444</v>
      </c>
      <c r="D2728">
        <v>7372</v>
      </c>
    </row>
    <row r="2729" spans="1:4">
      <c r="A2729" t="s">
        <v>6446</v>
      </c>
      <c r="B2729" t="s">
        <v>6447</v>
      </c>
      <c r="C2729" t="s">
        <v>6446</v>
      </c>
      <c r="D2729">
        <v>3841</v>
      </c>
    </row>
    <row r="2730" spans="1:4">
      <c r="A2730" t="s">
        <v>6448</v>
      </c>
      <c r="B2730" t="s">
        <v>6449</v>
      </c>
      <c r="C2730" t="s">
        <v>6448</v>
      </c>
      <c r="D2730">
        <v>4813</v>
      </c>
    </row>
    <row r="2731" spans="1:4">
      <c r="A2731" t="s">
        <v>6450</v>
      </c>
      <c r="B2731" t="s">
        <v>6451</v>
      </c>
      <c r="C2731" t="s">
        <v>6450</v>
      </c>
      <c r="D2731">
        <v>7380</v>
      </c>
    </row>
    <row r="2732" spans="1:4">
      <c r="A2732" t="s">
        <v>6452</v>
      </c>
      <c r="B2732" t="s">
        <v>6453</v>
      </c>
      <c r="C2732" t="s">
        <v>6452</v>
      </c>
      <c r="D2732">
        <v>3674</v>
      </c>
    </row>
    <row r="2733" spans="1:4">
      <c r="A2733" t="s">
        <v>6454</v>
      </c>
      <c r="B2733" t="s">
        <v>6455</v>
      </c>
      <c r="C2733" t="s">
        <v>6454</v>
      </c>
      <c r="D2733">
        <v>3550</v>
      </c>
    </row>
    <row r="2734" spans="1:4">
      <c r="A2734" t="s">
        <v>6456</v>
      </c>
      <c r="B2734" t="s">
        <v>6457</v>
      </c>
      <c r="C2734" t="s">
        <v>6456</v>
      </c>
      <c r="D2734">
        <v>3674</v>
      </c>
    </row>
    <row r="2735" spans="1:4">
      <c r="A2735" t="s">
        <v>6458</v>
      </c>
      <c r="B2735" t="s">
        <v>6459</v>
      </c>
      <c r="C2735" t="s">
        <v>6458</v>
      </c>
      <c r="D2735">
        <v>1531</v>
      </c>
    </row>
    <row r="2736" spans="1:4">
      <c r="A2736" t="s">
        <v>6460</v>
      </c>
      <c r="B2736" t="s">
        <v>6461</v>
      </c>
      <c r="C2736" t="s">
        <v>6460</v>
      </c>
      <c r="D2736">
        <v>3674</v>
      </c>
    </row>
    <row r="2737" spans="1:4">
      <c r="A2737" t="s">
        <v>6462</v>
      </c>
      <c r="B2737" t="s">
        <v>6463</v>
      </c>
      <c r="C2737" t="s">
        <v>6462</v>
      </c>
      <c r="D2737">
        <v>1382</v>
      </c>
    </row>
    <row r="2738" spans="1:4">
      <c r="A2738" t="s">
        <v>6464</v>
      </c>
      <c r="B2738" t="s">
        <v>6465</v>
      </c>
      <c r="C2738" t="s">
        <v>6464</v>
      </c>
      <c r="D2738">
        <v>5531</v>
      </c>
    </row>
    <row r="2739" spans="1:4">
      <c r="A2739" t="s">
        <v>6466</v>
      </c>
      <c r="B2739" t="s">
        <v>6467</v>
      </c>
      <c r="C2739" t="s">
        <v>6466</v>
      </c>
      <c r="D2739">
        <v>3221</v>
      </c>
    </row>
    <row r="2740" spans="1:4">
      <c r="A2740" t="s">
        <v>6468</v>
      </c>
      <c r="B2740" t="s">
        <v>6469</v>
      </c>
      <c r="C2740" t="s">
        <v>6468</v>
      </c>
      <c r="D2740">
        <v>3674</v>
      </c>
    </row>
    <row r="2741" spans="1:4">
      <c r="A2741" t="s">
        <v>6470</v>
      </c>
      <c r="B2741" t="s">
        <v>6471</v>
      </c>
      <c r="C2741" t="s">
        <v>6470</v>
      </c>
      <c r="D2741">
        <v>6022</v>
      </c>
    </row>
    <row r="2742" spans="1:4">
      <c r="A2742" t="s">
        <v>6472</v>
      </c>
      <c r="B2742" t="s">
        <v>6473</v>
      </c>
      <c r="C2742" t="s">
        <v>6472</v>
      </c>
      <c r="D2742">
        <v>1311</v>
      </c>
    </row>
    <row r="2743" spans="1:4">
      <c r="A2743" t="s">
        <v>6474</v>
      </c>
      <c r="B2743" t="s">
        <v>6475</v>
      </c>
      <c r="C2743" t="s">
        <v>6474</v>
      </c>
      <c r="D2743">
        <v>2842</v>
      </c>
    </row>
    <row r="2744" spans="1:4">
      <c r="A2744" t="s">
        <v>6476</v>
      </c>
      <c r="B2744" t="s">
        <v>6477</v>
      </c>
      <c r="C2744" t="s">
        <v>6476</v>
      </c>
      <c r="D2744">
        <v>4911</v>
      </c>
    </row>
    <row r="2745" spans="1:4">
      <c r="A2745" t="s">
        <v>6478</v>
      </c>
      <c r="B2745" t="s">
        <v>6479</v>
      </c>
      <c r="C2745" t="s">
        <v>6478</v>
      </c>
      <c r="D2745">
        <v>1389</v>
      </c>
    </row>
    <row r="2746" spans="1:4">
      <c r="A2746" t="s">
        <v>6480</v>
      </c>
      <c r="B2746" t="s">
        <v>6481</v>
      </c>
      <c r="C2746" t="s">
        <v>6480</v>
      </c>
      <c r="D2746">
        <v>6035</v>
      </c>
    </row>
    <row r="2747" spans="1:4">
      <c r="A2747" t="s">
        <v>6482</v>
      </c>
      <c r="B2747" t="s">
        <v>6483</v>
      </c>
      <c r="C2747" t="s">
        <v>6482</v>
      </c>
      <c r="D2747">
        <v>6035</v>
      </c>
    </row>
    <row r="2748" spans="1:4">
      <c r="A2748" t="s">
        <v>6484</v>
      </c>
      <c r="B2748" t="s">
        <v>6485</v>
      </c>
      <c r="C2748" t="s">
        <v>6484</v>
      </c>
      <c r="D2748">
        <v>2834</v>
      </c>
    </row>
    <row r="2749" spans="1:4">
      <c r="A2749" t="s">
        <v>6486</v>
      </c>
      <c r="B2749" t="s">
        <v>6487</v>
      </c>
      <c r="C2749" t="s">
        <v>6486</v>
      </c>
      <c r="D2749">
        <v>6162</v>
      </c>
    </row>
    <row r="2750" spans="1:4">
      <c r="A2750" t="s">
        <v>6488</v>
      </c>
      <c r="B2750" t="s">
        <v>6489</v>
      </c>
      <c r="C2750" t="s">
        <v>6488</v>
      </c>
      <c r="D2750">
        <v>5940</v>
      </c>
    </row>
    <row r="2751" spans="1:4">
      <c r="A2751" t="s">
        <v>6490</v>
      </c>
      <c r="B2751" t="s">
        <v>6491</v>
      </c>
      <c r="C2751" t="s">
        <v>6490</v>
      </c>
      <c r="D2751">
        <v>6531</v>
      </c>
    </row>
    <row r="2752" spans="1:4">
      <c r="A2752" t="s">
        <v>6492</v>
      </c>
      <c r="B2752" t="s">
        <v>6493</v>
      </c>
      <c r="C2752" t="s">
        <v>6492</v>
      </c>
      <c r="D2752">
        <v>6022</v>
      </c>
    </row>
    <row r="2753" spans="1:4">
      <c r="A2753" t="s">
        <v>6494</v>
      </c>
      <c r="B2753" t="s">
        <v>6495</v>
      </c>
      <c r="C2753" t="s">
        <v>6494</v>
      </c>
      <c r="D2753">
        <v>4911</v>
      </c>
    </row>
    <row r="2754" spans="1:4">
      <c r="A2754" t="s">
        <v>6496</v>
      </c>
      <c r="B2754" t="s">
        <v>6497</v>
      </c>
      <c r="C2754" t="s">
        <v>6496</v>
      </c>
      <c r="D2754">
        <v>6022</v>
      </c>
    </row>
    <row r="2755" spans="1:4">
      <c r="A2755" t="s">
        <v>6498</v>
      </c>
      <c r="B2755" t="s">
        <v>6499</v>
      </c>
      <c r="C2755" t="s">
        <v>6498</v>
      </c>
      <c r="D2755">
        <v>3533</v>
      </c>
    </row>
    <row r="2756" spans="1:4">
      <c r="A2756" t="s">
        <v>6500</v>
      </c>
      <c r="B2756" t="s">
        <v>6501</v>
      </c>
      <c r="C2756" t="s">
        <v>6500</v>
      </c>
      <c r="D2756">
        <v>3990</v>
      </c>
    </row>
    <row r="2757" spans="1:4">
      <c r="A2757" t="s">
        <v>6502</v>
      </c>
      <c r="B2757" t="s">
        <v>6503</v>
      </c>
      <c r="C2757" t="s">
        <v>6502</v>
      </c>
      <c r="D2757">
        <v>7372</v>
      </c>
    </row>
    <row r="2758" spans="1:4">
      <c r="A2758" t="s">
        <v>6504</v>
      </c>
      <c r="B2758" t="s">
        <v>6505</v>
      </c>
      <c r="C2758" t="s">
        <v>6504</v>
      </c>
      <c r="D2758">
        <v>2844</v>
      </c>
    </row>
    <row r="2759" spans="1:4">
      <c r="A2759" t="s">
        <v>6506</v>
      </c>
      <c r="B2759" t="s">
        <v>6507</v>
      </c>
      <c r="C2759" t="s">
        <v>6506</v>
      </c>
      <c r="D2759">
        <v>4213</v>
      </c>
    </row>
    <row r="2760" spans="1:4">
      <c r="A2760" t="s">
        <v>6508</v>
      </c>
      <c r="B2760" t="s">
        <v>6509</v>
      </c>
      <c r="C2760" t="s">
        <v>6508</v>
      </c>
      <c r="D2760">
        <v>6021</v>
      </c>
    </row>
    <row r="2761" spans="1:4">
      <c r="A2761" t="s">
        <v>6510</v>
      </c>
      <c r="B2761" t="s">
        <v>6511</v>
      </c>
      <c r="C2761" t="s">
        <v>6510</v>
      </c>
      <c r="D2761">
        <v>6021</v>
      </c>
    </row>
    <row r="2762" spans="1:4">
      <c r="A2762" t="s">
        <v>6512</v>
      </c>
      <c r="B2762" t="s">
        <v>6513</v>
      </c>
      <c r="C2762" t="s">
        <v>6512</v>
      </c>
      <c r="D2762">
        <v>6351</v>
      </c>
    </row>
    <row r="2763" spans="1:4">
      <c r="A2763" t="s">
        <v>6514</v>
      </c>
      <c r="B2763" t="s">
        <v>6515</v>
      </c>
      <c r="C2763" t="s">
        <v>6514</v>
      </c>
      <c r="D2763">
        <v>6022</v>
      </c>
    </row>
    <row r="2764" spans="1:4">
      <c r="A2764" t="s">
        <v>6516</v>
      </c>
      <c r="B2764" t="s">
        <v>6517</v>
      </c>
      <c r="C2764" t="s">
        <v>6516</v>
      </c>
      <c r="D2764">
        <v>2800</v>
      </c>
    </row>
    <row r="2765" spans="1:4">
      <c r="A2765" t="s">
        <v>6518</v>
      </c>
      <c r="B2765" t="s">
        <v>6519</v>
      </c>
      <c r="C2765" t="s">
        <v>6518</v>
      </c>
      <c r="D2765">
        <v>5331</v>
      </c>
    </row>
    <row r="2766" spans="1:4">
      <c r="A2766" t="s">
        <v>6520</v>
      </c>
      <c r="B2766" t="s">
        <v>6521</v>
      </c>
      <c r="C2766" t="s">
        <v>6520</v>
      </c>
      <c r="D2766">
        <v>7389</v>
      </c>
    </row>
    <row r="2767" spans="1:4">
      <c r="A2767" t="s">
        <v>6522</v>
      </c>
      <c r="B2767" t="s">
        <v>6523</v>
      </c>
      <c r="C2767" t="s">
        <v>6522</v>
      </c>
      <c r="D2767">
        <v>5051</v>
      </c>
    </row>
    <row r="2768" spans="1:4">
      <c r="A2768" t="s">
        <v>6524</v>
      </c>
      <c r="B2768" t="s">
        <v>6525</v>
      </c>
      <c r="C2768" t="s">
        <v>6524</v>
      </c>
      <c r="D2768">
        <v>3430</v>
      </c>
    </row>
    <row r="2769" spans="1:4">
      <c r="A2769" t="s">
        <v>6526</v>
      </c>
      <c r="B2769" t="s">
        <v>6527</v>
      </c>
      <c r="C2769" t="s">
        <v>6526</v>
      </c>
      <c r="D2769">
        <v>6798</v>
      </c>
    </row>
    <row r="2770" spans="1:4">
      <c r="A2770" t="s">
        <v>6528</v>
      </c>
      <c r="B2770" t="s">
        <v>6529</v>
      </c>
      <c r="C2770" t="s">
        <v>6528</v>
      </c>
      <c r="D2770">
        <v>2834</v>
      </c>
    </row>
    <row r="2771" spans="1:4">
      <c r="A2771" t="s">
        <v>6530</v>
      </c>
      <c r="B2771" t="s">
        <v>6531</v>
      </c>
      <c r="C2771" t="s">
        <v>6530</v>
      </c>
      <c r="D2771">
        <v>7311</v>
      </c>
    </row>
    <row r="2772" spans="1:4">
      <c r="A2772" t="s">
        <v>6532</v>
      </c>
      <c r="B2772" t="s">
        <v>6533</v>
      </c>
      <c r="C2772" t="s">
        <v>6532</v>
      </c>
      <c r="D2772">
        <v>7373</v>
      </c>
    </row>
    <row r="2773" spans="1:4">
      <c r="A2773" t="s">
        <v>6534</v>
      </c>
      <c r="B2773" t="s">
        <v>6535</v>
      </c>
      <c r="C2773" t="s">
        <v>6534</v>
      </c>
      <c r="D2773">
        <v>3674</v>
      </c>
    </row>
    <row r="2774" spans="1:4">
      <c r="A2774" t="s">
        <v>6536</v>
      </c>
      <c r="B2774" t="s">
        <v>6537</v>
      </c>
      <c r="C2774" t="s">
        <v>6536</v>
      </c>
      <c r="D2774">
        <v>7372</v>
      </c>
    </row>
    <row r="2775" spans="1:4">
      <c r="A2775" t="s">
        <v>6538</v>
      </c>
      <c r="B2775" t="s">
        <v>6539</v>
      </c>
      <c r="C2775" t="s">
        <v>6538</v>
      </c>
      <c r="D2775">
        <v>2835</v>
      </c>
    </row>
    <row r="2776" spans="1:4">
      <c r="A2776" t="s">
        <v>6540</v>
      </c>
      <c r="B2776" t="s">
        <v>6541</v>
      </c>
      <c r="C2776" t="s">
        <v>6540</v>
      </c>
      <c r="D2776">
        <v>8011</v>
      </c>
    </row>
    <row r="2777" spans="1:4">
      <c r="A2777" t="s">
        <v>6542</v>
      </c>
      <c r="B2777" t="s">
        <v>6543</v>
      </c>
      <c r="C2777" t="s">
        <v>6542</v>
      </c>
      <c r="D2777">
        <v>2834</v>
      </c>
    </row>
    <row r="2778" spans="1:4">
      <c r="A2778" t="s">
        <v>6544</v>
      </c>
      <c r="B2778" t="s">
        <v>6545</v>
      </c>
      <c r="C2778" t="s">
        <v>6544</v>
      </c>
      <c r="D2778">
        <v>2834</v>
      </c>
    </row>
    <row r="2779" spans="1:4">
      <c r="A2779" t="s">
        <v>6546</v>
      </c>
      <c r="B2779" t="s">
        <v>6547</v>
      </c>
      <c r="C2779" t="s">
        <v>6546</v>
      </c>
      <c r="D2779">
        <v>3663</v>
      </c>
    </row>
    <row r="2780" spans="1:4">
      <c r="A2780" t="s">
        <v>6548</v>
      </c>
      <c r="B2780" t="s">
        <v>6549</v>
      </c>
      <c r="C2780" t="s">
        <v>6548</v>
      </c>
      <c r="D2780">
        <v>4924</v>
      </c>
    </row>
    <row r="2781" spans="1:4">
      <c r="A2781" t="s">
        <v>6550</v>
      </c>
      <c r="B2781" t="s">
        <v>6551</v>
      </c>
      <c r="C2781" t="s">
        <v>6550</v>
      </c>
      <c r="D2781">
        <v>5812</v>
      </c>
    </row>
    <row r="2782" spans="1:4">
      <c r="A2782" t="s">
        <v>6552</v>
      </c>
      <c r="B2782" t="s">
        <v>6553</v>
      </c>
      <c r="C2782" t="s">
        <v>6552</v>
      </c>
      <c r="D2782">
        <v>6798</v>
      </c>
    </row>
    <row r="2783" spans="1:4">
      <c r="A2783" t="s">
        <v>6554</v>
      </c>
      <c r="B2783" t="s">
        <v>6555</v>
      </c>
      <c r="C2783" t="s">
        <v>6554</v>
      </c>
      <c r="D2783">
        <v>3571</v>
      </c>
    </row>
    <row r="2784" spans="1:4">
      <c r="A2784" t="s">
        <v>6556</v>
      </c>
      <c r="B2784" t="s">
        <v>6557</v>
      </c>
      <c r="C2784" t="s">
        <v>6556</v>
      </c>
      <c r="D2784">
        <v>6141</v>
      </c>
    </row>
    <row r="2785" spans="1:4">
      <c r="A2785" t="s">
        <v>6558</v>
      </c>
      <c r="B2785" t="s">
        <v>6559</v>
      </c>
      <c r="C2785" t="s">
        <v>6558</v>
      </c>
      <c r="D2785">
        <v>4923</v>
      </c>
    </row>
    <row r="2786" spans="1:4">
      <c r="A2786" t="s">
        <v>6560</v>
      </c>
      <c r="B2786" t="s">
        <v>6561</v>
      </c>
      <c r="C2786" t="s">
        <v>6560</v>
      </c>
      <c r="D2786">
        <v>7373</v>
      </c>
    </row>
    <row r="2787" spans="1:4">
      <c r="A2787" t="s">
        <v>6562</v>
      </c>
      <c r="B2787" t="s">
        <v>6563</v>
      </c>
      <c r="C2787" t="s">
        <v>6562</v>
      </c>
      <c r="D2787">
        <v>7997</v>
      </c>
    </row>
    <row r="2788" spans="1:4">
      <c r="A2788" t="s">
        <v>6564</v>
      </c>
      <c r="B2788" t="s">
        <v>6565</v>
      </c>
      <c r="C2788" t="s">
        <v>6564</v>
      </c>
      <c r="D2788">
        <v>5531</v>
      </c>
    </row>
    <row r="2789" spans="1:4">
      <c r="A2789" t="s">
        <v>6566</v>
      </c>
      <c r="B2789" t="s">
        <v>6567</v>
      </c>
      <c r="C2789" t="s">
        <v>6566</v>
      </c>
      <c r="D2789">
        <v>3829</v>
      </c>
    </row>
    <row r="2790" spans="1:4">
      <c r="A2790" t="s">
        <v>6568</v>
      </c>
      <c r="B2790" t="s">
        <v>6569</v>
      </c>
      <c r="C2790" t="s">
        <v>6568</v>
      </c>
      <c r="D2790">
        <v>8090</v>
      </c>
    </row>
    <row r="2791" spans="1:4">
      <c r="A2791" t="s">
        <v>6570</v>
      </c>
      <c r="B2791" t="s">
        <v>6571</v>
      </c>
      <c r="C2791" t="s">
        <v>6570</v>
      </c>
      <c r="D2791">
        <v>7374</v>
      </c>
    </row>
    <row r="2792" spans="1:4">
      <c r="A2792" t="s">
        <v>6572</v>
      </c>
      <c r="B2792" t="s">
        <v>6573</v>
      </c>
      <c r="C2792" t="s">
        <v>6572</v>
      </c>
      <c r="D2792">
        <v>6022</v>
      </c>
    </row>
    <row r="2793" spans="1:4">
      <c r="A2793" t="s">
        <v>6574</v>
      </c>
      <c r="B2793" t="s">
        <v>6575</v>
      </c>
      <c r="C2793" t="s">
        <v>6574</v>
      </c>
      <c r="D2793">
        <v>6141</v>
      </c>
    </row>
    <row r="2794" spans="1:4">
      <c r="A2794" t="s">
        <v>6576</v>
      </c>
      <c r="B2794" t="s">
        <v>6577</v>
      </c>
      <c r="C2794" t="s">
        <v>6576</v>
      </c>
      <c r="D2794">
        <v>7373</v>
      </c>
    </row>
    <row r="2795" spans="1:4">
      <c r="A2795" t="s">
        <v>6578</v>
      </c>
      <c r="B2795" t="s">
        <v>6579</v>
      </c>
      <c r="C2795" t="s">
        <v>6578</v>
      </c>
      <c r="D2795">
        <v>6531</v>
      </c>
    </row>
    <row r="2796" spans="1:4">
      <c r="A2796" t="s">
        <v>6580</v>
      </c>
      <c r="B2796" t="s">
        <v>6581</v>
      </c>
      <c r="C2796" t="s">
        <v>6580</v>
      </c>
      <c r="D2796">
        <v>8071</v>
      </c>
    </row>
    <row r="2797" spans="1:4">
      <c r="A2797" t="s">
        <v>6582</v>
      </c>
      <c r="B2797" t="s">
        <v>6583</v>
      </c>
      <c r="C2797" t="s">
        <v>6582</v>
      </c>
      <c r="D2797">
        <v>2834</v>
      </c>
    </row>
    <row r="2798" spans="1:4">
      <c r="A2798" t="s">
        <v>6584</v>
      </c>
      <c r="B2798" t="s">
        <v>6585</v>
      </c>
      <c r="C2798" t="s">
        <v>6584</v>
      </c>
      <c r="D2798">
        <v>2834</v>
      </c>
    </row>
    <row r="2799" spans="1:4">
      <c r="A2799" t="s">
        <v>6586</v>
      </c>
      <c r="B2799" t="s">
        <v>6587</v>
      </c>
      <c r="C2799" t="s">
        <v>6586</v>
      </c>
      <c r="D2799">
        <v>6199</v>
      </c>
    </row>
    <row r="2800" spans="1:4">
      <c r="A2800" t="s">
        <v>6588</v>
      </c>
      <c r="B2800" t="s">
        <v>6589</v>
      </c>
      <c r="C2800" t="s">
        <v>6588</v>
      </c>
      <c r="D2800">
        <v>6211</v>
      </c>
    </row>
    <row r="2801" spans="1:4">
      <c r="A2801" t="s">
        <v>6590</v>
      </c>
      <c r="B2801" t="s">
        <v>6591</v>
      </c>
      <c r="C2801" t="s">
        <v>6590</v>
      </c>
      <c r="D2801">
        <v>6199</v>
      </c>
    </row>
    <row r="2802" spans="1:4">
      <c r="A2802" t="s">
        <v>6592</v>
      </c>
      <c r="B2802" t="s">
        <v>6593</v>
      </c>
      <c r="C2802" t="s">
        <v>6592</v>
      </c>
      <c r="D2802">
        <v>3827</v>
      </c>
    </row>
    <row r="2803" spans="1:4">
      <c r="A2803" t="s">
        <v>6594</v>
      </c>
      <c r="B2803" t="s">
        <v>6595</v>
      </c>
      <c r="C2803" t="s">
        <v>6594</v>
      </c>
      <c r="D2803">
        <v>3357</v>
      </c>
    </row>
    <row r="2804" spans="1:4">
      <c r="A2804" t="s">
        <v>6596</v>
      </c>
      <c r="B2804" t="s">
        <v>6597</v>
      </c>
      <c r="C2804" t="s">
        <v>6596</v>
      </c>
      <c r="D2804">
        <v>7389</v>
      </c>
    </row>
    <row r="2805" spans="1:4">
      <c r="A2805" t="s">
        <v>6598</v>
      </c>
      <c r="B2805" t="s">
        <v>6599</v>
      </c>
      <c r="C2805" t="s">
        <v>6598</v>
      </c>
      <c r="D2805">
        <v>6021</v>
      </c>
    </row>
    <row r="2806" spans="1:4">
      <c r="A2806" t="s">
        <v>6600</v>
      </c>
      <c r="B2806" t="s">
        <v>6601</v>
      </c>
      <c r="C2806" t="s">
        <v>6600</v>
      </c>
      <c r="D2806">
        <v>2834</v>
      </c>
    </row>
    <row r="2807" spans="1:4">
      <c r="A2807" t="s">
        <v>6602</v>
      </c>
      <c r="B2807" t="s">
        <v>6603</v>
      </c>
      <c r="C2807" t="s">
        <v>6602</v>
      </c>
      <c r="D2807">
        <v>8082</v>
      </c>
    </row>
    <row r="2808" spans="1:4">
      <c r="A2808" t="s">
        <v>6604</v>
      </c>
      <c r="B2808" t="s">
        <v>6605</v>
      </c>
      <c r="C2808" t="s">
        <v>6604</v>
      </c>
      <c r="D2808">
        <v>7372</v>
      </c>
    </row>
    <row r="2809" spans="1:4">
      <c r="A2809" t="s">
        <v>6606</v>
      </c>
      <c r="B2809" t="s">
        <v>6607</v>
      </c>
      <c r="C2809" t="s">
        <v>6606</v>
      </c>
      <c r="D2809">
        <v>2834</v>
      </c>
    </row>
    <row r="2810" spans="1:4">
      <c r="A2810" t="s">
        <v>6608</v>
      </c>
      <c r="B2810" t="s">
        <v>6609</v>
      </c>
      <c r="C2810" t="s">
        <v>6608</v>
      </c>
      <c r="D2810">
        <v>6022</v>
      </c>
    </row>
    <row r="2811" spans="1:4">
      <c r="A2811" t="s">
        <v>6610</v>
      </c>
      <c r="B2811" t="s">
        <v>6611</v>
      </c>
      <c r="C2811" t="s">
        <v>6610</v>
      </c>
      <c r="D2811">
        <v>3841</v>
      </c>
    </row>
    <row r="2812" spans="1:4">
      <c r="A2812" t="s">
        <v>6612</v>
      </c>
      <c r="B2812" t="s">
        <v>6613</v>
      </c>
      <c r="C2812" t="s">
        <v>6612</v>
      </c>
      <c r="D2812">
        <v>5065</v>
      </c>
    </row>
    <row r="2813" spans="1:4">
      <c r="A2813" t="s">
        <v>6614</v>
      </c>
      <c r="B2813" t="s">
        <v>6615</v>
      </c>
      <c r="C2813" t="s">
        <v>6614</v>
      </c>
      <c r="D2813">
        <v>2836</v>
      </c>
    </row>
    <row r="2814" spans="1:4">
      <c r="A2814" t="s">
        <v>6616</v>
      </c>
      <c r="B2814" t="s">
        <v>6617</v>
      </c>
      <c r="C2814" t="s">
        <v>6616</v>
      </c>
      <c r="D2814">
        <v>6798</v>
      </c>
    </row>
    <row r="2815" spans="1:4">
      <c r="A2815" t="s">
        <v>6618</v>
      </c>
      <c r="B2815" t="s">
        <v>6619</v>
      </c>
      <c r="C2815" t="s">
        <v>6618</v>
      </c>
      <c r="D2815">
        <v>2834</v>
      </c>
    </row>
    <row r="2816" spans="1:4">
      <c r="A2816" t="s">
        <v>6620</v>
      </c>
      <c r="B2816" t="s">
        <v>6621</v>
      </c>
      <c r="C2816" t="s">
        <v>6620</v>
      </c>
      <c r="D2816">
        <v>2834</v>
      </c>
    </row>
    <row r="2817" spans="1:4">
      <c r="A2817" t="s">
        <v>6622</v>
      </c>
      <c r="B2817" t="s">
        <v>6623</v>
      </c>
      <c r="C2817" t="s">
        <v>6622</v>
      </c>
      <c r="D2817">
        <v>2834</v>
      </c>
    </row>
    <row r="2818" spans="1:4">
      <c r="A2818" t="s">
        <v>6624</v>
      </c>
      <c r="B2818" t="s">
        <v>6625</v>
      </c>
      <c r="C2818" t="s">
        <v>6624</v>
      </c>
      <c r="D2818">
        <v>7380</v>
      </c>
    </row>
    <row r="2819" spans="1:4">
      <c r="A2819" t="s">
        <v>6626</v>
      </c>
      <c r="B2819" t="s">
        <v>6627</v>
      </c>
      <c r="C2819" t="s">
        <v>6626</v>
      </c>
      <c r="D2819">
        <v>100</v>
      </c>
    </row>
    <row r="2820" spans="1:4">
      <c r="A2820" t="s">
        <v>6628</v>
      </c>
      <c r="B2820" t="s">
        <v>6629</v>
      </c>
      <c r="C2820" t="s">
        <v>6628</v>
      </c>
      <c r="D2820">
        <v>6022</v>
      </c>
    </row>
    <row r="2821" spans="1:4">
      <c r="A2821" t="s">
        <v>6630</v>
      </c>
      <c r="B2821" t="s">
        <v>6631</v>
      </c>
      <c r="C2821" t="s">
        <v>6630</v>
      </c>
      <c r="D2821">
        <v>3640</v>
      </c>
    </row>
    <row r="2822" spans="1:4">
      <c r="A2822" t="s">
        <v>6632</v>
      </c>
      <c r="B2822" t="s">
        <v>6633</v>
      </c>
      <c r="C2822" t="s">
        <v>6632</v>
      </c>
      <c r="D2822">
        <v>2890</v>
      </c>
    </row>
    <row r="2823" spans="1:4">
      <c r="A2823" t="s">
        <v>6634</v>
      </c>
      <c r="B2823" t="s">
        <v>6635</v>
      </c>
      <c r="C2823" t="s">
        <v>6634</v>
      </c>
      <c r="D2823">
        <v>1600</v>
      </c>
    </row>
    <row r="2824" spans="1:4">
      <c r="A2824" t="s">
        <v>6636</v>
      </c>
      <c r="B2824" t="s">
        <v>6637</v>
      </c>
      <c r="C2824" t="s">
        <v>6636</v>
      </c>
      <c r="D2824">
        <v>6798</v>
      </c>
    </row>
    <row r="2825" spans="1:4">
      <c r="A2825" t="s">
        <v>6638</v>
      </c>
      <c r="B2825" t="s">
        <v>6639</v>
      </c>
      <c r="C2825" t="s">
        <v>6638</v>
      </c>
      <c r="D2825">
        <v>4911</v>
      </c>
    </row>
    <row r="2826" spans="1:4">
      <c r="A2826" t="s">
        <v>6640</v>
      </c>
      <c r="B2826" t="s">
        <v>6641</v>
      </c>
      <c r="C2826" t="s">
        <v>6640</v>
      </c>
      <c r="D2826">
        <v>6022</v>
      </c>
    </row>
    <row r="2827" spans="1:4">
      <c r="A2827" t="s">
        <v>6642</v>
      </c>
      <c r="B2827" t="s">
        <v>6643</v>
      </c>
      <c r="C2827" t="s">
        <v>6642</v>
      </c>
      <c r="D2827">
        <v>3841</v>
      </c>
    </row>
    <row r="2828" spans="1:4">
      <c r="A2828" t="s">
        <v>6644</v>
      </c>
      <c r="B2828" t="s">
        <v>6645</v>
      </c>
      <c r="C2828" t="s">
        <v>6644</v>
      </c>
      <c r="D2828">
        <v>3841</v>
      </c>
    </row>
    <row r="2829" spans="1:4">
      <c r="A2829" t="s">
        <v>6646</v>
      </c>
      <c r="B2829" t="s">
        <v>6647</v>
      </c>
      <c r="C2829" t="s">
        <v>6646</v>
      </c>
      <c r="D2829">
        <v>6324</v>
      </c>
    </row>
    <row r="2830" spans="1:4">
      <c r="A2830" t="s">
        <v>6648</v>
      </c>
      <c r="B2830" t="s">
        <v>6649</v>
      </c>
      <c r="C2830" t="s">
        <v>6648</v>
      </c>
      <c r="D2830">
        <v>3711</v>
      </c>
    </row>
    <row r="2831" spans="1:4">
      <c r="A2831" t="s">
        <v>6650</v>
      </c>
      <c r="B2831" t="s">
        <v>6651</v>
      </c>
      <c r="C2831" t="s">
        <v>6650</v>
      </c>
      <c r="D2831">
        <v>3674</v>
      </c>
    </row>
    <row r="2832" spans="1:4">
      <c r="A2832" t="s">
        <v>6652</v>
      </c>
      <c r="B2832" t="s">
        <v>6653</v>
      </c>
      <c r="C2832" t="s">
        <v>6652</v>
      </c>
      <c r="D2832">
        <v>3600</v>
      </c>
    </row>
    <row r="2833" spans="1:4">
      <c r="A2833" t="s">
        <v>6654</v>
      </c>
      <c r="B2833" t="s">
        <v>6655</v>
      </c>
      <c r="C2833" t="s">
        <v>6654</v>
      </c>
      <c r="D2833">
        <v>7372</v>
      </c>
    </row>
    <row r="2834" spans="1:4">
      <c r="A2834" t="s">
        <v>6656</v>
      </c>
      <c r="B2834" t="s">
        <v>6657</v>
      </c>
      <c r="C2834" t="s">
        <v>6656</v>
      </c>
      <c r="D2834">
        <v>2834</v>
      </c>
    </row>
    <row r="2835" spans="1:4">
      <c r="A2835" t="s">
        <v>6658</v>
      </c>
      <c r="B2835" t="s">
        <v>6659</v>
      </c>
      <c r="C2835" t="s">
        <v>6658</v>
      </c>
      <c r="D2835">
        <v>4911</v>
      </c>
    </row>
    <row r="2836" spans="1:4">
      <c r="A2836" t="s">
        <v>6660</v>
      </c>
      <c r="B2836" t="s">
        <v>6661</v>
      </c>
      <c r="C2836" t="s">
        <v>6660</v>
      </c>
      <c r="D2836">
        <v>3569</v>
      </c>
    </row>
    <row r="2837" spans="1:4">
      <c r="A2837" t="s">
        <v>6662</v>
      </c>
      <c r="B2837" t="s">
        <v>6663</v>
      </c>
      <c r="C2837" t="s">
        <v>6662</v>
      </c>
      <c r="D2837">
        <v>7370</v>
      </c>
    </row>
    <row r="2838" spans="1:4">
      <c r="A2838" t="s">
        <v>6664</v>
      </c>
      <c r="B2838" t="s">
        <v>6665</v>
      </c>
      <c r="C2838" t="s">
        <v>6664</v>
      </c>
      <c r="D2838">
        <v>6798</v>
      </c>
    </row>
    <row r="2839" spans="1:4">
      <c r="A2839" t="s">
        <v>6666</v>
      </c>
      <c r="B2839" t="s">
        <v>6667</v>
      </c>
      <c r="C2839" t="s">
        <v>6666</v>
      </c>
      <c r="D2839">
        <v>3845</v>
      </c>
    </row>
    <row r="2840" spans="1:4">
      <c r="A2840" t="s">
        <v>6668</v>
      </c>
      <c r="B2840" t="s">
        <v>6669</v>
      </c>
      <c r="C2840" t="s">
        <v>6668</v>
      </c>
      <c r="D2840">
        <v>4412</v>
      </c>
    </row>
    <row r="2841" spans="1:4">
      <c r="A2841" t="s">
        <v>6670</v>
      </c>
      <c r="B2841" t="s">
        <v>6671</v>
      </c>
      <c r="C2841" t="s">
        <v>6670</v>
      </c>
      <c r="D2841">
        <v>5961</v>
      </c>
    </row>
    <row r="2842" spans="1:4">
      <c r="A2842" t="s">
        <v>6672</v>
      </c>
      <c r="B2842" t="s">
        <v>6673</v>
      </c>
      <c r="C2842" t="s">
        <v>6672</v>
      </c>
      <c r="D2842">
        <v>2834</v>
      </c>
    </row>
    <row r="2843" spans="1:4">
      <c r="A2843" t="s">
        <v>6674</v>
      </c>
      <c r="B2843" t="s">
        <v>6675</v>
      </c>
      <c r="C2843" t="s">
        <v>6674</v>
      </c>
      <c r="D2843">
        <v>1311</v>
      </c>
    </row>
    <row r="2844" spans="1:4">
      <c r="A2844" t="s">
        <v>6676</v>
      </c>
      <c r="B2844" t="s">
        <v>6677</v>
      </c>
      <c r="C2844" t="s">
        <v>6676</v>
      </c>
      <c r="D2844">
        <v>5047</v>
      </c>
    </row>
    <row r="2845" spans="1:4">
      <c r="A2845" t="s">
        <v>6678</v>
      </c>
      <c r="B2845" t="s">
        <v>6679</v>
      </c>
      <c r="C2845" t="s">
        <v>6678</v>
      </c>
      <c r="D2845">
        <v>3290</v>
      </c>
    </row>
    <row r="2846" spans="1:4">
      <c r="A2846" t="s">
        <v>6680</v>
      </c>
      <c r="B2846" t="s">
        <v>6681</v>
      </c>
      <c r="C2846" t="s">
        <v>6680</v>
      </c>
      <c r="D2846">
        <v>3829</v>
      </c>
    </row>
    <row r="2847" spans="1:4">
      <c r="A2847" t="s">
        <v>6682</v>
      </c>
      <c r="B2847" t="s">
        <v>6683</v>
      </c>
      <c r="C2847" t="s">
        <v>6682</v>
      </c>
      <c r="D2847">
        <v>2320</v>
      </c>
    </row>
    <row r="2848" spans="1:4">
      <c r="A2848" t="s">
        <v>6684</v>
      </c>
      <c r="B2848" t="s">
        <v>6685</v>
      </c>
      <c r="C2848" t="s">
        <v>6684</v>
      </c>
      <c r="D2848">
        <v>3540</v>
      </c>
    </row>
    <row r="2849" spans="1:4">
      <c r="A2849" t="s">
        <v>6686</v>
      </c>
      <c r="B2849" t="s">
        <v>6687</v>
      </c>
      <c r="C2849" t="s">
        <v>6686</v>
      </c>
      <c r="D2849">
        <v>6282</v>
      </c>
    </row>
    <row r="2850" spans="1:4">
      <c r="A2850" t="s">
        <v>6688</v>
      </c>
      <c r="B2850" t="s">
        <v>6689</v>
      </c>
      <c r="C2850" t="s">
        <v>6688</v>
      </c>
      <c r="D2850">
        <v>3711</v>
      </c>
    </row>
    <row r="2851" spans="1:4">
      <c r="A2851" t="s">
        <v>6690</v>
      </c>
      <c r="B2851" t="s">
        <v>6691</v>
      </c>
      <c r="C2851" t="s">
        <v>6690</v>
      </c>
      <c r="D2851">
        <v>3826</v>
      </c>
    </row>
    <row r="2852" spans="1:4">
      <c r="A2852" t="s">
        <v>6692</v>
      </c>
      <c r="B2852" t="s">
        <v>6693</v>
      </c>
      <c r="C2852" t="s">
        <v>6692</v>
      </c>
      <c r="D2852">
        <v>4955</v>
      </c>
    </row>
    <row r="2853" spans="1:4">
      <c r="A2853" t="s">
        <v>6694</v>
      </c>
      <c r="B2853" t="s">
        <v>6695</v>
      </c>
      <c r="C2853" t="s">
        <v>6694</v>
      </c>
      <c r="D2853">
        <v>8090</v>
      </c>
    </row>
    <row r="2854" spans="1:4">
      <c r="A2854" t="s">
        <v>6696</v>
      </c>
      <c r="B2854" t="s">
        <v>6697</v>
      </c>
      <c r="C2854" t="s">
        <v>6696</v>
      </c>
      <c r="D2854">
        <v>6798</v>
      </c>
    </row>
    <row r="2855" spans="1:4">
      <c r="A2855" t="s">
        <v>6698</v>
      </c>
      <c r="B2855" t="s">
        <v>6699</v>
      </c>
      <c r="C2855" t="s">
        <v>6698</v>
      </c>
      <c r="D2855">
        <v>6022</v>
      </c>
    </row>
    <row r="2856" spans="1:4">
      <c r="A2856" t="s">
        <v>6700</v>
      </c>
      <c r="B2856" t="s">
        <v>6701</v>
      </c>
      <c r="C2856" t="s">
        <v>6700</v>
      </c>
      <c r="D2856">
        <v>2834</v>
      </c>
    </row>
    <row r="2857" spans="1:4">
      <c r="A2857" t="s">
        <v>6702</v>
      </c>
      <c r="B2857" t="s">
        <v>6703</v>
      </c>
      <c r="C2857" t="s">
        <v>6702</v>
      </c>
      <c r="D2857">
        <v>2650</v>
      </c>
    </row>
    <row r="2858" spans="1:4">
      <c r="A2858" t="s">
        <v>6704</v>
      </c>
      <c r="B2858" t="s">
        <v>6705</v>
      </c>
      <c r="C2858" t="s">
        <v>6704</v>
      </c>
      <c r="D2858">
        <v>2673</v>
      </c>
    </row>
    <row r="2859" spans="1:4">
      <c r="A2859" t="s">
        <v>6706</v>
      </c>
      <c r="B2859" t="s">
        <v>6707</v>
      </c>
      <c r="C2859" t="s">
        <v>6706</v>
      </c>
      <c r="D2859">
        <v>6021</v>
      </c>
    </row>
    <row r="2860" spans="1:4">
      <c r="A2860" t="s">
        <v>6708</v>
      </c>
      <c r="B2860" t="s">
        <v>6709</v>
      </c>
      <c r="C2860" t="s">
        <v>6708</v>
      </c>
      <c r="D2860">
        <v>7372</v>
      </c>
    </row>
    <row r="2861" spans="1:4">
      <c r="A2861" t="s">
        <v>6710</v>
      </c>
      <c r="B2861" t="s">
        <v>6711</v>
      </c>
      <c r="C2861" t="s">
        <v>6710</v>
      </c>
      <c r="D2861">
        <v>7372</v>
      </c>
    </row>
    <row r="2862" spans="1:4">
      <c r="A2862" t="s">
        <v>6712</v>
      </c>
      <c r="B2862" t="s">
        <v>6713</v>
      </c>
      <c r="C2862" t="s">
        <v>6712</v>
      </c>
      <c r="D2862">
        <v>2834</v>
      </c>
    </row>
    <row r="2863" spans="1:4">
      <c r="A2863" t="s">
        <v>6714</v>
      </c>
      <c r="B2863" t="s">
        <v>6715</v>
      </c>
      <c r="C2863" t="s">
        <v>6714</v>
      </c>
      <c r="D2863">
        <v>3577</v>
      </c>
    </row>
    <row r="2864" spans="1:4">
      <c r="A2864" t="s">
        <v>6716</v>
      </c>
      <c r="B2864" t="s">
        <v>6717</v>
      </c>
      <c r="C2864" t="s">
        <v>6716</v>
      </c>
      <c r="D2864">
        <v>6331</v>
      </c>
    </row>
    <row r="2865" spans="1:4">
      <c r="A2865" t="s">
        <v>6718</v>
      </c>
      <c r="B2865" t="s">
        <v>6719</v>
      </c>
      <c r="C2865" t="s">
        <v>6718</v>
      </c>
      <c r="D2865">
        <v>7389</v>
      </c>
    </row>
    <row r="2866" spans="1:4">
      <c r="A2866" t="s">
        <v>6720</v>
      </c>
      <c r="B2866" t="s">
        <v>6721</v>
      </c>
      <c r="C2866" t="s">
        <v>6720</v>
      </c>
      <c r="D2866">
        <v>4213</v>
      </c>
    </row>
    <row r="2867" spans="1:4">
      <c r="A2867" t="s">
        <v>6722</v>
      </c>
      <c r="B2867" t="s">
        <v>6723</v>
      </c>
      <c r="C2867" t="s">
        <v>6722</v>
      </c>
      <c r="D2867">
        <v>4412</v>
      </c>
    </row>
    <row r="2868" spans="1:4">
      <c r="A2868" t="s">
        <v>6724</v>
      </c>
      <c r="B2868" t="s">
        <v>6725</v>
      </c>
      <c r="C2868" t="s">
        <v>6724</v>
      </c>
      <c r="D2868">
        <v>5812</v>
      </c>
    </row>
    <row r="2869" spans="1:4">
      <c r="A2869" t="s">
        <v>6726</v>
      </c>
      <c r="B2869" t="s">
        <v>6727</v>
      </c>
      <c r="C2869" t="s">
        <v>6726</v>
      </c>
      <c r="D2869">
        <v>1311</v>
      </c>
    </row>
    <row r="2870" spans="1:4">
      <c r="A2870" t="s">
        <v>6728</v>
      </c>
      <c r="B2870" t="s">
        <v>6729</v>
      </c>
      <c r="C2870" t="s">
        <v>6728</v>
      </c>
      <c r="D2870">
        <v>3578</v>
      </c>
    </row>
    <row r="2871" spans="1:4">
      <c r="A2871" t="s">
        <v>6730</v>
      </c>
      <c r="B2871" t="s">
        <v>6731</v>
      </c>
      <c r="C2871" t="s">
        <v>6730</v>
      </c>
      <c r="D2871">
        <v>3841</v>
      </c>
    </row>
    <row r="2872" spans="1:4">
      <c r="A2872" t="s">
        <v>6732</v>
      </c>
      <c r="B2872" t="s">
        <v>6733</v>
      </c>
      <c r="C2872" t="s">
        <v>6732</v>
      </c>
      <c r="D2872">
        <v>1000</v>
      </c>
    </row>
    <row r="2873" spans="1:4">
      <c r="A2873" t="s">
        <v>6734</v>
      </c>
      <c r="B2873" t="s">
        <v>6735</v>
      </c>
      <c r="C2873" t="s">
        <v>6734</v>
      </c>
      <c r="D2873">
        <v>6798</v>
      </c>
    </row>
    <row r="2874" spans="1:4">
      <c r="A2874" t="s">
        <v>6736</v>
      </c>
      <c r="B2874" t="s">
        <v>6737</v>
      </c>
      <c r="C2874" t="s">
        <v>6736</v>
      </c>
      <c r="D2874">
        <v>2834</v>
      </c>
    </row>
    <row r="2875" spans="1:4">
      <c r="A2875" t="s">
        <v>6738</v>
      </c>
      <c r="B2875" t="s">
        <v>6739</v>
      </c>
      <c r="C2875" t="s">
        <v>6738</v>
      </c>
      <c r="D2875">
        <v>3728</v>
      </c>
    </row>
    <row r="2876" spans="1:4">
      <c r="A2876" t="s">
        <v>6740</v>
      </c>
      <c r="B2876" t="s">
        <v>6741</v>
      </c>
      <c r="C2876" t="s">
        <v>6740</v>
      </c>
      <c r="D2876">
        <v>7374</v>
      </c>
    </row>
    <row r="2877" spans="1:4">
      <c r="A2877" t="s">
        <v>6742</v>
      </c>
      <c r="B2877" t="s">
        <v>6743</v>
      </c>
      <c r="C2877" t="s">
        <v>6742</v>
      </c>
      <c r="D2877">
        <v>7011</v>
      </c>
    </row>
    <row r="2878" spans="1:4">
      <c r="A2878" t="s">
        <v>6744</v>
      </c>
      <c r="B2878" t="s">
        <v>6745</v>
      </c>
      <c r="C2878" t="s">
        <v>6744</v>
      </c>
      <c r="D2878">
        <v>6021</v>
      </c>
    </row>
    <row r="2879" spans="1:4">
      <c r="A2879" t="s">
        <v>6746</v>
      </c>
      <c r="B2879" t="s">
        <v>6747</v>
      </c>
      <c r="C2879" t="s">
        <v>6746</v>
      </c>
      <c r="D2879">
        <v>3460</v>
      </c>
    </row>
    <row r="2880" spans="1:4">
      <c r="A2880" t="s">
        <v>6748</v>
      </c>
      <c r="B2880" t="s">
        <v>6749</v>
      </c>
      <c r="C2880" t="s">
        <v>6748</v>
      </c>
      <c r="D2880">
        <v>6022</v>
      </c>
    </row>
    <row r="2881" spans="1:4">
      <c r="A2881" t="s">
        <v>6750</v>
      </c>
      <c r="B2881" t="s">
        <v>6751</v>
      </c>
      <c r="C2881" t="s">
        <v>6750</v>
      </c>
      <c r="D2881">
        <v>3490</v>
      </c>
    </row>
    <row r="2882" spans="1:4">
      <c r="A2882" t="s">
        <v>6752</v>
      </c>
      <c r="B2882" t="s">
        <v>6753</v>
      </c>
      <c r="C2882" t="s">
        <v>6752</v>
      </c>
      <c r="D2882">
        <v>7990</v>
      </c>
    </row>
    <row r="2883" spans="1:4">
      <c r="A2883" t="s">
        <v>6754</v>
      </c>
      <c r="B2883" t="s">
        <v>6755</v>
      </c>
      <c r="C2883" t="s">
        <v>6754</v>
      </c>
      <c r="D2883">
        <v>6022</v>
      </c>
    </row>
    <row r="2884" spans="1:4">
      <c r="A2884" t="s">
        <v>6756</v>
      </c>
      <c r="B2884" t="s">
        <v>6757</v>
      </c>
      <c r="C2884" t="s">
        <v>6756</v>
      </c>
      <c r="D2884">
        <v>7373</v>
      </c>
    </row>
    <row r="2885" spans="1:4">
      <c r="A2885" t="s">
        <v>6758</v>
      </c>
      <c r="B2885" t="s">
        <v>6759</v>
      </c>
      <c r="C2885" t="s">
        <v>6758</v>
      </c>
      <c r="D2885">
        <v>6022</v>
      </c>
    </row>
    <row r="2886" spans="1:4">
      <c r="A2886" t="s">
        <v>6760</v>
      </c>
      <c r="B2886" t="s">
        <v>6761</v>
      </c>
      <c r="C2886" t="s">
        <v>6760</v>
      </c>
      <c r="D2886">
        <v>7311</v>
      </c>
    </row>
    <row r="2887" spans="1:4">
      <c r="A2887" t="s">
        <v>6762</v>
      </c>
      <c r="B2887" t="s">
        <v>6763</v>
      </c>
      <c r="C2887" t="s">
        <v>6762</v>
      </c>
      <c r="D2887">
        <v>5900</v>
      </c>
    </row>
    <row r="2888" spans="1:4">
      <c r="A2888" t="s">
        <v>6764</v>
      </c>
      <c r="B2888" t="s">
        <v>6765</v>
      </c>
      <c r="C2888" t="s">
        <v>6764</v>
      </c>
      <c r="D2888">
        <v>6022</v>
      </c>
    </row>
    <row r="2889" spans="1:4">
      <c r="A2889" t="s">
        <v>6766</v>
      </c>
      <c r="B2889" t="s">
        <v>6767</v>
      </c>
      <c r="C2889" t="s">
        <v>6766</v>
      </c>
      <c r="D2889">
        <v>3714</v>
      </c>
    </row>
    <row r="2890" spans="1:4">
      <c r="A2890" t="s">
        <v>6768</v>
      </c>
      <c r="B2890" t="s">
        <v>6769</v>
      </c>
      <c r="C2890" t="s">
        <v>6768</v>
      </c>
      <c r="D2890">
        <v>6021</v>
      </c>
    </row>
    <row r="2891" spans="1:4">
      <c r="A2891" t="s">
        <v>6770</v>
      </c>
      <c r="B2891" t="s">
        <v>6771</v>
      </c>
      <c r="C2891" t="s">
        <v>6770</v>
      </c>
      <c r="D2891">
        <v>4210</v>
      </c>
    </row>
    <row r="2892" spans="1:4">
      <c r="A2892" t="s">
        <v>6772</v>
      </c>
      <c r="B2892" t="s">
        <v>6773</v>
      </c>
      <c r="C2892" t="s">
        <v>6772</v>
      </c>
      <c r="D2892">
        <v>5047</v>
      </c>
    </row>
    <row r="2893" spans="1:4">
      <c r="A2893" t="s">
        <v>6774</v>
      </c>
      <c r="B2893" t="s">
        <v>6775</v>
      </c>
      <c r="C2893" t="s">
        <v>6774</v>
      </c>
      <c r="D2893">
        <v>1381</v>
      </c>
    </row>
    <row r="2894" spans="1:4">
      <c r="A2894" t="s">
        <v>6776</v>
      </c>
      <c r="B2894" t="s">
        <v>6777</v>
      </c>
      <c r="C2894" t="s">
        <v>6776</v>
      </c>
      <c r="D2894">
        <v>7389</v>
      </c>
    </row>
    <row r="2895" spans="1:4">
      <c r="A2895" t="s">
        <v>6778</v>
      </c>
      <c r="B2895" t="s">
        <v>6779</v>
      </c>
      <c r="C2895" t="s">
        <v>6778</v>
      </c>
      <c r="D2895">
        <v>8700</v>
      </c>
    </row>
    <row r="2896" spans="1:4">
      <c r="A2896" t="s">
        <v>6780</v>
      </c>
      <c r="B2896" t="s">
        <v>6781</v>
      </c>
      <c r="C2896" t="s">
        <v>6780</v>
      </c>
      <c r="D2896">
        <v>7372</v>
      </c>
    </row>
    <row r="2897" spans="1:4">
      <c r="A2897" t="s">
        <v>6782</v>
      </c>
      <c r="B2897" t="s">
        <v>6783</v>
      </c>
      <c r="C2897" t="s">
        <v>6782</v>
      </c>
      <c r="D2897">
        <v>7372</v>
      </c>
    </row>
    <row r="2898" spans="1:4">
      <c r="A2898" t="s">
        <v>6784</v>
      </c>
      <c r="B2898" t="s">
        <v>6785</v>
      </c>
      <c r="C2898" t="s">
        <v>6784</v>
      </c>
      <c r="D2898">
        <v>7372</v>
      </c>
    </row>
    <row r="2899" spans="1:4">
      <c r="A2899" t="s">
        <v>6786</v>
      </c>
      <c r="B2899" t="s">
        <v>6787</v>
      </c>
      <c r="C2899" t="s">
        <v>6786</v>
      </c>
      <c r="D2899">
        <v>7389</v>
      </c>
    </row>
    <row r="2900" spans="1:4">
      <c r="A2900" t="s">
        <v>6788</v>
      </c>
      <c r="B2900" t="s">
        <v>6789</v>
      </c>
      <c r="C2900" t="s">
        <v>6788</v>
      </c>
      <c r="D2900">
        <v>7389</v>
      </c>
    </row>
    <row r="2901" spans="1:4">
      <c r="A2901" t="s">
        <v>6790</v>
      </c>
      <c r="B2901" t="s">
        <v>6791</v>
      </c>
      <c r="C2901" t="s">
        <v>6790</v>
      </c>
      <c r="D2901">
        <v>7389</v>
      </c>
    </row>
    <row r="2902" spans="1:4">
      <c r="A2902" t="s">
        <v>6792</v>
      </c>
      <c r="B2902" t="s">
        <v>6793</v>
      </c>
      <c r="C2902" t="s">
        <v>6792</v>
      </c>
      <c r="D2902">
        <v>7389</v>
      </c>
    </row>
    <row r="2903" spans="1:4">
      <c r="A2903" t="s">
        <v>6794</v>
      </c>
      <c r="B2903" t="s">
        <v>6795</v>
      </c>
      <c r="C2903" t="s">
        <v>6794</v>
      </c>
      <c r="D2903">
        <v>7389</v>
      </c>
    </row>
    <row r="2904" spans="1:4">
      <c r="A2904" t="s">
        <v>6796</v>
      </c>
      <c r="B2904" t="s">
        <v>6797</v>
      </c>
      <c r="C2904" t="s">
        <v>6796</v>
      </c>
      <c r="D2904">
        <v>6036</v>
      </c>
    </row>
    <row r="2905" spans="1:4">
      <c r="A2905" t="s">
        <v>6798</v>
      </c>
      <c r="B2905" t="s">
        <v>6799</v>
      </c>
      <c r="C2905" t="s">
        <v>6798</v>
      </c>
      <c r="D2905">
        <v>2911</v>
      </c>
    </row>
    <row r="2906" spans="1:4">
      <c r="A2906" t="s">
        <v>6800</v>
      </c>
      <c r="B2906" t="s">
        <v>6801</v>
      </c>
      <c r="C2906" t="s">
        <v>6800</v>
      </c>
      <c r="D2906">
        <v>4610</v>
      </c>
    </row>
    <row r="2907" spans="1:4">
      <c r="A2907" t="s">
        <v>6802</v>
      </c>
      <c r="B2907" t="s">
        <v>6803</v>
      </c>
      <c r="C2907" t="s">
        <v>6802</v>
      </c>
      <c r="D2907">
        <v>5961</v>
      </c>
    </row>
    <row r="2908" spans="1:4">
      <c r="A2908" t="s">
        <v>6804</v>
      </c>
      <c r="B2908" t="s">
        <v>6805</v>
      </c>
      <c r="C2908" t="s">
        <v>6804</v>
      </c>
      <c r="D2908">
        <v>3663</v>
      </c>
    </row>
    <row r="2909" spans="1:4">
      <c r="A2909" t="s">
        <v>6806</v>
      </c>
      <c r="B2909" t="s">
        <v>6807</v>
      </c>
      <c r="C2909" t="s">
        <v>6806</v>
      </c>
      <c r="D2909">
        <v>6022</v>
      </c>
    </row>
    <row r="2910" spans="1:4">
      <c r="A2910" t="s">
        <v>6808</v>
      </c>
      <c r="B2910" t="s">
        <v>6809</v>
      </c>
      <c r="C2910" t="s">
        <v>6808</v>
      </c>
      <c r="D2910">
        <v>6036</v>
      </c>
    </row>
    <row r="2911" spans="1:4">
      <c r="A2911" t="s">
        <v>6810</v>
      </c>
      <c r="B2911" t="s">
        <v>6811</v>
      </c>
      <c r="C2911" t="s">
        <v>6810</v>
      </c>
      <c r="D2911">
        <v>1311</v>
      </c>
    </row>
    <row r="2912" spans="1:4">
      <c r="A2912" t="s">
        <v>6812</v>
      </c>
      <c r="B2912" t="s">
        <v>6813</v>
      </c>
      <c r="C2912" t="s">
        <v>6812</v>
      </c>
      <c r="D2912">
        <v>7372</v>
      </c>
    </row>
    <row r="2913" spans="1:4">
      <c r="A2913" t="s">
        <v>6814</v>
      </c>
      <c r="B2913" t="s">
        <v>6815</v>
      </c>
      <c r="C2913" t="s">
        <v>6814</v>
      </c>
      <c r="D2913">
        <v>1221</v>
      </c>
    </row>
    <row r="2914" spans="1:4">
      <c r="A2914" t="s">
        <v>6816</v>
      </c>
      <c r="B2914" t="s">
        <v>6817</v>
      </c>
      <c r="C2914" t="s">
        <v>6816</v>
      </c>
      <c r="D2914">
        <v>6029</v>
      </c>
    </row>
    <row r="2915" spans="1:4">
      <c r="A2915" t="s">
        <v>6818</v>
      </c>
      <c r="B2915" t="s">
        <v>6819</v>
      </c>
      <c r="C2915" t="s">
        <v>6818</v>
      </c>
      <c r="D2915">
        <v>8000</v>
      </c>
    </row>
    <row r="2916" spans="1:4">
      <c r="A2916" t="s">
        <v>6820</v>
      </c>
      <c r="B2916" t="s">
        <v>6821</v>
      </c>
      <c r="C2916" t="s">
        <v>6820</v>
      </c>
      <c r="D2916">
        <v>6798</v>
      </c>
    </row>
    <row r="2917" spans="1:4">
      <c r="A2917" t="s">
        <v>6822</v>
      </c>
      <c r="B2917" t="s">
        <v>6823</v>
      </c>
      <c r="C2917" t="s">
        <v>6822</v>
      </c>
      <c r="D2917">
        <v>1311</v>
      </c>
    </row>
    <row r="2918" spans="1:4">
      <c r="A2918" t="s">
        <v>6824</v>
      </c>
      <c r="B2918" t="s">
        <v>6825</v>
      </c>
      <c r="C2918" t="s">
        <v>6824</v>
      </c>
      <c r="D2918">
        <v>7374</v>
      </c>
    </row>
    <row r="2919" spans="1:4">
      <c r="A2919" t="s">
        <v>6826</v>
      </c>
      <c r="B2919" t="s">
        <v>6827</v>
      </c>
      <c r="C2919" t="s">
        <v>6826</v>
      </c>
      <c r="D2919">
        <v>3949</v>
      </c>
    </row>
    <row r="2920" spans="1:4">
      <c r="A2920" t="s">
        <v>6828</v>
      </c>
      <c r="B2920" t="s">
        <v>6829</v>
      </c>
      <c r="C2920" t="s">
        <v>6828</v>
      </c>
      <c r="D2920">
        <v>7011</v>
      </c>
    </row>
    <row r="2921" spans="1:4">
      <c r="A2921" t="s">
        <v>6830</v>
      </c>
      <c r="B2921" t="s">
        <v>6831</v>
      </c>
      <c r="C2921" t="s">
        <v>6830</v>
      </c>
      <c r="D2921">
        <v>8000</v>
      </c>
    </row>
    <row r="2922" spans="1:4">
      <c r="A2922" t="s">
        <v>6832</v>
      </c>
      <c r="B2922" t="s">
        <v>6833</v>
      </c>
      <c r="C2922" t="s">
        <v>6832</v>
      </c>
      <c r="D2922">
        <v>6022</v>
      </c>
    </row>
    <row r="2923" spans="1:4">
      <c r="A2923" t="s">
        <v>6834</v>
      </c>
      <c r="B2923" t="s">
        <v>6835</v>
      </c>
      <c r="C2923" t="s">
        <v>6834</v>
      </c>
      <c r="D2923">
        <v>6798</v>
      </c>
    </row>
    <row r="2924" spans="1:4">
      <c r="A2924" t="s">
        <v>6836</v>
      </c>
      <c r="B2924" t="s">
        <v>6837</v>
      </c>
      <c r="C2924" t="s">
        <v>6836</v>
      </c>
      <c r="D2924">
        <v>6162</v>
      </c>
    </row>
    <row r="2925" spans="1:4">
      <c r="A2925" t="s">
        <v>6838</v>
      </c>
      <c r="B2925" t="s">
        <v>6839</v>
      </c>
      <c r="C2925" t="s">
        <v>6838</v>
      </c>
      <c r="D2925">
        <v>5500</v>
      </c>
    </row>
    <row r="2926" spans="1:4">
      <c r="A2926" t="s">
        <v>6840</v>
      </c>
      <c r="B2926" t="s">
        <v>6841</v>
      </c>
      <c r="C2926" t="s">
        <v>6840</v>
      </c>
      <c r="D2926">
        <v>3550</v>
      </c>
    </row>
    <row r="2927" spans="1:4">
      <c r="A2927" t="s">
        <v>6842</v>
      </c>
      <c r="B2927" t="s">
        <v>6843</v>
      </c>
      <c r="C2927" t="s">
        <v>6842</v>
      </c>
      <c r="D2927">
        <v>3841</v>
      </c>
    </row>
    <row r="2928" spans="1:4">
      <c r="A2928" t="s">
        <v>6844</v>
      </c>
      <c r="B2928" t="s">
        <v>6845</v>
      </c>
      <c r="C2928" t="s">
        <v>6844</v>
      </c>
      <c r="D2928">
        <v>6022</v>
      </c>
    </row>
    <row r="2929" spans="1:4">
      <c r="A2929" t="s">
        <v>6846</v>
      </c>
      <c r="B2929" t="s">
        <v>6847</v>
      </c>
      <c r="C2929" t="s">
        <v>6846</v>
      </c>
      <c r="D2929">
        <v>6022</v>
      </c>
    </row>
    <row r="2930" spans="1:4">
      <c r="A2930" t="s">
        <v>6848</v>
      </c>
      <c r="B2930" t="s">
        <v>6849</v>
      </c>
      <c r="C2930" t="s">
        <v>6848</v>
      </c>
      <c r="D2930">
        <v>6022</v>
      </c>
    </row>
    <row r="2931" spans="1:4">
      <c r="A2931" t="s">
        <v>6850</v>
      </c>
      <c r="B2931" t="s">
        <v>6851</v>
      </c>
      <c r="C2931" t="s">
        <v>6850</v>
      </c>
      <c r="D2931">
        <v>6021</v>
      </c>
    </row>
    <row r="2932" spans="1:4">
      <c r="A2932" t="s">
        <v>6852</v>
      </c>
      <c r="B2932" t="s">
        <v>6853</v>
      </c>
      <c r="C2932" t="s">
        <v>6852</v>
      </c>
      <c r="D2932">
        <v>2080</v>
      </c>
    </row>
    <row r="2933" spans="1:4">
      <c r="A2933" t="s">
        <v>6854</v>
      </c>
      <c r="B2933" t="s">
        <v>6855</v>
      </c>
      <c r="C2933" t="s">
        <v>6854</v>
      </c>
      <c r="D2933">
        <v>8200</v>
      </c>
    </row>
    <row r="2934" spans="1:4">
      <c r="A2934" t="s">
        <v>6856</v>
      </c>
      <c r="B2934" t="s">
        <v>6857</v>
      </c>
      <c r="C2934" t="s">
        <v>6856</v>
      </c>
      <c r="D2934">
        <v>6199</v>
      </c>
    </row>
    <row r="2935" spans="1:4">
      <c r="A2935" t="s">
        <v>6858</v>
      </c>
      <c r="B2935" t="s">
        <v>6859</v>
      </c>
      <c r="C2935" t="s">
        <v>6858</v>
      </c>
      <c r="D2935">
        <v>7371</v>
      </c>
    </row>
    <row r="2936" spans="1:4">
      <c r="A2936" t="s">
        <v>6860</v>
      </c>
      <c r="B2936" t="s">
        <v>6861</v>
      </c>
      <c r="C2936" t="s">
        <v>6860</v>
      </c>
      <c r="D2936">
        <v>5141</v>
      </c>
    </row>
    <row r="2937" spans="1:4">
      <c r="A2937" t="s">
        <v>6862</v>
      </c>
      <c r="B2937" t="s">
        <v>6863</v>
      </c>
      <c r="C2937" t="s">
        <v>6862</v>
      </c>
      <c r="D2937">
        <v>7380</v>
      </c>
    </row>
    <row r="2938" spans="1:4">
      <c r="A2938" t="s">
        <v>6864</v>
      </c>
      <c r="B2938" t="s">
        <v>6865</v>
      </c>
      <c r="C2938" t="s">
        <v>6864</v>
      </c>
      <c r="D2938">
        <v>7371</v>
      </c>
    </row>
    <row r="2939" spans="1:4">
      <c r="A2939" t="s">
        <v>6866</v>
      </c>
      <c r="B2939" t="s">
        <v>6867</v>
      </c>
      <c r="C2939" t="s">
        <v>6866</v>
      </c>
      <c r="D2939">
        <v>3826</v>
      </c>
    </row>
    <row r="2940" spans="1:4">
      <c r="A2940" t="s">
        <v>6868</v>
      </c>
      <c r="B2940" t="s">
        <v>6869</v>
      </c>
      <c r="C2940" t="s">
        <v>6868</v>
      </c>
      <c r="D2940">
        <v>4955</v>
      </c>
    </row>
    <row r="2941" spans="1:4">
      <c r="A2941" t="s">
        <v>6870</v>
      </c>
      <c r="B2941" t="s">
        <v>6871</v>
      </c>
      <c r="C2941" t="s">
        <v>6870</v>
      </c>
      <c r="D2941">
        <v>3564</v>
      </c>
    </row>
    <row r="2942" spans="1:4">
      <c r="A2942" t="s">
        <v>6872</v>
      </c>
      <c r="B2942" t="s">
        <v>6873</v>
      </c>
      <c r="C2942" t="s">
        <v>6872</v>
      </c>
      <c r="D2942">
        <v>2834</v>
      </c>
    </row>
    <row r="2943" spans="1:4">
      <c r="A2943" t="s">
        <v>6874</v>
      </c>
      <c r="B2943" t="s">
        <v>6875</v>
      </c>
      <c r="C2943" t="s">
        <v>6874</v>
      </c>
      <c r="D2943">
        <v>8071</v>
      </c>
    </row>
    <row r="2944" spans="1:4">
      <c r="A2944" t="s">
        <v>6876</v>
      </c>
      <c r="B2944" t="s">
        <v>6877</v>
      </c>
      <c r="C2944" t="s">
        <v>6876</v>
      </c>
      <c r="D2944">
        <v>5990</v>
      </c>
    </row>
    <row r="2945" spans="1:4">
      <c r="A2945" t="s">
        <v>6878</v>
      </c>
      <c r="B2945" t="s">
        <v>6879</v>
      </c>
      <c r="C2945" t="s">
        <v>6878</v>
      </c>
      <c r="D2945">
        <v>5122</v>
      </c>
    </row>
    <row r="2946" spans="1:4">
      <c r="A2946" t="s">
        <v>6880</v>
      </c>
      <c r="B2946" t="s">
        <v>6881</v>
      </c>
      <c r="C2946" t="s">
        <v>6880</v>
      </c>
      <c r="D2946">
        <v>5912</v>
      </c>
    </row>
    <row r="2947" spans="1:4">
      <c r="A2947" t="s">
        <v>6882</v>
      </c>
      <c r="B2947" t="s">
        <v>6883</v>
      </c>
      <c r="C2947" t="s">
        <v>6882</v>
      </c>
      <c r="D2947">
        <v>2834</v>
      </c>
    </row>
    <row r="2948" spans="1:4">
      <c r="A2948" t="s">
        <v>6884</v>
      </c>
      <c r="B2948" t="s">
        <v>6885</v>
      </c>
      <c r="C2948" t="s">
        <v>6884</v>
      </c>
      <c r="D2948">
        <v>1381</v>
      </c>
    </row>
    <row r="2949" spans="1:4">
      <c r="A2949" t="s">
        <v>6886</v>
      </c>
      <c r="B2949" t="s">
        <v>6887</v>
      </c>
      <c r="C2949" t="s">
        <v>6886</v>
      </c>
      <c r="D2949">
        <v>2834</v>
      </c>
    </row>
    <row r="2950" spans="1:4">
      <c r="A2950" t="s">
        <v>6888</v>
      </c>
      <c r="B2950" t="s">
        <v>6889</v>
      </c>
      <c r="C2950" t="s">
        <v>6888</v>
      </c>
      <c r="D2950">
        <v>7389</v>
      </c>
    </row>
    <row r="2951" spans="1:4">
      <c r="A2951" t="s">
        <v>6890</v>
      </c>
      <c r="B2951" t="s">
        <v>6891</v>
      </c>
      <c r="C2951" t="s">
        <v>6890</v>
      </c>
      <c r="D2951">
        <v>4931</v>
      </c>
    </row>
    <row r="2952" spans="1:4">
      <c r="A2952" t="s">
        <v>6892</v>
      </c>
      <c r="B2952" t="s">
        <v>6893</v>
      </c>
      <c r="C2952" t="s">
        <v>6892</v>
      </c>
      <c r="D2952">
        <v>3442</v>
      </c>
    </row>
    <row r="2953" spans="1:4">
      <c r="A2953" t="s">
        <v>6894</v>
      </c>
      <c r="B2953" t="s">
        <v>6895</v>
      </c>
      <c r="C2953" t="s">
        <v>6894</v>
      </c>
      <c r="D2953">
        <v>8742</v>
      </c>
    </row>
    <row r="2954" spans="1:4">
      <c r="A2954" t="s">
        <v>6896</v>
      </c>
      <c r="B2954" t="s">
        <v>6897</v>
      </c>
      <c r="C2954" t="s">
        <v>6896</v>
      </c>
      <c r="D2954">
        <v>2834</v>
      </c>
    </row>
    <row r="2955" spans="1:4">
      <c r="A2955" t="s">
        <v>6898</v>
      </c>
      <c r="B2955" t="s">
        <v>6899</v>
      </c>
      <c r="C2955" t="s">
        <v>6898</v>
      </c>
      <c r="D2955">
        <v>2834</v>
      </c>
    </row>
    <row r="2956" spans="1:4">
      <c r="A2956" t="s">
        <v>6900</v>
      </c>
      <c r="B2956" t="s">
        <v>6901</v>
      </c>
      <c r="C2956" t="s">
        <v>6900</v>
      </c>
      <c r="D2956">
        <v>2111</v>
      </c>
    </row>
    <row r="2957" spans="1:4">
      <c r="A2957" t="s">
        <v>6902</v>
      </c>
      <c r="B2957" t="s">
        <v>6903</v>
      </c>
      <c r="C2957" t="s">
        <v>6902</v>
      </c>
      <c r="D2957">
        <v>2911</v>
      </c>
    </row>
    <row r="2958" spans="1:4">
      <c r="A2958" t="s">
        <v>6904</v>
      </c>
      <c r="B2958" t="s">
        <v>6905</v>
      </c>
      <c r="C2958" t="s">
        <v>6904</v>
      </c>
      <c r="D2958">
        <v>6798</v>
      </c>
    </row>
    <row r="2959" spans="1:4">
      <c r="A2959" t="s">
        <v>6906</v>
      </c>
      <c r="B2959" t="s">
        <v>6907</v>
      </c>
      <c r="C2959" t="s">
        <v>6906</v>
      </c>
      <c r="D2959">
        <v>4833</v>
      </c>
    </row>
    <row r="2960" spans="1:4">
      <c r="A2960" t="s">
        <v>6908</v>
      </c>
      <c r="B2960" t="s">
        <v>6909</v>
      </c>
      <c r="C2960" t="s">
        <v>6908</v>
      </c>
      <c r="D2960">
        <v>3674</v>
      </c>
    </row>
    <row r="2961" spans="1:4">
      <c r="A2961" t="s">
        <v>6910</v>
      </c>
      <c r="B2961" t="s">
        <v>6911</v>
      </c>
      <c r="C2961" t="s">
        <v>6910</v>
      </c>
      <c r="D2961">
        <v>7389</v>
      </c>
    </row>
    <row r="2962" spans="1:4">
      <c r="A2962" t="s">
        <v>6912</v>
      </c>
      <c r="B2962" t="s">
        <v>6913</v>
      </c>
      <c r="C2962" t="s">
        <v>6912</v>
      </c>
      <c r="D2962">
        <v>7374</v>
      </c>
    </row>
    <row r="2963" spans="1:4">
      <c r="A2963" t="s">
        <v>6914</v>
      </c>
      <c r="B2963" t="s">
        <v>6915</v>
      </c>
      <c r="C2963" t="s">
        <v>6914</v>
      </c>
      <c r="D2963">
        <v>1311</v>
      </c>
    </row>
    <row r="2964" spans="1:4">
      <c r="A2964" t="s">
        <v>6916</v>
      </c>
      <c r="B2964" t="s">
        <v>6917</v>
      </c>
      <c r="C2964" t="s">
        <v>6916</v>
      </c>
      <c r="D2964">
        <v>6798</v>
      </c>
    </row>
    <row r="2965" spans="1:4">
      <c r="A2965" t="s">
        <v>6918</v>
      </c>
      <c r="B2965" t="s">
        <v>6919</v>
      </c>
      <c r="C2965" t="s">
        <v>6918</v>
      </c>
      <c r="D2965">
        <v>6512</v>
      </c>
    </row>
    <row r="2966" spans="1:4">
      <c r="A2966" t="s">
        <v>6920</v>
      </c>
      <c r="B2966" t="s">
        <v>6921</v>
      </c>
      <c r="C2966" t="s">
        <v>6920</v>
      </c>
      <c r="D2966">
        <v>2834</v>
      </c>
    </row>
    <row r="2967" spans="1:4">
      <c r="A2967" t="s">
        <v>6922</v>
      </c>
      <c r="B2967" t="s">
        <v>6923</v>
      </c>
      <c r="C2967" t="s">
        <v>6922</v>
      </c>
      <c r="D2967">
        <v>2015</v>
      </c>
    </row>
    <row r="2968" spans="1:4">
      <c r="A2968" t="s">
        <v>6924</v>
      </c>
      <c r="B2968" t="s">
        <v>6925</v>
      </c>
      <c r="C2968" t="s">
        <v>6924</v>
      </c>
      <c r="D2968">
        <v>7389</v>
      </c>
    </row>
    <row r="2969" spans="1:4">
      <c r="A2969" t="s">
        <v>6926</v>
      </c>
      <c r="B2969" t="s">
        <v>6927</v>
      </c>
      <c r="C2969" t="s">
        <v>6926</v>
      </c>
      <c r="D2969">
        <v>7372</v>
      </c>
    </row>
    <row r="2970" spans="1:4">
      <c r="A2970" t="s">
        <v>6928</v>
      </c>
      <c r="B2970" t="s">
        <v>6929</v>
      </c>
      <c r="C2970" t="s">
        <v>6928</v>
      </c>
      <c r="D2970">
        <v>900</v>
      </c>
    </row>
    <row r="2971" spans="1:4">
      <c r="A2971" t="s">
        <v>6930</v>
      </c>
      <c r="B2971" t="s">
        <v>6931</v>
      </c>
      <c r="C2971" t="s">
        <v>6930</v>
      </c>
      <c r="D2971">
        <v>6021</v>
      </c>
    </row>
    <row r="2972" spans="1:4">
      <c r="A2972" t="s">
        <v>6932</v>
      </c>
      <c r="B2972" t="s">
        <v>6933</v>
      </c>
      <c r="C2972" t="s">
        <v>6932</v>
      </c>
      <c r="D2972">
        <v>6021</v>
      </c>
    </row>
    <row r="2973" spans="1:4">
      <c r="A2973" t="s">
        <v>6934</v>
      </c>
      <c r="B2973" t="s">
        <v>6935</v>
      </c>
      <c r="C2973" t="s">
        <v>6934</v>
      </c>
      <c r="D2973">
        <v>4911</v>
      </c>
    </row>
    <row r="2974" spans="1:4">
      <c r="A2974" t="s">
        <v>6936</v>
      </c>
      <c r="B2974" t="s">
        <v>6937</v>
      </c>
      <c r="C2974" t="s">
        <v>6936</v>
      </c>
      <c r="D2974">
        <v>7370</v>
      </c>
    </row>
    <row r="2975" spans="1:4">
      <c r="A2975" t="s">
        <v>6938</v>
      </c>
      <c r="B2975" t="s">
        <v>6939</v>
      </c>
      <c r="C2975" t="s">
        <v>6938</v>
      </c>
      <c r="D2975">
        <v>7370</v>
      </c>
    </row>
    <row r="2976" spans="1:4">
      <c r="A2976" t="s">
        <v>6940</v>
      </c>
      <c r="B2976" t="s">
        <v>6941</v>
      </c>
      <c r="C2976" t="s">
        <v>6940</v>
      </c>
      <c r="D2976">
        <v>6036</v>
      </c>
    </row>
    <row r="2977" spans="1:4">
      <c r="A2977" t="s">
        <v>6942</v>
      </c>
      <c r="B2977" t="s">
        <v>6943</v>
      </c>
      <c r="C2977" t="s">
        <v>6942</v>
      </c>
      <c r="D2977">
        <v>1311</v>
      </c>
    </row>
    <row r="2978" spans="1:4">
      <c r="A2978" t="s">
        <v>6944</v>
      </c>
      <c r="B2978" t="s">
        <v>6945</v>
      </c>
      <c r="C2978" t="s">
        <v>6944</v>
      </c>
      <c r="D2978">
        <v>3612</v>
      </c>
    </row>
    <row r="2979" spans="1:4">
      <c r="A2979" t="s">
        <v>6946</v>
      </c>
      <c r="B2979" t="s">
        <v>6947</v>
      </c>
      <c r="C2979" t="s">
        <v>6946</v>
      </c>
      <c r="D2979">
        <v>6211</v>
      </c>
    </row>
    <row r="2980" spans="1:4">
      <c r="A2980" t="s">
        <v>6948</v>
      </c>
      <c r="B2980" t="s">
        <v>6949</v>
      </c>
      <c r="C2980" t="s">
        <v>6948</v>
      </c>
      <c r="D2980">
        <v>3579</v>
      </c>
    </row>
    <row r="2981" spans="1:4">
      <c r="A2981" t="s">
        <v>6950</v>
      </c>
      <c r="B2981" t="s">
        <v>6951</v>
      </c>
      <c r="C2981" t="s">
        <v>6950</v>
      </c>
      <c r="D2981">
        <v>3674</v>
      </c>
    </row>
    <row r="2982" spans="1:4">
      <c r="A2982" t="s">
        <v>6952</v>
      </c>
      <c r="B2982" t="s">
        <v>6953</v>
      </c>
      <c r="C2982" t="s">
        <v>6952</v>
      </c>
      <c r="D2982">
        <v>6282</v>
      </c>
    </row>
    <row r="2983" spans="1:4">
      <c r="A2983" t="s">
        <v>6954</v>
      </c>
      <c r="B2983" t="s">
        <v>6955</v>
      </c>
      <c r="C2983" t="s">
        <v>6954</v>
      </c>
      <c r="D2983">
        <v>4610</v>
      </c>
    </row>
    <row r="2984" spans="1:4">
      <c r="A2984" t="s">
        <v>6956</v>
      </c>
      <c r="B2984" t="s">
        <v>6957</v>
      </c>
      <c r="C2984" t="s">
        <v>6956</v>
      </c>
      <c r="D2984">
        <v>4610</v>
      </c>
    </row>
    <row r="2985" spans="1:4">
      <c r="A2985" t="s">
        <v>6958</v>
      </c>
      <c r="B2985" t="s">
        <v>6959</v>
      </c>
      <c r="C2985" t="s">
        <v>6958</v>
      </c>
      <c r="D2985">
        <v>7997</v>
      </c>
    </row>
    <row r="2986" spans="1:4">
      <c r="A2986" t="s">
        <v>6960</v>
      </c>
      <c r="B2986" t="s">
        <v>6961</v>
      </c>
      <c r="C2986" t="s">
        <v>6960</v>
      </c>
      <c r="D2986">
        <v>2030</v>
      </c>
    </row>
    <row r="2987" spans="1:4">
      <c r="A2987" t="s">
        <v>6962</v>
      </c>
      <c r="B2987" t="s">
        <v>6963</v>
      </c>
      <c r="C2987" t="s">
        <v>6962</v>
      </c>
      <c r="D2987">
        <v>3663</v>
      </c>
    </row>
    <row r="2988" spans="1:4">
      <c r="A2988" t="s">
        <v>6964</v>
      </c>
      <c r="B2988" t="s">
        <v>6965</v>
      </c>
      <c r="C2988" t="s">
        <v>6964</v>
      </c>
      <c r="D2988">
        <v>3661</v>
      </c>
    </row>
    <row r="2989" spans="1:4">
      <c r="A2989" t="s">
        <v>6966</v>
      </c>
      <c r="B2989" t="s">
        <v>6967</v>
      </c>
      <c r="C2989" t="s">
        <v>6966</v>
      </c>
      <c r="D2989">
        <v>7011</v>
      </c>
    </row>
    <row r="2990" spans="1:4">
      <c r="A2990" t="s">
        <v>6968</v>
      </c>
      <c r="B2990" t="s">
        <v>6969</v>
      </c>
      <c r="C2990" t="s">
        <v>6968</v>
      </c>
      <c r="D2990">
        <v>3990</v>
      </c>
    </row>
    <row r="2991" spans="1:4">
      <c r="A2991" t="s">
        <v>6970</v>
      </c>
      <c r="B2991" t="s">
        <v>6971</v>
      </c>
      <c r="C2991" t="s">
        <v>6970</v>
      </c>
      <c r="D2991">
        <v>7372</v>
      </c>
    </row>
    <row r="2992" spans="1:4">
      <c r="A2992" t="s">
        <v>6972</v>
      </c>
      <c r="B2992" t="s">
        <v>6973</v>
      </c>
      <c r="C2992" t="s">
        <v>6972</v>
      </c>
      <c r="D2992">
        <v>7374</v>
      </c>
    </row>
    <row r="2993" spans="1:4">
      <c r="A2993" t="s">
        <v>6974</v>
      </c>
      <c r="B2993" t="s">
        <v>6975</v>
      </c>
      <c r="C2993" t="s">
        <v>6974</v>
      </c>
      <c r="D2993">
        <v>5900</v>
      </c>
    </row>
    <row r="2994" spans="1:4">
      <c r="A2994" t="s">
        <v>6976</v>
      </c>
      <c r="B2994" t="s">
        <v>6977</v>
      </c>
      <c r="C2994" t="s">
        <v>6976</v>
      </c>
      <c r="D2994">
        <v>3672</v>
      </c>
    </row>
    <row r="2995" spans="1:4">
      <c r="A2995" t="s">
        <v>6978</v>
      </c>
      <c r="B2995" t="s">
        <v>6979</v>
      </c>
      <c r="C2995" t="s">
        <v>6978</v>
      </c>
      <c r="D2995">
        <v>2834</v>
      </c>
    </row>
    <row r="2996" spans="1:4">
      <c r="A2996" t="s">
        <v>6980</v>
      </c>
      <c r="B2996" t="s">
        <v>6981</v>
      </c>
      <c r="C2996" t="s">
        <v>6980</v>
      </c>
      <c r="D2996">
        <v>6153</v>
      </c>
    </row>
    <row r="2997" spans="1:4">
      <c r="A2997" t="s">
        <v>6982</v>
      </c>
      <c r="B2997" t="s">
        <v>6983</v>
      </c>
      <c r="C2997" t="s">
        <v>6982</v>
      </c>
      <c r="D2997">
        <v>2836</v>
      </c>
    </row>
    <row r="2998" spans="1:4">
      <c r="A2998" t="s">
        <v>6984</v>
      </c>
      <c r="B2998" t="s">
        <v>6985</v>
      </c>
      <c r="C2998" t="s">
        <v>6984</v>
      </c>
      <c r="D2998">
        <v>2834</v>
      </c>
    </row>
    <row r="2999" spans="1:4">
      <c r="A2999" t="s">
        <v>6986</v>
      </c>
      <c r="B2999" t="s">
        <v>6987</v>
      </c>
      <c r="C2999" t="s">
        <v>6986</v>
      </c>
      <c r="D2999">
        <v>6798</v>
      </c>
    </row>
    <row r="3000" spans="1:4">
      <c r="A3000" t="s">
        <v>6988</v>
      </c>
      <c r="B3000" t="s">
        <v>6989</v>
      </c>
      <c r="C3000" t="s">
        <v>6988</v>
      </c>
      <c r="D3000">
        <v>2834</v>
      </c>
    </row>
    <row r="3001" spans="1:4">
      <c r="A3001" t="s">
        <v>6990</v>
      </c>
      <c r="B3001" t="s">
        <v>6991</v>
      </c>
      <c r="C3001" t="s">
        <v>6990</v>
      </c>
      <c r="D3001">
        <v>6021</v>
      </c>
    </row>
    <row r="3002" spans="1:4">
      <c r="A3002" t="s">
        <v>6992</v>
      </c>
      <c r="B3002" t="s">
        <v>6993</v>
      </c>
      <c r="C3002" t="s">
        <v>6992</v>
      </c>
      <c r="D3002">
        <v>4911</v>
      </c>
    </row>
    <row r="3003" spans="1:4">
      <c r="A3003" t="s">
        <v>6994</v>
      </c>
      <c r="B3003" t="s">
        <v>6995</v>
      </c>
      <c r="C3003" t="s">
        <v>6994</v>
      </c>
      <c r="D3003">
        <v>3690</v>
      </c>
    </row>
    <row r="3004" spans="1:4">
      <c r="A3004" t="s">
        <v>6996</v>
      </c>
      <c r="B3004" t="s">
        <v>6997</v>
      </c>
      <c r="C3004" t="s">
        <v>6996</v>
      </c>
      <c r="D3004">
        <v>3790</v>
      </c>
    </row>
    <row r="3005" spans="1:4">
      <c r="A3005" t="s">
        <v>6998</v>
      </c>
      <c r="B3005" t="s">
        <v>6999</v>
      </c>
      <c r="C3005" t="s">
        <v>6998</v>
      </c>
      <c r="D3005">
        <v>2836</v>
      </c>
    </row>
    <row r="3006" spans="1:4">
      <c r="A3006" t="s">
        <v>7000</v>
      </c>
      <c r="B3006" t="s">
        <v>7001</v>
      </c>
      <c r="C3006" t="s">
        <v>7000</v>
      </c>
      <c r="D3006">
        <v>6035</v>
      </c>
    </row>
    <row r="3007" spans="1:4">
      <c r="A3007" t="s">
        <v>7002</v>
      </c>
      <c r="B3007" t="s">
        <v>7003</v>
      </c>
      <c r="C3007" t="s">
        <v>7002</v>
      </c>
      <c r="D3007">
        <v>5090</v>
      </c>
    </row>
    <row r="3008" spans="1:4">
      <c r="A3008" t="s">
        <v>7004</v>
      </c>
      <c r="B3008" t="s">
        <v>7005</v>
      </c>
      <c r="C3008" t="s">
        <v>7004</v>
      </c>
      <c r="D3008">
        <v>7900</v>
      </c>
    </row>
    <row r="3009" spans="1:4">
      <c r="A3009" t="s">
        <v>7006</v>
      </c>
      <c r="B3009" t="s">
        <v>7007</v>
      </c>
      <c r="C3009" t="s">
        <v>7006</v>
      </c>
      <c r="D3009">
        <v>6022</v>
      </c>
    </row>
    <row r="3010" spans="1:4">
      <c r="A3010" t="s">
        <v>7008</v>
      </c>
      <c r="B3010" t="s">
        <v>7009</v>
      </c>
      <c r="C3010" t="s">
        <v>7008</v>
      </c>
      <c r="D3010">
        <v>7372</v>
      </c>
    </row>
    <row r="3011" spans="1:4">
      <c r="A3011" t="s">
        <v>7010</v>
      </c>
      <c r="B3011" t="s">
        <v>7011</v>
      </c>
      <c r="C3011" t="s">
        <v>7010</v>
      </c>
      <c r="D3011">
        <v>5812</v>
      </c>
    </row>
    <row r="3012" spans="1:4">
      <c r="A3012" t="s">
        <v>7012</v>
      </c>
      <c r="B3012" t="s">
        <v>7013</v>
      </c>
      <c r="C3012" t="s">
        <v>7012</v>
      </c>
      <c r="D3012">
        <v>4911</v>
      </c>
    </row>
    <row r="3013" spans="1:4">
      <c r="A3013" t="s">
        <v>7014</v>
      </c>
      <c r="B3013" t="s">
        <v>7015</v>
      </c>
      <c r="C3013" t="s">
        <v>7014</v>
      </c>
      <c r="D3013">
        <v>6552</v>
      </c>
    </row>
    <row r="3014" spans="1:4">
      <c r="A3014" t="s">
        <v>7016</v>
      </c>
      <c r="B3014" t="s">
        <v>7017</v>
      </c>
      <c r="C3014" t="s">
        <v>7016</v>
      </c>
      <c r="D3014">
        <v>5961</v>
      </c>
    </row>
    <row r="3015" spans="1:4">
      <c r="A3015" t="s">
        <v>7018</v>
      </c>
      <c r="B3015" t="s">
        <v>7019</v>
      </c>
      <c r="C3015" t="s">
        <v>7018</v>
      </c>
      <c r="D3015">
        <v>2040</v>
      </c>
    </row>
    <row r="3016" spans="1:4">
      <c r="A3016" t="s">
        <v>7020</v>
      </c>
      <c r="B3016" t="s">
        <v>7021</v>
      </c>
      <c r="C3016" t="s">
        <v>7020</v>
      </c>
      <c r="D3016">
        <v>6798</v>
      </c>
    </row>
    <row r="3017" spans="1:4">
      <c r="A3017" t="s">
        <v>7022</v>
      </c>
      <c r="B3017" t="s">
        <v>7023</v>
      </c>
      <c r="C3017" t="s">
        <v>7022</v>
      </c>
      <c r="D3017">
        <v>5812</v>
      </c>
    </row>
    <row r="3018" spans="1:4">
      <c r="A3018" t="s">
        <v>7024</v>
      </c>
      <c r="B3018" t="s">
        <v>7025</v>
      </c>
      <c r="C3018" t="s">
        <v>7024</v>
      </c>
      <c r="D3018">
        <v>6798</v>
      </c>
    </row>
    <row r="3019" spans="1:4">
      <c r="A3019" t="s">
        <v>7026</v>
      </c>
      <c r="B3019" t="s">
        <v>7027</v>
      </c>
      <c r="C3019" t="s">
        <v>7026</v>
      </c>
      <c r="D3019">
        <v>3613</v>
      </c>
    </row>
    <row r="3020" spans="1:4">
      <c r="A3020" t="s">
        <v>7028</v>
      </c>
      <c r="B3020" t="s">
        <v>7029</v>
      </c>
      <c r="C3020" t="s">
        <v>7028</v>
      </c>
      <c r="D3020">
        <v>3674</v>
      </c>
    </row>
    <row r="3021" spans="1:4">
      <c r="A3021" t="s">
        <v>7030</v>
      </c>
      <c r="B3021" t="s">
        <v>7031</v>
      </c>
      <c r="C3021" t="s">
        <v>7030</v>
      </c>
      <c r="D3021">
        <v>6798</v>
      </c>
    </row>
    <row r="3022" spans="1:4">
      <c r="A3022" t="s">
        <v>7032</v>
      </c>
      <c r="B3022" t="s">
        <v>7033</v>
      </c>
      <c r="C3022" t="s">
        <v>7032</v>
      </c>
      <c r="D3022">
        <v>3510</v>
      </c>
    </row>
    <row r="3023" spans="1:4">
      <c r="A3023" t="s">
        <v>7034</v>
      </c>
      <c r="B3023" t="s">
        <v>7035</v>
      </c>
      <c r="C3023" t="s">
        <v>7034</v>
      </c>
      <c r="D3023">
        <v>7371</v>
      </c>
    </row>
    <row r="3024" spans="1:4">
      <c r="A3024" t="s">
        <v>7036</v>
      </c>
      <c r="B3024" t="s">
        <v>7037</v>
      </c>
      <c r="C3024" t="s">
        <v>7036</v>
      </c>
      <c r="D3024">
        <v>3669</v>
      </c>
    </row>
    <row r="3025" spans="1:4">
      <c r="A3025" t="s">
        <v>7038</v>
      </c>
      <c r="B3025" t="s">
        <v>7039</v>
      </c>
      <c r="C3025" t="s">
        <v>7038</v>
      </c>
      <c r="D3025">
        <v>7372</v>
      </c>
    </row>
    <row r="3026" spans="1:4">
      <c r="A3026" t="s">
        <v>7040</v>
      </c>
      <c r="B3026" t="s">
        <v>7041</v>
      </c>
      <c r="C3026" t="s">
        <v>7040</v>
      </c>
      <c r="D3026">
        <v>2851</v>
      </c>
    </row>
    <row r="3027" spans="1:4">
      <c r="A3027" t="s">
        <v>7042</v>
      </c>
      <c r="B3027" t="s">
        <v>7043</v>
      </c>
      <c r="C3027" t="s">
        <v>7042</v>
      </c>
      <c r="D3027">
        <v>4911</v>
      </c>
    </row>
    <row r="3028" spans="1:4">
      <c r="A3028" t="s">
        <v>7044</v>
      </c>
      <c r="B3028" t="s">
        <v>7045</v>
      </c>
      <c r="C3028" t="s">
        <v>7044</v>
      </c>
      <c r="D3028">
        <v>7320</v>
      </c>
    </row>
    <row r="3029" spans="1:4">
      <c r="A3029" t="s">
        <v>7046</v>
      </c>
      <c r="B3029" t="s">
        <v>7047</v>
      </c>
      <c r="C3029" t="s">
        <v>7046</v>
      </c>
      <c r="D3029">
        <v>2834</v>
      </c>
    </row>
    <row r="3030" spans="1:4">
      <c r="A3030" t="s">
        <v>7048</v>
      </c>
      <c r="B3030" t="s">
        <v>7049</v>
      </c>
      <c r="C3030" t="s">
        <v>7048</v>
      </c>
      <c r="D3030">
        <v>3826</v>
      </c>
    </row>
    <row r="3031" spans="1:4">
      <c r="A3031" t="s">
        <v>7050</v>
      </c>
      <c r="B3031" t="s">
        <v>7051</v>
      </c>
      <c r="C3031" t="s">
        <v>7050</v>
      </c>
      <c r="D3031">
        <v>2836</v>
      </c>
    </row>
    <row r="3032" spans="1:4">
      <c r="A3032" t="s">
        <v>7052</v>
      </c>
      <c r="B3032" t="s">
        <v>7053</v>
      </c>
      <c r="C3032" t="s">
        <v>7052</v>
      </c>
      <c r="D3032">
        <v>3842</v>
      </c>
    </row>
    <row r="3033" spans="1:4">
      <c r="A3033" t="s">
        <v>7054</v>
      </c>
      <c r="B3033" t="s">
        <v>7055</v>
      </c>
      <c r="C3033" t="s">
        <v>7054</v>
      </c>
      <c r="D3033">
        <v>1623</v>
      </c>
    </row>
    <row r="3034" spans="1:4">
      <c r="A3034" t="s">
        <v>7056</v>
      </c>
      <c r="B3034" t="s">
        <v>7057</v>
      </c>
      <c r="C3034" t="s">
        <v>7056</v>
      </c>
      <c r="D3034">
        <v>6022</v>
      </c>
    </row>
    <row r="3035" spans="1:4">
      <c r="A3035" t="s">
        <v>7058</v>
      </c>
      <c r="B3035" t="s">
        <v>7059</v>
      </c>
      <c r="C3035" t="s">
        <v>7058</v>
      </c>
      <c r="D3035">
        <v>8741</v>
      </c>
    </row>
    <row r="3036" spans="1:4">
      <c r="A3036" t="s">
        <v>7060</v>
      </c>
      <c r="B3036" t="s">
        <v>7061</v>
      </c>
      <c r="C3036" t="s">
        <v>7060</v>
      </c>
      <c r="D3036">
        <v>6798</v>
      </c>
    </row>
    <row r="3037" spans="1:4">
      <c r="A3037" t="s">
        <v>7062</v>
      </c>
      <c r="B3037" t="s">
        <v>7063</v>
      </c>
      <c r="C3037" t="s">
        <v>7062</v>
      </c>
      <c r="D3037">
        <v>2834</v>
      </c>
    </row>
    <row r="3038" spans="1:4">
      <c r="A3038" t="s">
        <v>7064</v>
      </c>
      <c r="B3038" t="s">
        <v>7065</v>
      </c>
      <c r="C3038" t="s">
        <v>7064</v>
      </c>
      <c r="D3038">
        <v>6200</v>
      </c>
    </row>
    <row r="3039" spans="1:4">
      <c r="A3039" t="s">
        <v>7066</v>
      </c>
      <c r="B3039" t="s">
        <v>7067</v>
      </c>
      <c r="C3039" t="s">
        <v>7066</v>
      </c>
      <c r="D3039">
        <v>5331</v>
      </c>
    </row>
    <row r="3040" spans="1:4">
      <c r="A3040" t="s">
        <v>7068</v>
      </c>
      <c r="B3040" t="s">
        <v>7069</v>
      </c>
      <c r="C3040" t="s">
        <v>7068</v>
      </c>
      <c r="D3040">
        <v>6022</v>
      </c>
    </row>
    <row r="3041" spans="1:4">
      <c r="A3041" t="s">
        <v>7070</v>
      </c>
      <c r="B3041" t="s">
        <v>7071</v>
      </c>
      <c r="C3041" t="s">
        <v>7070</v>
      </c>
      <c r="D3041">
        <v>1311</v>
      </c>
    </row>
    <row r="3042" spans="1:4">
      <c r="A3042" t="s">
        <v>7072</v>
      </c>
      <c r="B3042" t="s">
        <v>7073</v>
      </c>
      <c r="C3042" t="s">
        <v>7072</v>
      </c>
      <c r="D3042">
        <v>6311</v>
      </c>
    </row>
    <row r="3043" spans="1:4">
      <c r="A3043" t="s">
        <v>7074</v>
      </c>
      <c r="B3043" t="s">
        <v>7075</v>
      </c>
      <c r="C3043" t="s">
        <v>7074</v>
      </c>
      <c r="D3043">
        <v>6022</v>
      </c>
    </row>
    <row r="3044" spans="1:4">
      <c r="A3044" t="s">
        <v>7076</v>
      </c>
      <c r="B3044" t="s">
        <v>7077</v>
      </c>
      <c r="C3044" t="s">
        <v>7076</v>
      </c>
      <c r="D3044">
        <v>2086</v>
      </c>
    </row>
    <row r="3045" spans="1:4">
      <c r="A3045" t="s">
        <v>7078</v>
      </c>
      <c r="B3045" t="s">
        <v>7079</v>
      </c>
      <c r="C3045" t="s">
        <v>7078</v>
      </c>
      <c r="D3045">
        <v>1623</v>
      </c>
    </row>
    <row r="3046" spans="1:4">
      <c r="A3046" t="s">
        <v>7080</v>
      </c>
      <c r="B3046" t="s">
        <v>7081</v>
      </c>
      <c r="C3046" t="s">
        <v>7080</v>
      </c>
      <c r="D3046">
        <v>6321</v>
      </c>
    </row>
    <row r="3047" spans="1:4">
      <c r="A3047" t="s">
        <v>7082</v>
      </c>
      <c r="B3047" t="s">
        <v>7083</v>
      </c>
      <c r="C3047" t="s">
        <v>7082</v>
      </c>
      <c r="D3047">
        <v>7389</v>
      </c>
    </row>
    <row r="3048" spans="1:4">
      <c r="A3048" t="s">
        <v>7084</v>
      </c>
      <c r="B3048" t="s">
        <v>7085</v>
      </c>
      <c r="C3048" t="s">
        <v>7084</v>
      </c>
      <c r="D3048">
        <v>8000</v>
      </c>
    </row>
    <row r="3049" spans="1:4">
      <c r="A3049" t="s">
        <v>7086</v>
      </c>
      <c r="B3049" t="s">
        <v>7087</v>
      </c>
      <c r="C3049" t="s">
        <v>7086</v>
      </c>
      <c r="D3049">
        <v>3841</v>
      </c>
    </row>
    <row r="3050" spans="1:4">
      <c r="A3050" t="s">
        <v>7088</v>
      </c>
      <c r="B3050" t="s">
        <v>7089</v>
      </c>
      <c r="C3050" t="s">
        <v>7088</v>
      </c>
      <c r="D3050">
        <v>6331</v>
      </c>
    </row>
    <row r="3051" spans="1:4">
      <c r="A3051" t="s">
        <v>7090</v>
      </c>
      <c r="B3051" t="s">
        <v>7091</v>
      </c>
      <c r="C3051" t="s">
        <v>7090</v>
      </c>
      <c r="D3051">
        <v>3841</v>
      </c>
    </row>
    <row r="3052" spans="1:4">
      <c r="A3052" t="s">
        <v>7092</v>
      </c>
      <c r="B3052" t="s">
        <v>7093</v>
      </c>
      <c r="C3052" t="s">
        <v>7092</v>
      </c>
      <c r="D3052">
        <v>7372</v>
      </c>
    </row>
    <row r="3053" spans="1:4">
      <c r="A3053" t="s">
        <v>7094</v>
      </c>
      <c r="B3053" t="s">
        <v>7095</v>
      </c>
      <c r="C3053" t="s">
        <v>7094</v>
      </c>
      <c r="D3053">
        <v>2840</v>
      </c>
    </row>
    <row r="3054" spans="1:4">
      <c r="A3054" t="s">
        <v>7096</v>
      </c>
      <c r="B3054" t="s">
        <v>7097</v>
      </c>
      <c r="C3054" t="s">
        <v>7096</v>
      </c>
      <c r="D3054">
        <v>6021</v>
      </c>
    </row>
    <row r="3055" spans="1:4">
      <c r="A3055" t="s">
        <v>7098</v>
      </c>
      <c r="B3055" t="s">
        <v>7099</v>
      </c>
      <c r="C3055" t="s">
        <v>7098</v>
      </c>
      <c r="D3055">
        <v>3533</v>
      </c>
    </row>
    <row r="3056" spans="1:4">
      <c r="A3056" t="s">
        <v>7100</v>
      </c>
      <c r="B3056" t="s">
        <v>7101</v>
      </c>
      <c r="C3056" t="s">
        <v>7100</v>
      </c>
      <c r="D3056">
        <v>7359</v>
      </c>
    </row>
    <row r="3057" spans="1:4">
      <c r="A3057" t="s">
        <v>7102</v>
      </c>
      <c r="B3057" t="s">
        <v>7103</v>
      </c>
      <c r="C3057" t="s">
        <v>7102</v>
      </c>
      <c r="D3057">
        <v>7372</v>
      </c>
    </row>
    <row r="3058" spans="1:4">
      <c r="A3058" t="s">
        <v>7104</v>
      </c>
      <c r="B3058" t="s">
        <v>7105</v>
      </c>
      <c r="C3058" t="s">
        <v>7104</v>
      </c>
      <c r="D3058">
        <v>6331</v>
      </c>
    </row>
    <row r="3059" spans="1:4">
      <c r="A3059" t="s">
        <v>7106</v>
      </c>
      <c r="B3059" t="s">
        <v>7107</v>
      </c>
      <c r="C3059" t="s">
        <v>7106</v>
      </c>
      <c r="D3059">
        <v>8090</v>
      </c>
    </row>
    <row r="3060" spans="1:4">
      <c r="A3060" t="s">
        <v>7108</v>
      </c>
      <c r="B3060" t="s">
        <v>7109</v>
      </c>
      <c r="C3060" t="s">
        <v>7108</v>
      </c>
      <c r="D3060">
        <v>6798</v>
      </c>
    </row>
    <row r="3061" spans="1:4">
      <c r="A3061" t="s">
        <v>7110</v>
      </c>
      <c r="B3061" t="s">
        <v>7111</v>
      </c>
      <c r="C3061" t="s">
        <v>7110</v>
      </c>
      <c r="D3061">
        <v>2834</v>
      </c>
    </row>
    <row r="3062" spans="1:4">
      <c r="A3062" t="s">
        <v>7112</v>
      </c>
      <c r="B3062" t="s">
        <v>7113</v>
      </c>
      <c r="C3062" t="s">
        <v>7112</v>
      </c>
      <c r="D3062">
        <v>1389</v>
      </c>
    </row>
    <row r="3063" spans="1:4">
      <c r="A3063" t="s">
        <v>7114</v>
      </c>
      <c r="B3063" t="s">
        <v>7115</v>
      </c>
      <c r="C3063" t="s">
        <v>7114</v>
      </c>
      <c r="D3063">
        <v>2834</v>
      </c>
    </row>
    <row r="3064" spans="1:4">
      <c r="A3064" t="s">
        <v>7116</v>
      </c>
      <c r="B3064" t="s">
        <v>7117</v>
      </c>
      <c r="C3064" t="s">
        <v>7116</v>
      </c>
      <c r="D3064">
        <v>7371</v>
      </c>
    </row>
    <row r="3065" spans="1:4">
      <c r="A3065" t="s">
        <v>7118</v>
      </c>
      <c r="B3065" t="s">
        <v>7119</v>
      </c>
      <c r="C3065" t="s">
        <v>7118</v>
      </c>
      <c r="D3065">
        <v>6022</v>
      </c>
    </row>
    <row r="3066" spans="1:4">
      <c r="A3066" t="s">
        <v>7120</v>
      </c>
      <c r="B3066" t="s">
        <v>7121</v>
      </c>
      <c r="C3066" t="s">
        <v>7120</v>
      </c>
      <c r="D3066">
        <v>2834</v>
      </c>
    </row>
    <row r="3067" spans="1:4">
      <c r="A3067" t="s">
        <v>7122</v>
      </c>
      <c r="B3067" t="s">
        <v>7123</v>
      </c>
      <c r="C3067" t="s">
        <v>7122</v>
      </c>
      <c r="D3067">
        <v>2836</v>
      </c>
    </row>
    <row r="3068" spans="1:4">
      <c r="A3068" t="s">
        <v>7124</v>
      </c>
      <c r="B3068" t="s">
        <v>7125</v>
      </c>
      <c r="C3068" t="s">
        <v>7124</v>
      </c>
      <c r="D3068">
        <v>3711</v>
      </c>
    </row>
    <row r="3069" spans="1:4">
      <c r="A3069" t="s">
        <v>7126</v>
      </c>
      <c r="B3069" t="s">
        <v>7127</v>
      </c>
      <c r="C3069" t="s">
        <v>7126</v>
      </c>
      <c r="D3069">
        <v>2834</v>
      </c>
    </row>
    <row r="3070" spans="1:4">
      <c r="A3070" t="s">
        <v>7128</v>
      </c>
      <c r="B3070" t="s">
        <v>7129</v>
      </c>
      <c r="C3070" t="s">
        <v>7128</v>
      </c>
      <c r="D3070">
        <v>3440</v>
      </c>
    </row>
    <row r="3071" spans="1:4">
      <c r="A3071" t="s">
        <v>7130</v>
      </c>
      <c r="B3071" t="s">
        <v>7131</v>
      </c>
      <c r="C3071" t="s">
        <v>7130</v>
      </c>
      <c r="D3071">
        <v>6036</v>
      </c>
    </row>
    <row r="3072" spans="1:4">
      <c r="A3072" t="s">
        <v>7132</v>
      </c>
      <c r="B3072" t="s">
        <v>7133</v>
      </c>
      <c r="C3072" t="s">
        <v>7132</v>
      </c>
      <c r="D3072">
        <v>6035</v>
      </c>
    </row>
    <row r="3073" spans="1:4">
      <c r="A3073" t="s">
        <v>7134</v>
      </c>
      <c r="B3073" t="s">
        <v>7135</v>
      </c>
      <c r="C3073" t="s">
        <v>7134</v>
      </c>
      <c r="D3073">
        <v>6035</v>
      </c>
    </row>
    <row r="3074" spans="1:4">
      <c r="A3074" t="s">
        <v>7136</v>
      </c>
      <c r="B3074" t="s">
        <v>7137</v>
      </c>
      <c r="C3074" t="s">
        <v>7136</v>
      </c>
      <c r="D3074">
        <v>6311</v>
      </c>
    </row>
    <row r="3075" spans="1:4">
      <c r="A3075" t="s">
        <v>7138</v>
      </c>
      <c r="B3075" t="s">
        <v>7139</v>
      </c>
      <c r="C3075" t="s">
        <v>7138</v>
      </c>
      <c r="D3075">
        <v>6798</v>
      </c>
    </row>
    <row r="3076" spans="1:4">
      <c r="A3076" t="s">
        <v>7140</v>
      </c>
      <c r="B3076" t="s">
        <v>7141</v>
      </c>
      <c r="C3076" t="s">
        <v>7140</v>
      </c>
      <c r="D3076">
        <v>8071</v>
      </c>
    </row>
    <row r="3077" spans="1:4">
      <c r="A3077" t="s">
        <v>7142</v>
      </c>
      <c r="B3077" t="s">
        <v>7143</v>
      </c>
      <c r="C3077" t="s">
        <v>7142</v>
      </c>
      <c r="D3077">
        <v>7372</v>
      </c>
    </row>
    <row r="3078" spans="1:4">
      <c r="A3078" t="s">
        <v>7144</v>
      </c>
      <c r="B3078" t="s">
        <v>7145</v>
      </c>
      <c r="C3078" t="s">
        <v>7144</v>
      </c>
      <c r="D3078">
        <v>2834</v>
      </c>
    </row>
    <row r="3079" spans="1:4">
      <c r="A3079" t="s">
        <v>7146</v>
      </c>
      <c r="B3079" t="s">
        <v>7147</v>
      </c>
      <c r="C3079" t="s">
        <v>7146</v>
      </c>
      <c r="D3079">
        <v>4931</v>
      </c>
    </row>
    <row r="3080" spans="1:4">
      <c r="A3080" t="s">
        <v>7148</v>
      </c>
      <c r="B3080" t="s">
        <v>7149</v>
      </c>
      <c r="C3080" t="s">
        <v>7148</v>
      </c>
      <c r="D3080">
        <v>6798</v>
      </c>
    </row>
    <row r="3081" spans="1:4">
      <c r="A3081" t="s">
        <v>7150</v>
      </c>
      <c r="B3081" t="s">
        <v>7151</v>
      </c>
      <c r="C3081" t="s">
        <v>7150</v>
      </c>
      <c r="D3081">
        <v>7370</v>
      </c>
    </row>
    <row r="3082" spans="1:4">
      <c r="A3082" t="s">
        <v>7152</v>
      </c>
      <c r="B3082" t="s">
        <v>7153</v>
      </c>
      <c r="C3082" t="s">
        <v>7152</v>
      </c>
      <c r="D3082">
        <v>2834</v>
      </c>
    </row>
    <row r="3083" spans="1:4">
      <c r="A3083" t="s">
        <v>7154</v>
      </c>
      <c r="B3083" t="s">
        <v>7155</v>
      </c>
      <c r="C3083" t="s">
        <v>7154</v>
      </c>
      <c r="D3083">
        <v>3841</v>
      </c>
    </row>
    <row r="3084" spans="1:4">
      <c r="A3084" t="s">
        <v>7156</v>
      </c>
      <c r="B3084" t="s">
        <v>7157</v>
      </c>
      <c r="C3084" t="s">
        <v>7156</v>
      </c>
      <c r="D3084">
        <v>3841</v>
      </c>
    </row>
    <row r="3085" spans="1:4">
      <c r="A3085" t="s">
        <v>7158</v>
      </c>
      <c r="B3085" t="s">
        <v>7159</v>
      </c>
      <c r="C3085" t="s">
        <v>7158</v>
      </c>
      <c r="D3085">
        <v>1531</v>
      </c>
    </row>
    <row r="3086" spans="1:4">
      <c r="A3086" t="s">
        <v>7160</v>
      </c>
      <c r="B3086" t="s">
        <v>7161</v>
      </c>
      <c r="C3086" t="s">
        <v>7160</v>
      </c>
      <c r="D3086">
        <v>2834</v>
      </c>
    </row>
    <row r="3087" spans="1:4">
      <c r="A3087" t="s">
        <v>7162</v>
      </c>
      <c r="B3087" t="s">
        <v>7163</v>
      </c>
      <c r="C3087" t="s">
        <v>7162</v>
      </c>
      <c r="D3087">
        <v>4941</v>
      </c>
    </row>
    <row r="3088" spans="1:4">
      <c r="A3088" t="s">
        <v>7164</v>
      </c>
      <c r="B3088" t="s">
        <v>7165</v>
      </c>
      <c r="C3088" t="s">
        <v>7164</v>
      </c>
      <c r="D3088">
        <v>3572</v>
      </c>
    </row>
    <row r="3089" spans="1:4">
      <c r="A3089" t="s">
        <v>7166</v>
      </c>
      <c r="B3089" t="s">
        <v>7167</v>
      </c>
      <c r="C3089" t="s">
        <v>7166</v>
      </c>
      <c r="D3089">
        <v>2510</v>
      </c>
    </row>
    <row r="3090" spans="1:4">
      <c r="A3090" t="s">
        <v>7168</v>
      </c>
      <c r="B3090" t="s">
        <v>7169</v>
      </c>
      <c r="C3090" t="s">
        <v>7168</v>
      </c>
      <c r="D3090">
        <v>2320</v>
      </c>
    </row>
    <row r="3091" spans="1:4">
      <c r="A3091" t="s">
        <v>7170</v>
      </c>
      <c r="B3091" t="s">
        <v>7171</v>
      </c>
      <c r="C3091" t="s">
        <v>7170</v>
      </c>
      <c r="D3091">
        <v>4412</v>
      </c>
    </row>
    <row r="3092" spans="1:4">
      <c r="A3092" t="s">
        <v>7172</v>
      </c>
      <c r="B3092" t="s">
        <v>7173</v>
      </c>
      <c r="C3092" t="s">
        <v>7172</v>
      </c>
      <c r="D3092">
        <v>6282</v>
      </c>
    </row>
    <row r="3093" spans="1:4">
      <c r="A3093" t="s">
        <v>7174</v>
      </c>
      <c r="B3093" t="s">
        <v>7175</v>
      </c>
      <c r="C3093" t="s">
        <v>7174</v>
      </c>
      <c r="D3093">
        <v>6510</v>
      </c>
    </row>
    <row r="3094" spans="1:4">
      <c r="A3094" t="s">
        <v>7176</v>
      </c>
      <c r="B3094" t="s">
        <v>7177</v>
      </c>
      <c r="C3094" t="s">
        <v>7176</v>
      </c>
      <c r="D3094">
        <v>7372</v>
      </c>
    </row>
    <row r="3095" spans="1:4">
      <c r="A3095" t="s">
        <v>7178</v>
      </c>
      <c r="B3095" t="s">
        <v>7179</v>
      </c>
      <c r="C3095" t="s">
        <v>7178</v>
      </c>
      <c r="D3095">
        <v>6022</v>
      </c>
    </row>
    <row r="3096" spans="1:4">
      <c r="A3096" t="s">
        <v>7180</v>
      </c>
      <c r="B3096" t="s">
        <v>7181</v>
      </c>
      <c r="C3096" t="s">
        <v>7180</v>
      </c>
      <c r="D3096">
        <v>2836</v>
      </c>
    </row>
    <row r="3097" spans="1:4">
      <c r="A3097" t="s">
        <v>7182</v>
      </c>
      <c r="B3097" t="s">
        <v>7183</v>
      </c>
      <c r="C3097" t="s">
        <v>7182</v>
      </c>
      <c r="D3097">
        <v>2834</v>
      </c>
    </row>
    <row r="3098" spans="1:4">
      <c r="A3098" t="s">
        <v>7184</v>
      </c>
      <c r="B3098" t="s">
        <v>7185</v>
      </c>
      <c r="C3098" t="s">
        <v>7184</v>
      </c>
      <c r="D3098">
        <v>6022</v>
      </c>
    </row>
    <row r="3099" spans="1:4">
      <c r="A3099" t="s">
        <v>7186</v>
      </c>
      <c r="B3099" t="s">
        <v>7187</v>
      </c>
      <c r="C3099" t="s">
        <v>7186</v>
      </c>
      <c r="D3099">
        <v>3674</v>
      </c>
    </row>
    <row r="3100" spans="1:4">
      <c r="A3100" t="s">
        <v>7188</v>
      </c>
      <c r="B3100" t="s">
        <v>7189</v>
      </c>
      <c r="C3100" t="s">
        <v>7188</v>
      </c>
      <c r="D3100">
        <v>2750</v>
      </c>
    </row>
    <row r="3101" spans="1:4">
      <c r="A3101" t="s">
        <v>7190</v>
      </c>
      <c r="B3101" t="s">
        <v>7191</v>
      </c>
      <c r="C3101" t="s">
        <v>7190</v>
      </c>
      <c r="D3101">
        <v>6036</v>
      </c>
    </row>
    <row r="3102" spans="1:4">
      <c r="A3102" t="s">
        <v>7192</v>
      </c>
      <c r="B3102" t="s">
        <v>7193</v>
      </c>
      <c r="C3102" t="s">
        <v>7192</v>
      </c>
      <c r="D3102">
        <v>2990</v>
      </c>
    </row>
    <row r="3103" spans="1:4">
      <c r="A3103" t="s">
        <v>7194</v>
      </c>
      <c r="B3103" t="s">
        <v>7195</v>
      </c>
      <c r="C3103" t="s">
        <v>7194</v>
      </c>
      <c r="D3103">
        <v>3663</v>
      </c>
    </row>
    <row r="3104" spans="1:4">
      <c r="A3104" t="s">
        <v>7196</v>
      </c>
      <c r="B3104" t="s">
        <v>7197</v>
      </c>
      <c r="C3104" t="s">
        <v>7196</v>
      </c>
      <c r="D3104">
        <v>2834</v>
      </c>
    </row>
    <row r="3105" spans="1:4">
      <c r="A3105" t="s">
        <v>7198</v>
      </c>
      <c r="B3105" t="s">
        <v>7199</v>
      </c>
      <c r="C3105" t="s">
        <v>7198</v>
      </c>
      <c r="D3105">
        <v>7372</v>
      </c>
    </row>
    <row r="3106" spans="1:4">
      <c r="A3106" t="s">
        <v>7200</v>
      </c>
      <c r="B3106" t="s">
        <v>7201</v>
      </c>
      <c r="C3106" t="s">
        <v>7200</v>
      </c>
      <c r="D3106">
        <v>7372</v>
      </c>
    </row>
    <row r="3107" spans="1:4">
      <c r="A3107" t="s">
        <v>7202</v>
      </c>
      <c r="B3107" t="s">
        <v>7203</v>
      </c>
      <c r="C3107" t="s">
        <v>7202</v>
      </c>
      <c r="D3107">
        <v>3350</v>
      </c>
    </row>
    <row r="3108" spans="1:4">
      <c r="A3108" t="s">
        <v>7204</v>
      </c>
      <c r="B3108" t="s">
        <v>7205</v>
      </c>
      <c r="C3108" t="s">
        <v>7204</v>
      </c>
      <c r="D3108">
        <v>1731</v>
      </c>
    </row>
    <row r="3109" spans="1:4">
      <c r="A3109" t="s">
        <v>7206</v>
      </c>
      <c r="B3109" t="s">
        <v>7207</v>
      </c>
      <c r="C3109" t="s">
        <v>7206</v>
      </c>
      <c r="D3109">
        <v>3826</v>
      </c>
    </row>
    <row r="3110" spans="1:4">
      <c r="A3110" t="s">
        <v>7208</v>
      </c>
      <c r="B3110" t="s">
        <v>7209</v>
      </c>
      <c r="C3110" t="s">
        <v>7208</v>
      </c>
      <c r="D3110">
        <v>3572</v>
      </c>
    </row>
    <row r="3111" spans="1:4">
      <c r="A3111" t="s">
        <v>7210</v>
      </c>
      <c r="B3111" t="s">
        <v>7211</v>
      </c>
      <c r="C3111" t="s">
        <v>7210</v>
      </c>
      <c r="D3111">
        <v>6199</v>
      </c>
    </row>
    <row r="3112" spans="1:4">
      <c r="A3112" t="s">
        <v>7212</v>
      </c>
      <c r="B3112" t="s">
        <v>7213</v>
      </c>
      <c r="C3112" t="s">
        <v>7212</v>
      </c>
      <c r="D3112">
        <v>8071</v>
      </c>
    </row>
    <row r="3113" spans="1:4">
      <c r="A3113" t="s">
        <v>7214</v>
      </c>
      <c r="B3113" t="s">
        <v>7215</v>
      </c>
      <c r="C3113" t="s">
        <v>7214</v>
      </c>
      <c r="D3113">
        <v>4953</v>
      </c>
    </row>
    <row r="3114" spans="1:4">
      <c r="A3114" t="s">
        <v>7216</v>
      </c>
      <c r="B3114" t="s">
        <v>7217</v>
      </c>
      <c r="C3114" t="s">
        <v>7216</v>
      </c>
      <c r="D3114">
        <v>3674</v>
      </c>
    </row>
    <row r="3115" spans="1:4">
      <c r="A3115" t="s">
        <v>7218</v>
      </c>
      <c r="B3115" t="s">
        <v>7219</v>
      </c>
      <c r="C3115" t="s">
        <v>7218</v>
      </c>
      <c r="D3115">
        <v>7389</v>
      </c>
    </row>
    <row r="3116" spans="1:4">
      <c r="A3116" t="s">
        <v>7220</v>
      </c>
      <c r="B3116" t="s">
        <v>7221</v>
      </c>
      <c r="C3116" t="s">
        <v>7220</v>
      </c>
      <c r="D3116">
        <v>7372</v>
      </c>
    </row>
    <row r="3117" spans="1:4">
      <c r="A3117" t="s">
        <v>7222</v>
      </c>
      <c r="B3117" t="s">
        <v>7223</v>
      </c>
      <c r="C3117" t="s">
        <v>7222</v>
      </c>
      <c r="D3117">
        <v>2835</v>
      </c>
    </row>
    <row r="3118" spans="1:4">
      <c r="A3118" t="s">
        <v>7224</v>
      </c>
      <c r="B3118" t="s">
        <v>7225</v>
      </c>
      <c r="C3118" t="s">
        <v>7224</v>
      </c>
      <c r="D3118">
        <v>7310</v>
      </c>
    </row>
    <row r="3119" spans="1:4">
      <c r="A3119" t="s">
        <v>7226</v>
      </c>
      <c r="B3119" t="s">
        <v>7227</v>
      </c>
      <c r="C3119" t="s">
        <v>7226</v>
      </c>
      <c r="D3119">
        <v>5961</v>
      </c>
    </row>
    <row r="3120" spans="1:4">
      <c r="A3120" t="s">
        <v>7228</v>
      </c>
      <c r="B3120" t="s">
        <v>7229</v>
      </c>
      <c r="C3120" t="s">
        <v>7228</v>
      </c>
      <c r="D3120">
        <v>7370</v>
      </c>
    </row>
    <row r="3121" spans="1:4">
      <c r="A3121" t="s">
        <v>7230</v>
      </c>
      <c r="B3121" t="s">
        <v>7231</v>
      </c>
      <c r="C3121" t="s">
        <v>7230</v>
      </c>
      <c r="D3121">
        <v>3678</v>
      </c>
    </row>
    <row r="3122" spans="1:4">
      <c r="A3122" t="s">
        <v>7232</v>
      </c>
      <c r="B3122" t="s">
        <v>7233</v>
      </c>
      <c r="C3122" t="s">
        <v>7232</v>
      </c>
      <c r="D3122">
        <v>7370</v>
      </c>
    </row>
    <row r="3123" spans="1:4">
      <c r="A3123" t="s">
        <v>7234</v>
      </c>
      <c r="B3123" t="s">
        <v>7235</v>
      </c>
      <c r="C3123" t="s">
        <v>7234</v>
      </c>
      <c r="D3123">
        <v>5065</v>
      </c>
    </row>
    <row r="3124" spans="1:4">
      <c r="A3124" t="s">
        <v>7236</v>
      </c>
      <c r="B3124" t="s">
        <v>7237</v>
      </c>
      <c r="C3124" t="s">
        <v>7236</v>
      </c>
      <c r="D3124">
        <v>3577</v>
      </c>
    </row>
    <row r="3125" spans="1:4">
      <c r="A3125" t="s">
        <v>7238</v>
      </c>
      <c r="B3125" t="s">
        <v>7239</v>
      </c>
      <c r="C3125" t="s">
        <v>7238</v>
      </c>
      <c r="D3125">
        <v>6351</v>
      </c>
    </row>
    <row r="3126" spans="1:4">
      <c r="A3126" t="s">
        <v>7240</v>
      </c>
      <c r="B3126" t="s">
        <v>7241</v>
      </c>
      <c r="C3126" t="s">
        <v>7240</v>
      </c>
      <c r="D3126">
        <v>4731</v>
      </c>
    </row>
    <row r="3127" spans="1:4">
      <c r="A3127" t="s">
        <v>7242</v>
      </c>
      <c r="B3127" t="s">
        <v>7243</v>
      </c>
      <c r="C3127" t="s">
        <v>7242</v>
      </c>
      <c r="D3127">
        <v>6519</v>
      </c>
    </row>
    <row r="3128" spans="1:4">
      <c r="A3128" t="s">
        <v>7244</v>
      </c>
      <c r="B3128" t="s">
        <v>7245</v>
      </c>
      <c r="C3128" t="s">
        <v>7244</v>
      </c>
      <c r="D3128">
        <v>2834</v>
      </c>
    </row>
    <row r="3129" spans="1:4">
      <c r="A3129" t="s">
        <v>7246</v>
      </c>
      <c r="B3129" t="s">
        <v>7247</v>
      </c>
      <c r="C3129" t="s">
        <v>7246</v>
      </c>
      <c r="D3129">
        <v>8071</v>
      </c>
    </row>
    <row r="3130" spans="1:4">
      <c r="A3130" t="s">
        <v>7248</v>
      </c>
      <c r="B3130" t="s">
        <v>7249</v>
      </c>
      <c r="C3130" t="s">
        <v>7248</v>
      </c>
      <c r="D3130">
        <v>7389</v>
      </c>
    </row>
    <row r="3131" spans="1:4">
      <c r="A3131" t="s">
        <v>7250</v>
      </c>
      <c r="B3131" t="s">
        <v>7251</v>
      </c>
      <c r="C3131" t="s">
        <v>7250</v>
      </c>
      <c r="D3131">
        <v>6500</v>
      </c>
    </row>
    <row r="3132" spans="1:4">
      <c r="A3132" t="s">
        <v>7252</v>
      </c>
      <c r="B3132" t="s">
        <v>7253</v>
      </c>
      <c r="C3132" t="s">
        <v>7252</v>
      </c>
      <c r="D3132">
        <v>2320</v>
      </c>
    </row>
    <row r="3133" spans="1:4">
      <c r="A3133" t="s">
        <v>7254</v>
      </c>
      <c r="B3133" t="s">
        <v>7255</v>
      </c>
      <c r="C3133" t="s">
        <v>7254</v>
      </c>
      <c r="D3133">
        <v>1220</v>
      </c>
    </row>
    <row r="3134" spans="1:4">
      <c r="A3134" t="s">
        <v>7256</v>
      </c>
      <c r="B3134" t="s">
        <v>7257</v>
      </c>
      <c r="C3134" t="s">
        <v>7256</v>
      </c>
      <c r="D3134">
        <v>3674</v>
      </c>
    </row>
    <row r="3135" spans="1:4">
      <c r="A3135" t="s">
        <v>7258</v>
      </c>
      <c r="B3135" t="s">
        <v>7259</v>
      </c>
      <c r="C3135" t="s">
        <v>7258</v>
      </c>
      <c r="D3135">
        <v>6022</v>
      </c>
    </row>
    <row r="3136" spans="1:4">
      <c r="A3136" t="s">
        <v>7260</v>
      </c>
      <c r="B3136" t="s">
        <v>7261</v>
      </c>
      <c r="C3136" t="s">
        <v>7260</v>
      </c>
      <c r="D3136">
        <v>1311</v>
      </c>
    </row>
    <row r="3137" spans="1:4">
      <c r="A3137" t="s">
        <v>7262</v>
      </c>
      <c r="B3137" t="s">
        <v>7263</v>
      </c>
      <c r="C3137" t="s">
        <v>7262</v>
      </c>
      <c r="D3137">
        <v>1389</v>
      </c>
    </row>
    <row r="3138" spans="1:4">
      <c r="A3138" t="s">
        <v>7264</v>
      </c>
      <c r="B3138" t="s">
        <v>7265</v>
      </c>
      <c r="C3138" t="s">
        <v>7264</v>
      </c>
      <c r="D3138">
        <v>1311</v>
      </c>
    </row>
    <row r="3139" spans="1:4">
      <c r="A3139" t="s">
        <v>7266</v>
      </c>
      <c r="B3139" t="s">
        <v>7267</v>
      </c>
      <c r="C3139" t="s">
        <v>7266</v>
      </c>
      <c r="D3139">
        <v>2834</v>
      </c>
    </row>
    <row r="3140" spans="1:4">
      <c r="A3140" t="s">
        <v>7268</v>
      </c>
      <c r="B3140" t="s">
        <v>7269</v>
      </c>
      <c r="C3140" t="s">
        <v>7268</v>
      </c>
      <c r="D3140">
        <v>2670</v>
      </c>
    </row>
    <row r="3141" spans="1:4">
      <c r="A3141" t="s">
        <v>7270</v>
      </c>
      <c r="B3141" t="s">
        <v>7271</v>
      </c>
      <c r="C3141" t="s">
        <v>7270</v>
      </c>
      <c r="D3141">
        <v>3826</v>
      </c>
    </row>
    <row r="3142" spans="1:4">
      <c r="A3142" t="s">
        <v>7272</v>
      </c>
      <c r="B3142" t="s">
        <v>7273</v>
      </c>
      <c r="C3142" t="s">
        <v>7272</v>
      </c>
      <c r="D3142">
        <v>7372</v>
      </c>
    </row>
    <row r="3143" spans="1:4">
      <c r="A3143" t="s">
        <v>7274</v>
      </c>
      <c r="B3143" t="s">
        <v>7275</v>
      </c>
      <c r="C3143" t="s">
        <v>7274</v>
      </c>
      <c r="D3143">
        <v>2834</v>
      </c>
    </row>
    <row r="3144" spans="1:4">
      <c r="A3144" t="s">
        <v>7276</v>
      </c>
      <c r="B3144" t="s">
        <v>7277</v>
      </c>
      <c r="C3144" t="s">
        <v>7276</v>
      </c>
      <c r="D3144">
        <v>4922</v>
      </c>
    </row>
    <row r="3145" spans="1:4">
      <c r="A3145" t="s">
        <v>7278</v>
      </c>
      <c r="B3145" t="s">
        <v>7279</v>
      </c>
      <c r="C3145" t="s">
        <v>7278</v>
      </c>
      <c r="D3145">
        <v>6211</v>
      </c>
    </row>
    <row r="3146" spans="1:4">
      <c r="A3146" t="s">
        <v>7280</v>
      </c>
      <c r="B3146" t="s">
        <v>7281</v>
      </c>
      <c r="C3146" t="s">
        <v>7280</v>
      </c>
      <c r="D3146">
        <v>2611</v>
      </c>
    </row>
    <row r="3147" spans="1:4">
      <c r="A3147" t="s">
        <v>7282</v>
      </c>
      <c r="B3147" t="s">
        <v>7283</v>
      </c>
      <c r="C3147" t="s">
        <v>7282</v>
      </c>
      <c r="D3147">
        <v>6798</v>
      </c>
    </row>
    <row r="3148" spans="1:4">
      <c r="A3148" t="s">
        <v>7284</v>
      </c>
      <c r="B3148" t="s">
        <v>7285</v>
      </c>
      <c r="C3148" t="s">
        <v>7284</v>
      </c>
      <c r="D3148">
        <v>3724</v>
      </c>
    </row>
    <row r="3149" spans="1:4">
      <c r="A3149" t="s">
        <v>7286</v>
      </c>
      <c r="B3149" t="s">
        <v>7287</v>
      </c>
      <c r="C3149" t="s">
        <v>7286</v>
      </c>
      <c r="D3149">
        <v>6022</v>
      </c>
    </row>
    <row r="3150" spans="1:4">
      <c r="A3150" t="s">
        <v>7288</v>
      </c>
      <c r="B3150" t="s">
        <v>7289</v>
      </c>
      <c r="C3150" t="s">
        <v>7288</v>
      </c>
      <c r="D3150">
        <v>3562</v>
      </c>
    </row>
    <row r="3151" spans="1:4">
      <c r="A3151" t="s">
        <v>7290</v>
      </c>
      <c r="B3151" t="s">
        <v>7291</v>
      </c>
      <c r="C3151" t="s">
        <v>7290</v>
      </c>
      <c r="D3151">
        <v>5812</v>
      </c>
    </row>
    <row r="3152" spans="1:4">
      <c r="A3152" t="s">
        <v>7292</v>
      </c>
      <c r="B3152" t="s">
        <v>7293</v>
      </c>
      <c r="C3152" t="s">
        <v>7292</v>
      </c>
      <c r="D3152">
        <v>7363</v>
      </c>
    </row>
    <row r="3153" spans="1:4">
      <c r="A3153" t="s">
        <v>7294</v>
      </c>
      <c r="B3153" t="s">
        <v>7295</v>
      </c>
      <c r="C3153" t="s">
        <v>7294</v>
      </c>
      <c r="D3153">
        <v>6531</v>
      </c>
    </row>
    <row r="3154" spans="1:4">
      <c r="A3154" t="s">
        <v>7296</v>
      </c>
      <c r="B3154" t="s">
        <v>7297</v>
      </c>
      <c r="C3154" t="s">
        <v>7296</v>
      </c>
      <c r="D3154">
        <v>7830</v>
      </c>
    </row>
    <row r="3155" spans="1:4">
      <c r="A3155" t="s">
        <v>7298</v>
      </c>
      <c r="B3155" t="s">
        <v>7299</v>
      </c>
      <c r="C3155" t="s">
        <v>7298</v>
      </c>
      <c r="D3155">
        <v>6798</v>
      </c>
    </row>
    <row r="3156" spans="1:4">
      <c r="A3156" t="s">
        <v>7300</v>
      </c>
      <c r="B3156" t="s">
        <v>7301</v>
      </c>
      <c r="C3156" t="s">
        <v>7300</v>
      </c>
      <c r="D3156">
        <v>2000</v>
      </c>
    </row>
    <row r="3157" spans="1:4">
      <c r="A3157" t="s">
        <v>7302</v>
      </c>
      <c r="B3157" t="s">
        <v>7303</v>
      </c>
      <c r="C3157" t="s">
        <v>7302</v>
      </c>
      <c r="D3157">
        <v>7371</v>
      </c>
    </row>
    <row r="3158" spans="1:4">
      <c r="A3158" t="s">
        <v>7304</v>
      </c>
      <c r="B3158" t="s">
        <v>7305</v>
      </c>
      <c r="C3158" t="s">
        <v>7304</v>
      </c>
      <c r="D3158">
        <v>6798</v>
      </c>
    </row>
    <row r="3159" spans="1:4">
      <c r="A3159" t="s">
        <v>7306</v>
      </c>
      <c r="B3159" t="s">
        <v>7307</v>
      </c>
      <c r="C3159" t="s">
        <v>7306</v>
      </c>
      <c r="D3159">
        <v>2834</v>
      </c>
    </row>
    <row r="3160" spans="1:4">
      <c r="A3160" t="s">
        <v>7308</v>
      </c>
      <c r="B3160" t="s">
        <v>7309</v>
      </c>
      <c r="C3160" t="s">
        <v>7308</v>
      </c>
      <c r="D3160">
        <v>1389</v>
      </c>
    </row>
    <row r="3161" spans="1:4">
      <c r="A3161" t="s">
        <v>7310</v>
      </c>
      <c r="B3161" t="s">
        <v>7311</v>
      </c>
      <c r="C3161" t="s">
        <v>7310</v>
      </c>
      <c r="D3161">
        <v>2834</v>
      </c>
    </row>
    <row r="3162" spans="1:4">
      <c r="A3162" t="s">
        <v>7312</v>
      </c>
      <c r="B3162" t="s">
        <v>7313</v>
      </c>
      <c r="C3162" t="s">
        <v>7312</v>
      </c>
      <c r="D3162">
        <v>2836</v>
      </c>
    </row>
    <row r="3163" spans="1:4">
      <c r="A3163" t="s">
        <v>7314</v>
      </c>
      <c r="B3163" t="s">
        <v>7315</v>
      </c>
      <c r="C3163" t="s">
        <v>7314</v>
      </c>
      <c r="D3163">
        <v>6022</v>
      </c>
    </row>
    <row r="3164" spans="1:4">
      <c r="A3164" t="s">
        <v>7316</v>
      </c>
      <c r="B3164" t="s">
        <v>7317</v>
      </c>
      <c r="C3164" t="s">
        <v>7316</v>
      </c>
      <c r="D3164">
        <v>5812</v>
      </c>
    </row>
    <row r="3165" spans="1:4">
      <c r="A3165" t="s">
        <v>7318</v>
      </c>
      <c r="B3165" t="s">
        <v>7319</v>
      </c>
      <c r="C3165" t="s">
        <v>7318</v>
      </c>
      <c r="D3165">
        <v>7011</v>
      </c>
    </row>
    <row r="3166" spans="1:4">
      <c r="A3166" t="s">
        <v>7320</v>
      </c>
      <c r="B3166" t="s">
        <v>7321</v>
      </c>
      <c r="C3166" t="s">
        <v>7320</v>
      </c>
      <c r="D3166">
        <v>7372</v>
      </c>
    </row>
    <row r="3167" spans="1:4">
      <c r="A3167" t="s">
        <v>7322</v>
      </c>
      <c r="B3167" t="s">
        <v>7323</v>
      </c>
      <c r="C3167" t="s">
        <v>7322</v>
      </c>
      <c r="D3167">
        <v>7841</v>
      </c>
    </row>
    <row r="3168" spans="1:4">
      <c r="A3168" t="s">
        <v>7324</v>
      </c>
      <c r="B3168" t="s">
        <v>7325</v>
      </c>
      <c r="C3168" t="s">
        <v>7324</v>
      </c>
      <c r="D3168">
        <v>6531</v>
      </c>
    </row>
    <row r="3169" spans="1:4">
      <c r="A3169" t="s">
        <v>7326</v>
      </c>
      <c r="B3169" t="s">
        <v>7327</v>
      </c>
      <c r="C3169" t="s">
        <v>7326</v>
      </c>
      <c r="D3169">
        <v>3760</v>
      </c>
    </row>
    <row r="3170" spans="1:4">
      <c r="A3170" t="s">
        <v>7328</v>
      </c>
      <c r="B3170" t="s">
        <v>7329</v>
      </c>
      <c r="C3170" t="s">
        <v>7328</v>
      </c>
      <c r="D3170">
        <v>6798</v>
      </c>
    </row>
    <row r="3171" spans="1:4">
      <c r="A3171" t="s">
        <v>7330</v>
      </c>
      <c r="B3171" t="s">
        <v>7331</v>
      </c>
      <c r="C3171" t="s">
        <v>7330</v>
      </c>
      <c r="D3171">
        <v>3711</v>
      </c>
    </row>
    <row r="3172" spans="1:4">
      <c r="A3172" t="s">
        <v>7332</v>
      </c>
      <c r="B3172" t="s">
        <v>7333</v>
      </c>
      <c r="C3172" t="s">
        <v>7332</v>
      </c>
      <c r="D3172">
        <v>2086</v>
      </c>
    </row>
    <row r="3173" spans="1:4">
      <c r="A3173" t="s">
        <v>7334</v>
      </c>
      <c r="B3173" t="s">
        <v>7335</v>
      </c>
      <c r="C3173" t="s">
        <v>7334</v>
      </c>
      <c r="D3173">
        <v>3621</v>
      </c>
    </row>
    <row r="3174" spans="1:4">
      <c r="A3174" t="s">
        <v>7336</v>
      </c>
      <c r="B3174" t="s">
        <v>7337</v>
      </c>
      <c r="C3174" t="s">
        <v>7336</v>
      </c>
      <c r="D3174">
        <v>6798</v>
      </c>
    </row>
    <row r="3175" spans="1:4">
      <c r="A3175" t="s">
        <v>7338</v>
      </c>
      <c r="B3175" t="s">
        <v>7339</v>
      </c>
      <c r="C3175" t="s">
        <v>7338</v>
      </c>
      <c r="D3175">
        <v>2834</v>
      </c>
    </row>
    <row r="3176" spans="1:4">
      <c r="A3176" t="s">
        <v>7340</v>
      </c>
      <c r="B3176" t="s">
        <v>7341</v>
      </c>
      <c r="C3176" t="s">
        <v>7340</v>
      </c>
      <c r="D3176">
        <v>2836</v>
      </c>
    </row>
    <row r="3177" spans="1:4">
      <c r="A3177" t="s">
        <v>7342</v>
      </c>
      <c r="B3177" t="s">
        <v>7343</v>
      </c>
      <c r="C3177" t="s">
        <v>7342</v>
      </c>
      <c r="D3177">
        <v>6141</v>
      </c>
    </row>
    <row r="3178" spans="1:4">
      <c r="A3178" t="s">
        <v>7344</v>
      </c>
      <c r="B3178" t="s">
        <v>7345</v>
      </c>
      <c r="C3178" t="s">
        <v>7344</v>
      </c>
      <c r="D3178">
        <v>6021</v>
      </c>
    </row>
    <row r="3179" spans="1:4">
      <c r="A3179" t="s">
        <v>7346</v>
      </c>
      <c r="B3179" t="s">
        <v>7347</v>
      </c>
      <c r="C3179" t="s">
        <v>7346</v>
      </c>
      <c r="D3179">
        <v>7200</v>
      </c>
    </row>
    <row r="3180" spans="1:4">
      <c r="A3180" t="s">
        <v>7348</v>
      </c>
      <c r="B3180" t="s">
        <v>7349</v>
      </c>
      <c r="C3180" t="s">
        <v>7348</v>
      </c>
      <c r="D3180">
        <v>2834</v>
      </c>
    </row>
    <row r="3181" spans="1:4">
      <c r="A3181" t="s">
        <v>7350</v>
      </c>
      <c r="B3181" t="s">
        <v>7351</v>
      </c>
      <c r="C3181" t="s">
        <v>7350</v>
      </c>
      <c r="D3181">
        <v>6311</v>
      </c>
    </row>
    <row r="3182" spans="1:4">
      <c r="A3182" t="s">
        <v>7352</v>
      </c>
      <c r="B3182" t="s">
        <v>7353</v>
      </c>
      <c r="C3182" t="s">
        <v>7352</v>
      </c>
      <c r="D3182">
        <v>3669</v>
      </c>
    </row>
    <row r="3183" spans="1:4">
      <c r="A3183" t="s">
        <v>7354</v>
      </c>
      <c r="B3183" t="s">
        <v>7355</v>
      </c>
      <c r="C3183" t="s">
        <v>7354</v>
      </c>
      <c r="D3183">
        <v>2836</v>
      </c>
    </row>
    <row r="3184" spans="1:4">
      <c r="A3184" t="s">
        <v>7356</v>
      </c>
      <c r="B3184" t="s">
        <v>7357</v>
      </c>
      <c r="C3184" t="s">
        <v>7356</v>
      </c>
      <c r="D3184">
        <v>3825</v>
      </c>
    </row>
    <row r="3185" spans="1:4">
      <c r="A3185" t="s">
        <v>7358</v>
      </c>
      <c r="B3185" t="s">
        <v>7359</v>
      </c>
      <c r="C3185" t="s">
        <v>7358</v>
      </c>
      <c r="D3185">
        <v>6411</v>
      </c>
    </row>
    <row r="3186" spans="1:4">
      <c r="A3186" t="s">
        <v>7360</v>
      </c>
      <c r="B3186" t="s">
        <v>7361</v>
      </c>
      <c r="C3186" t="s">
        <v>7360</v>
      </c>
      <c r="D3186">
        <v>5051</v>
      </c>
    </row>
    <row r="3187" spans="1:4">
      <c r="A3187" t="s">
        <v>7362</v>
      </c>
      <c r="B3187" t="s">
        <v>7363</v>
      </c>
      <c r="C3187" t="s">
        <v>7362</v>
      </c>
      <c r="D3187">
        <v>2834</v>
      </c>
    </row>
    <row r="3188" spans="1:4">
      <c r="A3188" t="s">
        <v>7364</v>
      </c>
      <c r="B3188" t="s">
        <v>7365</v>
      </c>
      <c r="C3188" t="s">
        <v>7364</v>
      </c>
      <c r="D3188">
        <v>4899</v>
      </c>
    </row>
    <row r="3189" spans="1:4">
      <c r="A3189" t="s">
        <v>7366</v>
      </c>
      <c r="B3189" t="s">
        <v>7367</v>
      </c>
      <c r="C3189" t="s">
        <v>7366</v>
      </c>
      <c r="D3189">
        <v>7389</v>
      </c>
    </row>
    <row r="3190" spans="1:4">
      <c r="A3190" t="s">
        <v>7368</v>
      </c>
      <c r="B3190" t="s">
        <v>7369</v>
      </c>
      <c r="C3190" t="s">
        <v>7368</v>
      </c>
      <c r="D3190">
        <v>6331</v>
      </c>
    </row>
    <row r="3191" spans="1:4">
      <c r="A3191" t="s">
        <v>7370</v>
      </c>
      <c r="B3191" t="s">
        <v>7371</v>
      </c>
      <c r="C3191" t="s">
        <v>7370</v>
      </c>
      <c r="D3191">
        <v>6022</v>
      </c>
    </row>
    <row r="3192" spans="1:4">
      <c r="A3192" t="s">
        <v>7372</v>
      </c>
      <c r="B3192" t="s">
        <v>7373</v>
      </c>
      <c r="C3192" t="s">
        <v>7372</v>
      </c>
      <c r="D3192">
        <v>3674</v>
      </c>
    </row>
    <row r="3193" spans="1:4">
      <c r="A3193" t="s">
        <v>7374</v>
      </c>
      <c r="B3193" t="s">
        <v>7375</v>
      </c>
      <c r="C3193" t="s">
        <v>7374</v>
      </c>
      <c r="D3193">
        <v>5500</v>
      </c>
    </row>
    <row r="3194" spans="1:4">
      <c r="A3194" t="s">
        <v>7376</v>
      </c>
      <c r="B3194" t="s">
        <v>7377</v>
      </c>
      <c r="C3194" t="s">
        <v>7376</v>
      </c>
      <c r="D3194">
        <v>7359</v>
      </c>
    </row>
    <row r="3195" spans="1:4">
      <c r="A3195" t="s">
        <v>7378</v>
      </c>
      <c r="B3195" t="s">
        <v>7379</v>
      </c>
      <c r="C3195" t="s">
        <v>7378</v>
      </c>
      <c r="D3195">
        <v>5990</v>
      </c>
    </row>
    <row r="3196" spans="1:4">
      <c r="A3196" t="s">
        <v>7380</v>
      </c>
      <c r="B3196" t="s">
        <v>7381</v>
      </c>
      <c r="C3196" t="s">
        <v>7380</v>
      </c>
      <c r="D3196">
        <v>7389</v>
      </c>
    </row>
    <row r="3197" spans="1:4">
      <c r="A3197" t="s">
        <v>7382</v>
      </c>
      <c r="B3197" t="s">
        <v>7383</v>
      </c>
      <c r="C3197" t="s">
        <v>7382</v>
      </c>
      <c r="D3197">
        <v>2836</v>
      </c>
    </row>
    <row r="3198" spans="1:4">
      <c r="A3198" t="s">
        <v>7384</v>
      </c>
      <c r="B3198" t="s">
        <v>7385</v>
      </c>
      <c r="C3198" t="s">
        <v>7384</v>
      </c>
      <c r="D3198">
        <v>3841</v>
      </c>
    </row>
    <row r="3199" spans="1:4">
      <c r="A3199" t="s">
        <v>7386</v>
      </c>
      <c r="B3199" t="s">
        <v>7387</v>
      </c>
      <c r="C3199" t="s">
        <v>7386</v>
      </c>
      <c r="D3199">
        <v>6022</v>
      </c>
    </row>
    <row r="3200" spans="1:4">
      <c r="A3200" t="s">
        <v>7388</v>
      </c>
      <c r="B3200" t="s">
        <v>7389</v>
      </c>
      <c r="C3200" t="s">
        <v>7388</v>
      </c>
      <c r="D3200">
        <v>6022</v>
      </c>
    </row>
    <row r="3201" spans="1:4">
      <c r="A3201" t="s">
        <v>7390</v>
      </c>
      <c r="B3201" t="s">
        <v>7391</v>
      </c>
      <c r="C3201" t="s">
        <v>7390</v>
      </c>
      <c r="D3201">
        <v>4953</v>
      </c>
    </row>
    <row r="3202" spans="1:4">
      <c r="A3202" t="s">
        <v>7392</v>
      </c>
      <c r="B3202" t="s">
        <v>7393</v>
      </c>
      <c r="C3202" t="s">
        <v>7392</v>
      </c>
      <c r="D3202">
        <v>7389</v>
      </c>
    </row>
    <row r="3203" spans="1:4">
      <c r="A3203" t="s">
        <v>7394</v>
      </c>
      <c r="B3203" t="s">
        <v>7395</v>
      </c>
      <c r="C3203" t="s">
        <v>7394</v>
      </c>
      <c r="D3203">
        <v>1311</v>
      </c>
    </row>
    <row r="3204" spans="1:4">
      <c r="A3204" t="s">
        <v>7396</v>
      </c>
      <c r="B3204" t="s">
        <v>7397</v>
      </c>
      <c r="C3204" t="s">
        <v>7396</v>
      </c>
      <c r="D3204">
        <v>7900</v>
      </c>
    </row>
    <row r="3205" spans="1:4">
      <c r="A3205" t="s">
        <v>7398</v>
      </c>
      <c r="B3205" t="s">
        <v>7399</v>
      </c>
      <c r="C3205" t="s">
        <v>7398</v>
      </c>
      <c r="D3205">
        <v>5072</v>
      </c>
    </row>
    <row r="3206" spans="1:4">
      <c r="A3206" t="s">
        <v>7400</v>
      </c>
      <c r="B3206" t="s">
        <v>7401</v>
      </c>
      <c r="C3206" t="s">
        <v>7400</v>
      </c>
      <c r="D3206">
        <v>3841</v>
      </c>
    </row>
    <row r="3207" spans="1:4">
      <c r="A3207" t="s">
        <v>7402</v>
      </c>
      <c r="B3207" t="s">
        <v>7403</v>
      </c>
      <c r="C3207" t="s">
        <v>7402</v>
      </c>
      <c r="D3207">
        <v>2621</v>
      </c>
    </row>
    <row r="3208" spans="1:4">
      <c r="A3208" t="s">
        <v>7404</v>
      </c>
      <c r="B3208" t="s">
        <v>7405</v>
      </c>
      <c r="C3208" t="s">
        <v>7404</v>
      </c>
      <c r="D3208">
        <v>7389</v>
      </c>
    </row>
    <row r="3209" spans="1:4">
      <c r="A3209" t="s">
        <v>7406</v>
      </c>
      <c r="B3209" t="s">
        <v>7407</v>
      </c>
      <c r="C3209" t="s">
        <v>7406</v>
      </c>
      <c r="D3209">
        <v>5812</v>
      </c>
    </row>
    <row r="3210" spans="1:4">
      <c r="A3210" t="s">
        <v>7408</v>
      </c>
      <c r="B3210" t="s">
        <v>7409</v>
      </c>
      <c r="C3210" t="s">
        <v>7408</v>
      </c>
      <c r="D3210">
        <v>6798</v>
      </c>
    </row>
    <row r="3211" spans="1:4">
      <c r="A3211" t="s">
        <v>7410</v>
      </c>
      <c r="B3211" t="s">
        <v>7411</v>
      </c>
      <c r="C3211" t="s">
        <v>7410</v>
      </c>
      <c r="D3211">
        <v>3290</v>
      </c>
    </row>
    <row r="3212" spans="1:4">
      <c r="A3212" t="s">
        <v>7412</v>
      </c>
      <c r="B3212" t="s">
        <v>7413</v>
      </c>
      <c r="C3212" t="s">
        <v>7412</v>
      </c>
      <c r="D3212">
        <v>3841</v>
      </c>
    </row>
    <row r="3213" spans="1:4">
      <c r="A3213" t="s">
        <v>7414</v>
      </c>
      <c r="B3213" t="s">
        <v>7415</v>
      </c>
      <c r="C3213" t="s">
        <v>7414</v>
      </c>
      <c r="D3213">
        <v>3711</v>
      </c>
    </row>
    <row r="3214" spans="1:4">
      <c r="A3214" t="s">
        <v>7416</v>
      </c>
      <c r="B3214" t="s">
        <v>7417</v>
      </c>
      <c r="C3214" t="s">
        <v>7416</v>
      </c>
      <c r="D3214">
        <v>2834</v>
      </c>
    </row>
    <row r="3215" spans="1:4">
      <c r="A3215" t="s">
        <v>7418</v>
      </c>
      <c r="B3215" t="s">
        <v>7419</v>
      </c>
      <c r="C3215" t="s">
        <v>7418</v>
      </c>
      <c r="D3215">
        <v>2844</v>
      </c>
    </row>
    <row r="3216" spans="1:4">
      <c r="A3216" t="s">
        <v>7420</v>
      </c>
      <c r="B3216" t="s">
        <v>7421</v>
      </c>
      <c r="C3216" t="s">
        <v>7420</v>
      </c>
      <c r="D3216">
        <v>2836</v>
      </c>
    </row>
    <row r="3217" spans="1:4">
      <c r="A3217" t="s">
        <v>7422</v>
      </c>
      <c r="B3217" t="s">
        <v>7423</v>
      </c>
      <c r="C3217" t="s">
        <v>7422</v>
      </c>
      <c r="D3217">
        <v>5961</v>
      </c>
    </row>
    <row r="3218" spans="1:4">
      <c r="A3218" t="s">
        <v>7424</v>
      </c>
      <c r="B3218" t="s">
        <v>7425</v>
      </c>
      <c r="C3218" t="s">
        <v>7424</v>
      </c>
      <c r="D3218">
        <v>3842</v>
      </c>
    </row>
    <row r="3219" spans="1:4">
      <c r="A3219" t="s">
        <v>7426</v>
      </c>
      <c r="B3219" t="s">
        <v>7427</v>
      </c>
      <c r="C3219" t="s">
        <v>7426</v>
      </c>
      <c r="D3219">
        <v>2860</v>
      </c>
    </row>
    <row r="3220" spans="1:4">
      <c r="A3220" t="s">
        <v>7428</v>
      </c>
      <c r="B3220" t="s">
        <v>7429</v>
      </c>
      <c r="C3220" t="s">
        <v>7428</v>
      </c>
      <c r="D3220">
        <v>6798</v>
      </c>
    </row>
    <row r="3221" spans="1:4">
      <c r="A3221" t="s">
        <v>7430</v>
      </c>
      <c r="B3221" t="s">
        <v>7431</v>
      </c>
      <c r="C3221" t="s">
        <v>7430</v>
      </c>
      <c r="D3221">
        <v>2673</v>
      </c>
    </row>
    <row r="3222" spans="1:4">
      <c r="A3222" t="s">
        <v>7432</v>
      </c>
      <c r="B3222" t="s">
        <v>7433</v>
      </c>
      <c r="C3222" t="s">
        <v>7432</v>
      </c>
      <c r="D3222">
        <v>4923</v>
      </c>
    </row>
    <row r="3223" spans="1:4">
      <c r="A3223" t="s">
        <v>7434</v>
      </c>
      <c r="B3223" t="s">
        <v>7434</v>
      </c>
      <c r="C3223" t="s">
        <v>7434</v>
      </c>
      <c r="D3223">
        <v>5712</v>
      </c>
    </row>
    <row r="3224" spans="1:4">
      <c r="A3224" t="s">
        <v>7435</v>
      </c>
      <c r="B3224" t="s">
        <v>7436</v>
      </c>
      <c r="C3224" t="s">
        <v>7435</v>
      </c>
      <c r="D3224">
        <v>6036</v>
      </c>
    </row>
    <row r="3225" spans="1:4">
      <c r="A3225" t="s">
        <v>7437</v>
      </c>
      <c r="B3225" t="s">
        <v>7438</v>
      </c>
      <c r="C3225" t="s">
        <v>7437</v>
      </c>
      <c r="D3225">
        <v>7373</v>
      </c>
    </row>
    <row r="3226" spans="1:4">
      <c r="A3226" t="s">
        <v>7439</v>
      </c>
      <c r="B3226" t="s">
        <v>7440</v>
      </c>
      <c r="C3226" t="s">
        <v>7439</v>
      </c>
      <c r="D3226">
        <v>2040</v>
      </c>
    </row>
    <row r="3227" spans="1:4">
      <c r="A3227" t="s">
        <v>7441</v>
      </c>
      <c r="B3227" t="s">
        <v>7442</v>
      </c>
      <c r="C3227" t="s">
        <v>7441</v>
      </c>
      <c r="D3227">
        <v>5065</v>
      </c>
    </row>
    <row r="3228" spans="1:4">
      <c r="A3228" t="s">
        <v>7443</v>
      </c>
      <c r="B3228" t="s">
        <v>7444</v>
      </c>
      <c r="C3228" t="s">
        <v>7443</v>
      </c>
      <c r="D3228">
        <v>6022</v>
      </c>
    </row>
    <row r="3229" spans="1:4">
      <c r="A3229" t="s">
        <v>7445</v>
      </c>
      <c r="B3229" t="s">
        <v>7446</v>
      </c>
      <c r="C3229" t="s">
        <v>7445</v>
      </c>
      <c r="D3229">
        <v>2834</v>
      </c>
    </row>
    <row r="3230" spans="1:4">
      <c r="A3230" t="s">
        <v>7447</v>
      </c>
      <c r="B3230" t="s">
        <v>7448</v>
      </c>
      <c r="C3230" t="s">
        <v>7447</v>
      </c>
      <c r="D3230">
        <v>1311</v>
      </c>
    </row>
    <row r="3231" spans="1:4">
      <c r="A3231" t="s">
        <v>7449</v>
      </c>
      <c r="B3231" t="s">
        <v>7450</v>
      </c>
      <c r="C3231" t="s">
        <v>7449</v>
      </c>
      <c r="D3231">
        <v>7389</v>
      </c>
    </row>
    <row r="3232" spans="1:4">
      <c r="A3232" t="s">
        <v>7451</v>
      </c>
      <c r="B3232" t="s">
        <v>7452</v>
      </c>
      <c r="C3232" t="s">
        <v>7451</v>
      </c>
      <c r="D3232">
        <v>1311</v>
      </c>
    </row>
    <row r="3233" spans="1:4">
      <c r="A3233" t="s">
        <v>7453</v>
      </c>
      <c r="B3233" t="s">
        <v>7454</v>
      </c>
      <c r="C3233" t="s">
        <v>7453</v>
      </c>
      <c r="D3233">
        <v>7374</v>
      </c>
    </row>
    <row r="3234" spans="1:4">
      <c r="A3234" t="s">
        <v>7455</v>
      </c>
      <c r="B3234" t="s">
        <v>7456</v>
      </c>
      <c r="C3234" t="s">
        <v>7455</v>
      </c>
      <c r="D3234">
        <v>7374</v>
      </c>
    </row>
    <row r="3235" spans="1:4">
      <c r="A3235" t="s">
        <v>7457</v>
      </c>
      <c r="B3235" t="s">
        <v>7458</v>
      </c>
      <c r="C3235" t="s">
        <v>7457</v>
      </c>
      <c r="D3235">
        <v>7389</v>
      </c>
    </row>
    <row r="3236" spans="1:4">
      <c r="A3236" t="s">
        <v>7459</v>
      </c>
      <c r="B3236" t="s">
        <v>7460</v>
      </c>
      <c r="C3236" t="s">
        <v>7459</v>
      </c>
      <c r="D3236">
        <v>7389</v>
      </c>
    </row>
    <row r="3237" spans="1:4">
      <c r="A3237" t="s">
        <v>7461</v>
      </c>
      <c r="B3237" t="s">
        <v>7462</v>
      </c>
      <c r="C3237" t="s">
        <v>7461</v>
      </c>
      <c r="D3237">
        <v>5912</v>
      </c>
    </row>
    <row r="3238" spans="1:4">
      <c r="A3238" t="s">
        <v>7463</v>
      </c>
      <c r="B3238" t="s">
        <v>7464</v>
      </c>
      <c r="C3238" t="s">
        <v>7463</v>
      </c>
      <c r="D3238">
        <v>6035</v>
      </c>
    </row>
    <row r="3239" spans="1:4">
      <c r="A3239" t="s">
        <v>7465</v>
      </c>
      <c r="B3239" t="s">
        <v>7466</v>
      </c>
      <c r="C3239" t="s">
        <v>7465</v>
      </c>
      <c r="D3239">
        <v>6331</v>
      </c>
    </row>
    <row r="3240" spans="1:4">
      <c r="A3240" t="s">
        <v>7467</v>
      </c>
      <c r="B3240" t="s">
        <v>7468</v>
      </c>
      <c r="C3240" t="s">
        <v>7467</v>
      </c>
      <c r="D3240">
        <v>6798</v>
      </c>
    </row>
    <row r="3241" spans="1:4">
      <c r="A3241" t="s">
        <v>7469</v>
      </c>
      <c r="B3241" t="s">
        <v>7470</v>
      </c>
      <c r="C3241" t="s">
        <v>7469</v>
      </c>
      <c r="D3241">
        <v>2111</v>
      </c>
    </row>
    <row r="3242" spans="1:4">
      <c r="A3242" t="s">
        <v>7471</v>
      </c>
      <c r="B3242" t="s">
        <v>7472</v>
      </c>
      <c r="C3242" t="s">
        <v>7471</v>
      </c>
      <c r="D3242">
        <v>8742</v>
      </c>
    </row>
    <row r="3243" spans="1:4">
      <c r="A3243" t="s">
        <v>7473</v>
      </c>
      <c r="B3243" t="s">
        <v>7474</v>
      </c>
      <c r="C3243" t="s">
        <v>7473</v>
      </c>
      <c r="D3243">
        <v>7363</v>
      </c>
    </row>
    <row r="3244" spans="1:4">
      <c r="A3244" t="s">
        <v>7475</v>
      </c>
      <c r="B3244" t="s">
        <v>7476</v>
      </c>
      <c r="C3244" t="s">
        <v>7475</v>
      </c>
      <c r="D3244">
        <v>6211</v>
      </c>
    </row>
    <row r="3245" spans="1:4">
      <c r="A3245" t="s">
        <v>7477</v>
      </c>
      <c r="B3245" t="s">
        <v>7478</v>
      </c>
      <c r="C3245" t="s">
        <v>7477</v>
      </c>
      <c r="D3245">
        <v>7372</v>
      </c>
    </row>
    <row r="3246" spans="1:4">
      <c r="A3246" t="s">
        <v>7479</v>
      </c>
      <c r="B3246" t="s">
        <v>7480</v>
      </c>
      <c r="C3246" t="s">
        <v>7479</v>
      </c>
      <c r="D3246">
        <v>6162</v>
      </c>
    </row>
    <row r="3247" spans="1:4">
      <c r="A3247" t="s">
        <v>7481</v>
      </c>
      <c r="B3247" t="s">
        <v>7482</v>
      </c>
      <c r="C3247" t="s">
        <v>7481</v>
      </c>
      <c r="D3247">
        <v>3760</v>
      </c>
    </row>
    <row r="3248" spans="1:4">
      <c r="A3248" t="s">
        <v>7483</v>
      </c>
      <c r="B3248" t="s">
        <v>7484</v>
      </c>
      <c r="C3248" t="s">
        <v>7483</v>
      </c>
      <c r="D3248">
        <v>3674</v>
      </c>
    </row>
    <row r="3249" spans="1:4">
      <c r="A3249" t="s">
        <v>7485</v>
      </c>
      <c r="B3249" t="s">
        <v>7486</v>
      </c>
      <c r="C3249" t="s">
        <v>7485</v>
      </c>
      <c r="D3249">
        <v>3829</v>
      </c>
    </row>
    <row r="3250" spans="1:4">
      <c r="A3250" t="s">
        <v>7487</v>
      </c>
      <c r="B3250" t="s">
        <v>7488</v>
      </c>
      <c r="C3250" t="s">
        <v>7487</v>
      </c>
      <c r="D3250">
        <v>2834</v>
      </c>
    </row>
    <row r="3251" spans="1:4">
      <c r="A3251" t="s">
        <v>7489</v>
      </c>
      <c r="B3251" t="s">
        <v>7490</v>
      </c>
      <c r="C3251" t="s">
        <v>7489</v>
      </c>
      <c r="D3251">
        <v>3140</v>
      </c>
    </row>
    <row r="3252" spans="1:4">
      <c r="A3252" t="s">
        <v>7491</v>
      </c>
      <c r="B3252" t="s">
        <v>7492</v>
      </c>
      <c r="C3252" t="s">
        <v>7491</v>
      </c>
      <c r="D3252">
        <v>2060</v>
      </c>
    </row>
    <row r="3253" spans="1:4">
      <c r="A3253" t="s">
        <v>7493</v>
      </c>
      <c r="B3253" t="s">
        <v>7494</v>
      </c>
      <c r="C3253" t="s">
        <v>7493</v>
      </c>
      <c r="D3253">
        <v>2821</v>
      </c>
    </row>
    <row r="3254" spans="1:4">
      <c r="A3254" t="s">
        <v>7495</v>
      </c>
      <c r="B3254" t="s">
        <v>7496</v>
      </c>
      <c r="C3254" t="s">
        <v>7495</v>
      </c>
      <c r="D3254">
        <v>2834</v>
      </c>
    </row>
    <row r="3255" spans="1:4">
      <c r="A3255" t="s">
        <v>7497</v>
      </c>
      <c r="B3255" t="s">
        <v>7498</v>
      </c>
      <c r="C3255" t="s">
        <v>7497</v>
      </c>
      <c r="D3255">
        <v>4841</v>
      </c>
    </row>
    <row r="3256" spans="1:4">
      <c r="A3256" t="s">
        <v>7499</v>
      </c>
      <c r="B3256" t="s">
        <v>7500</v>
      </c>
      <c r="C3256" t="s">
        <v>7499</v>
      </c>
      <c r="D3256">
        <v>7340</v>
      </c>
    </row>
    <row r="3257" spans="1:4">
      <c r="A3257" t="s">
        <v>7501</v>
      </c>
      <c r="B3257" t="s">
        <v>7502</v>
      </c>
      <c r="C3257" t="s">
        <v>7501</v>
      </c>
      <c r="D3257">
        <v>3714</v>
      </c>
    </row>
    <row r="3258" spans="1:4">
      <c r="A3258" t="s">
        <v>7503</v>
      </c>
      <c r="B3258" t="s">
        <v>7504</v>
      </c>
      <c r="C3258" t="s">
        <v>7503</v>
      </c>
      <c r="D3258">
        <v>6331</v>
      </c>
    </row>
    <row r="3259" spans="1:4">
      <c r="A3259" t="s">
        <v>7505</v>
      </c>
      <c r="B3259" t="s">
        <v>7506</v>
      </c>
      <c r="C3259" t="s">
        <v>7505</v>
      </c>
      <c r="D3259">
        <v>3823</v>
      </c>
    </row>
    <row r="3260" spans="1:4">
      <c r="A3260" t="s">
        <v>7507</v>
      </c>
      <c r="B3260" t="s">
        <v>474</v>
      </c>
      <c r="C3260" t="s">
        <v>7507</v>
      </c>
      <c r="D3260">
        <v>5651</v>
      </c>
    </row>
    <row r="3261" spans="1:4">
      <c r="A3261" t="s">
        <v>7508</v>
      </c>
      <c r="B3261" t="s">
        <v>7509</v>
      </c>
      <c r="C3261" t="s">
        <v>7508</v>
      </c>
      <c r="D3261">
        <v>7200</v>
      </c>
    </row>
    <row r="3262" spans="1:4">
      <c r="A3262" t="s">
        <v>459</v>
      </c>
      <c r="B3262" t="s">
        <v>460</v>
      </c>
      <c r="C3262" t="s">
        <v>459</v>
      </c>
      <c r="D3262">
        <v>4400</v>
      </c>
    </row>
    <row r="3263" spans="1:4">
      <c r="A3263" t="s">
        <v>7510</v>
      </c>
      <c r="B3263" t="s">
        <v>7511</v>
      </c>
      <c r="C3263" t="s">
        <v>7510</v>
      </c>
      <c r="D3263">
        <v>6795</v>
      </c>
    </row>
    <row r="3264" spans="1:4">
      <c r="A3264" t="s">
        <v>7512</v>
      </c>
      <c r="B3264" t="s">
        <v>7513</v>
      </c>
      <c r="C3264" t="s">
        <v>7512</v>
      </c>
      <c r="D3264">
        <v>2834</v>
      </c>
    </row>
    <row r="3265" spans="1:4">
      <c r="A3265" t="s">
        <v>7514</v>
      </c>
      <c r="B3265" t="s">
        <v>7515</v>
      </c>
      <c r="C3265" t="s">
        <v>7514</v>
      </c>
      <c r="D3265">
        <v>1389</v>
      </c>
    </row>
    <row r="3266" spans="1:4">
      <c r="A3266" t="s">
        <v>7516</v>
      </c>
      <c r="B3266" t="s">
        <v>7517</v>
      </c>
      <c r="C3266" t="s">
        <v>7516</v>
      </c>
      <c r="D3266">
        <v>2851</v>
      </c>
    </row>
    <row r="3267" spans="1:4">
      <c r="A3267" t="s">
        <v>7518</v>
      </c>
      <c r="B3267" t="s">
        <v>7519</v>
      </c>
      <c r="C3267" t="s">
        <v>7518</v>
      </c>
      <c r="D3267">
        <v>6798</v>
      </c>
    </row>
    <row r="3268" spans="1:4">
      <c r="A3268" t="s">
        <v>7520</v>
      </c>
      <c r="B3268" t="s">
        <v>7521</v>
      </c>
      <c r="C3268" t="s">
        <v>7520</v>
      </c>
      <c r="D3268">
        <v>3674</v>
      </c>
    </row>
    <row r="3269" spans="1:4">
      <c r="A3269" t="s">
        <v>7522</v>
      </c>
      <c r="B3269" t="s">
        <v>7523</v>
      </c>
      <c r="C3269" t="s">
        <v>7522</v>
      </c>
      <c r="D3269">
        <v>7371</v>
      </c>
    </row>
    <row r="3270" spans="1:4">
      <c r="A3270" t="s">
        <v>7524</v>
      </c>
      <c r="B3270" t="s">
        <v>7525</v>
      </c>
      <c r="C3270" t="s">
        <v>7524</v>
      </c>
      <c r="D3270">
        <v>5500</v>
      </c>
    </row>
    <row r="3271" spans="1:4">
      <c r="A3271" t="s">
        <v>7526</v>
      </c>
      <c r="B3271" t="s">
        <v>7527</v>
      </c>
      <c r="C3271" t="s">
        <v>7526</v>
      </c>
      <c r="D3271">
        <v>7990</v>
      </c>
    </row>
    <row r="3272" spans="1:4">
      <c r="A3272" t="s">
        <v>7528</v>
      </c>
      <c r="B3272" t="s">
        <v>7529</v>
      </c>
      <c r="C3272" t="s">
        <v>7528</v>
      </c>
      <c r="D3272">
        <v>5812</v>
      </c>
    </row>
    <row r="3273" spans="1:4">
      <c r="A3273" t="s">
        <v>7530</v>
      </c>
      <c r="B3273" t="s">
        <v>7531</v>
      </c>
      <c r="C3273" t="s">
        <v>7530</v>
      </c>
      <c r="D3273">
        <v>3851</v>
      </c>
    </row>
    <row r="3274" spans="1:4">
      <c r="A3274" t="s">
        <v>7532</v>
      </c>
      <c r="B3274" t="s">
        <v>7533</v>
      </c>
      <c r="C3274" t="s">
        <v>7532</v>
      </c>
      <c r="D3274">
        <v>6411</v>
      </c>
    </row>
    <row r="3275" spans="1:4">
      <c r="A3275" t="s">
        <v>7534</v>
      </c>
      <c r="B3275" t="s">
        <v>7535</v>
      </c>
      <c r="C3275" t="s">
        <v>7534</v>
      </c>
      <c r="D3275">
        <v>7510</v>
      </c>
    </row>
    <row r="3276" spans="1:4">
      <c r="A3276" t="s">
        <v>7536</v>
      </c>
      <c r="B3276" t="s">
        <v>7537</v>
      </c>
      <c r="C3276" t="s">
        <v>7536</v>
      </c>
      <c r="D3276">
        <v>5051</v>
      </c>
    </row>
    <row r="3277" spans="1:4">
      <c r="A3277" t="s">
        <v>7538</v>
      </c>
      <c r="B3277" t="s">
        <v>7539</v>
      </c>
      <c r="C3277" t="s">
        <v>7538</v>
      </c>
      <c r="D3277">
        <v>6798</v>
      </c>
    </row>
    <row r="3278" spans="1:4">
      <c r="A3278" t="s">
        <v>7540</v>
      </c>
      <c r="B3278" t="s">
        <v>7541</v>
      </c>
      <c r="C3278" t="s">
        <v>7540</v>
      </c>
      <c r="D3278">
        <v>7320</v>
      </c>
    </row>
    <row r="3279" spans="1:4">
      <c r="A3279" t="s">
        <v>7542</v>
      </c>
      <c r="B3279" t="s">
        <v>7543</v>
      </c>
      <c r="C3279" t="s">
        <v>7542</v>
      </c>
      <c r="D3279">
        <v>6022</v>
      </c>
    </row>
    <row r="3280" spans="1:4">
      <c r="A3280" t="s">
        <v>7544</v>
      </c>
      <c r="B3280" t="s">
        <v>7545</v>
      </c>
      <c r="C3280" t="s">
        <v>7544</v>
      </c>
      <c r="D3280">
        <v>100</v>
      </c>
    </row>
    <row r="3281" spans="1:4">
      <c r="A3281" t="s">
        <v>7546</v>
      </c>
      <c r="B3281" t="s">
        <v>7547</v>
      </c>
      <c r="C3281" t="s">
        <v>7546</v>
      </c>
      <c r="D3281">
        <v>2836</v>
      </c>
    </row>
    <row r="3282" spans="1:4">
      <c r="A3282" t="s">
        <v>7548</v>
      </c>
      <c r="B3282" t="s">
        <v>7549</v>
      </c>
      <c r="C3282" t="s">
        <v>7548</v>
      </c>
      <c r="D3282">
        <v>6798</v>
      </c>
    </row>
    <row r="3283" spans="1:4">
      <c r="A3283" t="s">
        <v>7550</v>
      </c>
      <c r="B3283" t="s">
        <v>7551</v>
      </c>
      <c r="C3283" t="s">
        <v>7550</v>
      </c>
      <c r="D3283">
        <v>7370</v>
      </c>
    </row>
    <row r="3284" spans="1:4">
      <c r="A3284" t="s">
        <v>7552</v>
      </c>
      <c r="B3284" t="s">
        <v>7553</v>
      </c>
      <c r="C3284" t="s">
        <v>7552</v>
      </c>
      <c r="D3284">
        <v>6798</v>
      </c>
    </row>
    <row r="3285" spans="1:4">
      <c r="A3285" t="s">
        <v>7554</v>
      </c>
      <c r="B3285" t="s">
        <v>7555</v>
      </c>
      <c r="C3285" t="s">
        <v>7554</v>
      </c>
      <c r="D3285">
        <v>6519</v>
      </c>
    </row>
    <row r="3286" spans="1:4">
      <c r="A3286" t="s">
        <v>7556</v>
      </c>
      <c r="B3286" t="s">
        <v>7557</v>
      </c>
      <c r="C3286" t="s">
        <v>7556</v>
      </c>
      <c r="D3286">
        <v>6331</v>
      </c>
    </row>
    <row r="3287" spans="1:4">
      <c r="A3287" t="s">
        <v>7558</v>
      </c>
      <c r="B3287" t="s">
        <v>7559</v>
      </c>
      <c r="C3287" t="s">
        <v>7558</v>
      </c>
      <c r="D3287">
        <v>4832</v>
      </c>
    </row>
    <row r="3288" spans="1:4">
      <c r="A3288" t="s">
        <v>7560</v>
      </c>
      <c r="B3288" t="s">
        <v>7561</v>
      </c>
      <c r="C3288" t="s">
        <v>7560</v>
      </c>
      <c r="D3288">
        <v>2834</v>
      </c>
    </row>
    <row r="3289" spans="1:4">
      <c r="A3289" t="s">
        <v>7562</v>
      </c>
      <c r="B3289" t="s">
        <v>7563</v>
      </c>
      <c r="C3289" t="s">
        <v>7562</v>
      </c>
      <c r="D3289">
        <v>4213</v>
      </c>
    </row>
    <row r="3290" spans="1:4">
      <c r="A3290" t="s">
        <v>7564</v>
      </c>
      <c r="B3290" t="s">
        <v>7565</v>
      </c>
      <c r="C3290" t="s">
        <v>7564</v>
      </c>
      <c r="D3290">
        <v>7372</v>
      </c>
    </row>
    <row r="3291" spans="1:4">
      <c r="A3291" t="s">
        <v>7566</v>
      </c>
      <c r="B3291" t="s">
        <v>7567</v>
      </c>
      <c r="C3291" t="s">
        <v>7566</v>
      </c>
      <c r="D3291">
        <v>4832</v>
      </c>
    </row>
    <row r="3292" spans="1:4">
      <c r="A3292" t="s">
        <v>7568</v>
      </c>
      <c r="B3292" t="s">
        <v>7569</v>
      </c>
      <c r="C3292" t="s">
        <v>7568</v>
      </c>
      <c r="D3292">
        <v>7372</v>
      </c>
    </row>
    <row r="3293" spans="1:4">
      <c r="A3293" t="s">
        <v>7570</v>
      </c>
      <c r="B3293" t="s">
        <v>7571</v>
      </c>
      <c r="C3293" t="s">
        <v>7570</v>
      </c>
      <c r="D3293">
        <v>6035</v>
      </c>
    </row>
    <row r="3294" spans="1:4">
      <c r="A3294" t="s">
        <v>7572</v>
      </c>
      <c r="B3294" t="s">
        <v>7573</v>
      </c>
      <c r="C3294" t="s">
        <v>7572</v>
      </c>
      <c r="D3294">
        <v>5990</v>
      </c>
    </row>
    <row r="3295" spans="1:4">
      <c r="A3295" t="s">
        <v>7574</v>
      </c>
      <c r="B3295" t="s">
        <v>7575</v>
      </c>
      <c r="C3295" t="s">
        <v>7574</v>
      </c>
      <c r="D3295">
        <v>2015</v>
      </c>
    </row>
    <row r="3296" spans="1:4">
      <c r="A3296" t="s">
        <v>7576</v>
      </c>
      <c r="B3296" t="s">
        <v>7577</v>
      </c>
      <c r="C3296" t="s">
        <v>7576</v>
      </c>
      <c r="D3296">
        <v>1311</v>
      </c>
    </row>
    <row r="3297" spans="1:4">
      <c r="A3297" t="s">
        <v>7578</v>
      </c>
      <c r="B3297" t="s">
        <v>7579</v>
      </c>
      <c r="C3297" t="s">
        <v>7578</v>
      </c>
      <c r="D3297">
        <v>6021</v>
      </c>
    </row>
    <row r="3298" spans="1:4">
      <c r="A3298" t="s">
        <v>7580</v>
      </c>
      <c r="B3298" t="s">
        <v>7581</v>
      </c>
      <c r="C3298" t="s">
        <v>7580</v>
      </c>
      <c r="D3298">
        <v>2060</v>
      </c>
    </row>
    <row r="3299" spans="1:4">
      <c r="A3299" t="s">
        <v>7582</v>
      </c>
      <c r="B3299" t="s">
        <v>7583</v>
      </c>
      <c r="C3299" t="s">
        <v>7582</v>
      </c>
      <c r="D3299">
        <v>2836</v>
      </c>
    </row>
    <row r="3300" spans="1:4">
      <c r="A3300" t="s">
        <v>7584</v>
      </c>
      <c r="B3300" t="s">
        <v>7585</v>
      </c>
      <c r="C3300" t="s">
        <v>7584</v>
      </c>
      <c r="D3300">
        <v>3672</v>
      </c>
    </row>
    <row r="3301" spans="1:4">
      <c r="A3301" t="s">
        <v>7586</v>
      </c>
      <c r="B3301" t="s">
        <v>7587</v>
      </c>
      <c r="C3301" t="s">
        <v>7586</v>
      </c>
      <c r="D3301">
        <v>3841</v>
      </c>
    </row>
    <row r="3302" spans="1:4">
      <c r="A3302" t="s">
        <v>7588</v>
      </c>
      <c r="B3302" t="s">
        <v>7589</v>
      </c>
      <c r="C3302" t="s">
        <v>7588</v>
      </c>
      <c r="D3302">
        <v>7372</v>
      </c>
    </row>
    <row r="3303" spans="1:4">
      <c r="A3303" t="s">
        <v>7590</v>
      </c>
      <c r="B3303" t="s">
        <v>7591</v>
      </c>
      <c r="C3303" t="s">
        <v>7590</v>
      </c>
      <c r="D3303">
        <v>3569</v>
      </c>
    </row>
    <row r="3304" spans="1:4">
      <c r="A3304" t="s">
        <v>7592</v>
      </c>
      <c r="B3304" t="s">
        <v>7593</v>
      </c>
      <c r="C3304" t="s">
        <v>7592</v>
      </c>
      <c r="D3304">
        <v>2834</v>
      </c>
    </row>
    <row r="3305" spans="1:4">
      <c r="A3305" t="s">
        <v>7594</v>
      </c>
      <c r="B3305" t="s">
        <v>7595</v>
      </c>
      <c r="C3305" t="s">
        <v>7594</v>
      </c>
      <c r="D3305">
        <v>6798</v>
      </c>
    </row>
    <row r="3306" spans="1:4">
      <c r="A3306" t="s">
        <v>7596</v>
      </c>
      <c r="B3306" t="s">
        <v>7597</v>
      </c>
      <c r="C3306" t="s">
        <v>7596</v>
      </c>
      <c r="D3306">
        <v>6022</v>
      </c>
    </row>
    <row r="3307" spans="1:4">
      <c r="A3307" t="s">
        <v>7598</v>
      </c>
      <c r="B3307" t="s">
        <v>7599</v>
      </c>
      <c r="C3307" t="s">
        <v>7598</v>
      </c>
      <c r="D3307">
        <v>6798</v>
      </c>
    </row>
    <row r="3308" spans="1:4">
      <c r="A3308" t="s">
        <v>7600</v>
      </c>
      <c r="B3308" t="s">
        <v>7601</v>
      </c>
      <c r="C3308" t="s">
        <v>7600</v>
      </c>
      <c r="D3308">
        <v>5045</v>
      </c>
    </row>
    <row r="3309" spans="1:4">
      <c r="A3309" t="s">
        <v>7602</v>
      </c>
      <c r="B3309" t="s">
        <v>7603</v>
      </c>
      <c r="C3309" t="s">
        <v>7602</v>
      </c>
      <c r="D3309">
        <v>1389</v>
      </c>
    </row>
    <row r="3310" spans="1:4">
      <c r="A3310" t="s">
        <v>7604</v>
      </c>
      <c r="B3310" t="s">
        <v>7605</v>
      </c>
      <c r="C3310" t="s">
        <v>7604</v>
      </c>
      <c r="D3310">
        <v>3823</v>
      </c>
    </row>
    <row r="3311" spans="1:4">
      <c r="A3311" t="s">
        <v>7606</v>
      </c>
      <c r="B3311" t="s">
        <v>7607</v>
      </c>
      <c r="C3311" t="s">
        <v>7606</v>
      </c>
      <c r="D3311">
        <v>4213</v>
      </c>
    </row>
    <row r="3312" spans="1:4">
      <c r="A3312" t="s">
        <v>7608</v>
      </c>
      <c r="B3312" t="s">
        <v>7609</v>
      </c>
      <c r="C3312" t="s">
        <v>7608</v>
      </c>
      <c r="D3312">
        <v>5090</v>
      </c>
    </row>
    <row r="3313" spans="1:4">
      <c r="A3313" t="s">
        <v>7610</v>
      </c>
      <c r="B3313" t="s">
        <v>7611</v>
      </c>
      <c r="C3313" t="s">
        <v>7610</v>
      </c>
      <c r="D3313">
        <v>2836</v>
      </c>
    </row>
    <row r="3314" spans="1:4">
      <c r="A3314" t="s">
        <v>7612</v>
      </c>
      <c r="B3314" t="s">
        <v>7613</v>
      </c>
      <c r="C3314" t="s">
        <v>7612</v>
      </c>
      <c r="D3314">
        <v>2731</v>
      </c>
    </row>
    <row r="3315" spans="1:4">
      <c r="A3315" t="s">
        <v>7614</v>
      </c>
      <c r="B3315" t="s">
        <v>7615</v>
      </c>
      <c r="C3315" t="s">
        <v>7614</v>
      </c>
      <c r="D3315">
        <v>2834</v>
      </c>
    </row>
    <row r="3316" spans="1:4">
      <c r="A3316" t="s">
        <v>7616</v>
      </c>
      <c r="B3316" t="s">
        <v>7617</v>
      </c>
      <c r="C3316" t="s">
        <v>7616</v>
      </c>
      <c r="D3316">
        <v>6211</v>
      </c>
    </row>
    <row r="3317" spans="1:4">
      <c r="A3317" t="s">
        <v>7618</v>
      </c>
      <c r="B3317" t="s">
        <v>7619</v>
      </c>
      <c r="C3317" t="s">
        <v>7618</v>
      </c>
      <c r="D3317">
        <v>2621</v>
      </c>
    </row>
    <row r="3318" spans="1:4">
      <c r="A3318" t="s">
        <v>7620</v>
      </c>
      <c r="B3318" t="s">
        <v>7621</v>
      </c>
      <c r="C3318" t="s">
        <v>7620</v>
      </c>
      <c r="D3318">
        <v>8731</v>
      </c>
    </row>
    <row r="3319" spans="1:4">
      <c r="A3319" t="s">
        <v>7622</v>
      </c>
      <c r="B3319" t="s">
        <v>7623</v>
      </c>
      <c r="C3319" t="s">
        <v>7622</v>
      </c>
      <c r="D3319">
        <v>7373</v>
      </c>
    </row>
    <row r="3320" spans="1:4">
      <c r="A3320" t="s">
        <v>7624</v>
      </c>
      <c r="B3320" t="s">
        <v>7625</v>
      </c>
      <c r="C3320" t="s">
        <v>7624</v>
      </c>
      <c r="D3320">
        <v>7374</v>
      </c>
    </row>
    <row r="3321" spans="1:4">
      <c r="A3321" t="s">
        <v>7626</v>
      </c>
      <c r="B3321" t="s">
        <v>7627</v>
      </c>
      <c r="C3321" t="s">
        <v>7626</v>
      </c>
      <c r="D3321">
        <v>3826</v>
      </c>
    </row>
    <row r="3322" spans="1:4">
      <c r="A3322" t="s">
        <v>7628</v>
      </c>
      <c r="B3322" t="s">
        <v>7629</v>
      </c>
      <c r="C3322" t="s">
        <v>7628</v>
      </c>
      <c r="D3322">
        <v>7374</v>
      </c>
    </row>
    <row r="3323" spans="1:4">
      <c r="A3323" t="s">
        <v>7630</v>
      </c>
      <c r="B3323" t="s">
        <v>7631</v>
      </c>
      <c r="C3323" t="s">
        <v>7630</v>
      </c>
      <c r="D3323">
        <v>2870</v>
      </c>
    </row>
    <row r="3324" spans="1:4">
      <c r="A3324" t="s">
        <v>7632</v>
      </c>
      <c r="B3324" t="s">
        <v>7633</v>
      </c>
      <c r="C3324" t="s">
        <v>7632</v>
      </c>
      <c r="D3324">
        <v>6282</v>
      </c>
    </row>
    <row r="3325" spans="1:4">
      <c r="A3325" t="s">
        <v>7634</v>
      </c>
      <c r="B3325" t="s">
        <v>7635</v>
      </c>
      <c r="C3325" t="s">
        <v>7634</v>
      </c>
      <c r="D3325">
        <v>7380</v>
      </c>
    </row>
    <row r="3326" spans="1:4">
      <c r="A3326" t="s">
        <v>7636</v>
      </c>
      <c r="B3326" t="s">
        <v>7637</v>
      </c>
      <c r="C3326" t="s">
        <v>7636</v>
      </c>
      <c r="D3326">
        <v>5150</v>
      </c>
    </row>
    <row r="3327" spans="1:4">
      <c r="A3327" t="s">
        <v>7638</v>
      </c>
      <c r="B3327" t="s">
        <v>7639</v>
      </c>
      <c r="C3327" t="s">
        <v>7638</v>
      </c>
      <c r="D3327">
        <v>7372</v>
      </c>
    </row>
    <row r="3328" spans="1:4">
      <c r="A3328" t="s">
        <v>7640</v>
      </c>
      <c r="B3328" t="s">
        <v>7641</v>
      </c>
      <c r="C3328" t="s">
        <v>7640</v>
      </c>
      <c r="D3328">
        <v>6022</v>
      </c>
    </row>
    <row r="3329" spans="1:4">
      <c r="A3329" t="s">
        <v>7642</v>
      </c>
      <c r="B3329" t="s">
        <v>7643</v>
      </c>
      <c r="C3329" t="s">
        <v>7642</v>
      </c>
      <c r="D3329">
        <v>4412</v>
      </c>
    </row>
    <row r="3330" spans="1:4">
      <c r="A3330" t="s">
        <v>7644</v>
      </c>
      <c r="B3330" t="s">
        <v>7645</v>
      </c>
      <c r="C3330" t="s">
        <v>7644</v>
      </c>
      <c r="D3330">
        <v>3572</v>
      </c>
    </row>
    <row r="3331" spans="1:4">
      <c r="A3331" t="s">
        <v>7646</v>
      </c>
      <c r="B3331" t="s">
        <v>7647</v>
      </c>
      <c r="C3331" t="s">
        <v>7646</v>
      </c>
      <c r="D3331">
        <v>2836</v>
      </c>
    </row>
    <row r="3332" spans="1:4">
      <c r="A3332" t="s">
        <v>7648</v>
      </c>
      <c r="B3332" t="s">
        <v>7649</v>
      </c>
      <c r="C3332" t="s">
        <v>7648</v>
      </c>
      <c r="D3332">
        <v>2820</v>
      </c>
    </row>
    <row r="3333" spans="1:4">
      <c r="A3333" t="s">
        <v>7650</v>
      </c>
      <c r="B3333" t="s">
        <v>7651</v>
      </c>
      <c r="C3333" t="s">
        <v>7650</v>
      </c>
      <c r="D3333">
        <v>4412</v>
      </c>
    </row>
    <row r="3334" spans="1:4">
      <c r="A3334" t="s">
        <v>7652</v>
      </c>
      <c r="B3334" t="s">
        <v>7653</v>
      </c>
      <c r="C3334" t="s">
        <v>7652</v>
      </c>
      <c r="D3334">
        <v>3841</v>
      </c>
    </row>
    <row r="3335" spans="1:4">
      <c r="A3335" t="s">
        <v>7654</v>
      </c>
      <c r="B3335" t="s">
        <v>7655</v>
      </c>
      <c r="C3335" t="s">
        <v>7654</v>
      </c>
      <c r="D3335">
        <v>7990</v>
      </c>
    </row>
    <row r="3336" spans="1:4">
      <c r="A3336" t="s">
        <v>7656</v>
      </c>
      <c r="B3336" t="s">
        <v>7657</v>
      </c>
      <c r="C3336" t="s">
        <v>7656</v>
      </c>
      <c r="D3336">
        <v>5990</v>
      </c>
    </row>
    <row r="3337" spans="1:4">
      <c r="A3337" t="s">
        <v>7658</v>
      </c>
      <c r="B3337" t="s">
        <v>7659</v>
      </c>
      <c r="C3337" t="s">
        <v>7658</v>
      </c>
      <c r="D3337">
        <v>7372</v>
      </c>
    </row>
    <row r="3338" spans="1:4">
      <c r="A3338" t="s">
        <v>7660</v>
      </c>
      <c r="B3338" t="s">
        <v>7661</v>
      </c>
      <c r="C3338" t="s">
        <v>7660</v>
      </c>
      <c r="D3338">
        <v>6022</v>
      </c>
    </row>
    <row r="3339" spans="1:4">
      <c r="A3339" t="s">
        <v>7662</v>
      </c>
      <c r="B3339" t="s">
        <v>7663</v>
      </c>
      <c r="C3339" t="s">
        <v>7662</v>
      </c>
      <c r="D3339">
        <v>6199</v>
      </c>
    </row>
    <row r="3340" spans="1:4">
      <c r="A3340" t="s">
        <v>7664</v>
      </c>
      <c r="B3340" t="s">
        <v>7665</v>
      </c>
      <c r="C3340" t="s">
        <v>7664</v>
      </c>
      <c r="D3340">
        <v>3826</v>
      </c>
    </row>
    <row r="3341" spans="1:4">
      <c r="A3341" t="s">
        <v>7666</v>
      </c>
      <c r="B3341" t="s">
        <v>7667</v>
      </c>
      <c r="C3341" t="s">
        <v>7666</v>
      </c>
      <c r="D3341">
        <v>6211</v>
      </c>
    </row>
    <row r="3342" spans="1:4">
      <c r="A3342" t="s">
        <v>7668</v>
      </c>
      <c r="B3342" t="s">
        <v>7669</v>
      </c>
      <c r="C3342" t="s">
        <v>7668</v>
      </c>
      <c r="D3342">
        <v>1389</v>
      </c>
    </row>
    <row r="3343" spans="1:4">
      <c r="A3343" t="s">
        <v>7670</v>
      </c>
      <c r="B3343" t="s">
        <v>7671</v>
      </c>
      <c r="C3343" t="s">
        <v>7670</v>
      </c>
      <c r="D3343">
        <v>8060</v>
      </c>
    </row>
    <row r="3344" spans="1:4">
      <c r="A3344" t="s">
        <v>7672</v>
      </c>
      <c r="B3344" t="s">
        <v>7673</v>
      </c>
      <c r="C3344" t="s">
        <v>7672</v>
      </c>
      <c r="D3344">
        <v>2834</v>
      </c>
    </row>
    <row r="3345" spans="1:4">
      <c r="A3345" t="s">
        <v>7674</v>
      </c>
      <c r="B3345" t="s">
        <v>7675</v>
      </c>
      <c r="C3345" t="s">
        <v>7674</v>
      </c>
      <c r="D3345">
        <v>6331</v>
      </c>
    </row>
    <row r="3346" spans="1:4">
      <c r="A3346" t="s">
        <v>7676</v>
      </c>
      <c r="B3346" t="s">
        <v>7677</v>
      </c>
      <c r="C3346" t="s">
        <v>7676</v>
      </c>
      <c r="D3346">
        <v>6411</v>
      </c>
    </row>
    <row r="3347" spans="1:4">
      <c r="A3347" t="s">
        <v>7678</v>
      </c>
      <c r="B3347" t="s">
        <v>7679</v>
      </c>
      <c r="C3347" t="s">
        <v>7678</v>
      </c>
      <c r="D3347">
        <v>2834</v>
      </c>
    </row>
    <row r="3348" spans="1:4">
      <c r="A3348" t="s">
        <v>7680</v>
      </c>
      <c r="B3348" t="s">
        <v>7681</v>
      </c>
      <c r="C3348" t="s">
        <v>7680</v>
      </c>
      <c r="D3348">
        <v>8000</v>
      </c>
    </row>
    <row r="3349" spans="1:4">
      <c r="A3349" t="s">
        <v>7682</v>
      </c>
      <c r="B3349" t="s">
        <v>7683</v>
      </c>
      <c r="C3349" t="s">
        <v>7682</v>
      </c>
      <c r="D3349">
        <v>3674</v>
      </c>
    </row>
    <row r="3350" spans="1:4">
      <c r="A3350" t="s">
        <v>7684</v>
      </c>
      <c r="B3350" t="s">
        <v>7685</v>
      </c>
      <c r="C3350" t="s">
        <v>7684</v>
      </c>
      <c r="D3350">
        <v>3845</v>
      </c>
    </row>
    <row r="3351" spans="1:4">
      <c r="A3351" t="s">
        <v>7686</v>
      </c>
      <c r="B3351" t="s">
        <v>7687</v>
      </c>
      <c r="C3351" t="s">
        <v>7686</v>
      </c>
      <c r="D3351">
        <v>4932</v>
      </c>
    </row>
    <row r="3352" spans="1:4">
      <c r="A3352" t="s">
        <v>7688</v>
      </c>
      <c r="B3352" t="s">
        <v>7689</v>
      </c>
      <c r="C3352" t="s">
        <v>7688</v>
      </c>
      <c r="D3352">
        <v>7372</v>
      </c>
    </row>
    <row r="3353" spans="1:4">
      <c r="A3353" t="s">
        <v>7690</v>
      </c>
      <c r="B3353" t="s">
        <v>7691</v>
      </c>
      <c r="C3353" t="s">
        <v>7690</v>
      </c>
      <c r="D3353">
        <v>3674</v>
      </c>
    </row>
    <row r="3354" spans="1:4">
      <c r="A3354" t="s">
        <v>7692</v>
      </c>
      <c r="B3354" t="s">
        <v>7693</v>
      </c>
      <c r="C3354" t="s">
        <v>7692</v>
      </c>
      <c r="D3354">
        <v>2033</v>
      </c>
    </row>
    <row r="3355" spans="1:4">
      <c r="A3355" t="s">
        <v>7694</v>
      </c>
      <c r="B3355" t="s">
        <v>7695</v>
      </c>
      <c r="C3355" t="s">
        <v>7694</v>
      </c>
      <c r="D3355">
        <v>6199</v>
      </c>
    </row>
    <row r="3356" spans="1:4">
      <c r="A3356" t="s">
        <v>7696</v>
      </c>
      <c r="B3356" t="s">
        <v>7697</v>
      </c>
      <c r="C3356" t="s">
        <v>7696</v>
      </c>
      <c r="D3356">
        <v>3823</v>
      </c>
    </row>
    <row r="3357" spans="1:4">
      <c r="A3357" t="s">
        <v>7698</v>
      </c>
      <c r="B3357" t="s">
        <v>7699</v>
      </c>
      <c r="C3357" t="s">
        <v>7698</v>
      </c>
      <c r="D3357">
        <v>3823</v>
      </c>
    </row>
    <row r="3358" spans="1:4">
      <c r="A3358" t="s">
        <v>7700</v>
      </c>
      <c r="B3358" t="s">
        <v>7701</v>
      </c>
      <c r="C3358" t="s">
        <v>7700</v>
      </c>
      <c r="D3358">
        <v>2860</v>
      </c>
    </row>
    <row r="3359" spans="1:4">
      <c r="A3359" t="s">
        <v>7702</v>
      </c>
      <c r="B3359" t="s">
        <v>7703</v>
      </c>
      <c r="C3359" t="s">
        <v>7702</v>
      </c>
      <c r="D3359">
        <v>3669</v>
      </c>
    </row>
    <row r="3360" spans="1:4">
      <c r="A3360" t="s">
        <v>7704</v>
      </c>
      <c r="B3360" t="s">
        <v>7705</v>
      </c>
      <c r="C3360" t="s">
        <v>7704</v>
      </c>
      <c r="D3360">
        <v>7372</v>
      </c>
    </row>
    <row r="3361" spans="1:4">
      <c r="A3361" t="s">
        <v>7706</v>
      </c>
      <c r="B3361" t="s">
        <v>7707</v>
      </c>
      <c r="C3361" t="s">
        <v>7706</v>
      </c>
      <c r="D3361">
        <v>8071</v>
      </c>
    </row>
    <row r="3362" spans="1:4">
      <c r="A3362" t="s">
        <v>7708</v>
      </c>
      <c r="B3362" t="s">
        <v>7709</v>
      </c>
      <c r="C3362" t="s">
        <v>7708</v>
      </c>
      <c r="D3362">
        <v>2834</v>
      </c>
    </row>
    <row r="3363" spans="1:4">
      <c r="A3363" t="s">
        <v>7710</v>
      </c>
      <c r="B3363" t="s">
        <v>7711</v>
      </c>
      <c r="C3363" t="s">
        <v>7710</v>
      </c>
      <c r="D3363">
        <v>6500</v>
      </c>
    </row>
    <row r="3364" spans="1:4">
      <c r="A3364" t="s">
        <v>7712</v>
      </c>
      <c r="B3364" t="s">
        <v>7713</v>
      </c>
      <c r="C3364" t="s">
        <v>7712</v>
      </c>
      <c r="D3364">
        <v>7200</v>
      </c>
    </row>
    <row r="3365" spans="1:4">
      <c r="A3365" t="s">
        <v>7714</v>
      </c>
      <c r="B3365" t="s">
        <v>7715</v>
      </c>
      <c r="C3365" t="s">
        <v>7714</v>
      </c>
      <c r="D3365">
        <v>6798</v>
      </c>
    </row>
    <row r="3366" spans="1:4">
      <c r="A3366" t="s">
        <v>7716</v>
      </c>
      <c r="B3366" t="s">
        <v>7717</v>
      </c>
      <c r="C3366" t="s">
        <v>7716</v>
      </c>
      <c r="D3366">
        <v>7372</v>
      </c>
    </row>
    <row r="3367" spans="1:4">
      <c r="A3367" t="s">
        <v>7718</v>
      </c>
      <c r="B3367" t="s">
        <v>7719</v>
      </c>
      <c r="C3367" t="s">
        <v>7718</v>
      </c>
      <c r="D3367">
        <v>7389</v>
      </c>
    </row>
    <row r="3368" spans="1:4">
      <c r="A3368" t="s">
        <v>7720</v>
      </c>
      <c r="B3368" t="s">
        <v>7721</v>
      </c>
      <c r="C3368" t="s">
        <v>7720</v>
      </c>
      <c r="D3368">
        <v>6022</v>
      </c>
    </row>
    <row r="3369" spans="1:4">
      <c r="A3369" t="s">
        <v>7722</v>
      </c>
      <c r="B3369" t="s">
        <v>7723</v>
      </c>
      <c r="C3369" t="s">
        <v>7722</v>
      </c>
      <c r="D3369">
        <v>3420</v>
      </c>
    </row>
    <row r="3370" spans="1:4">
      <c r="A3370" t="s">
        <v>7724</v>
      </c>
      <c r="B3370" t="s">
        <v>7725</v>
      </c>
      <c r="C3370" t="s">
        <v>7724</v>
      </c>
      <c r="D3370">
        <v>2834</v>
      </c>
    </row>
    <row r="3371" spans="1:4">
      <c r="A3371" t="s">
        <v>7726</v>
      </c>
      <c r="B3371" t="s">
        <v>7727</v>
      </c>
      <c r="C3371" t="s">
        <v>7726</v>
      </c>
      <c r="D3371">
        <v>7389</v>
      </c>
    </row>
    <row r="3372" spans="1:4">
      <c r="A3372" t="s">
        <v>7728</v>
      </c>
      <c r="B3372" t="s">
        <v>7729</v>
      </c>
      <c r="C3372" t="s">
        <v>7728</v>
      </c>
      <c r="D3372">
        <v>4412</v>
      </c>
    </row>
    <row r="3373" spans="1:4">
      <c r="A3373" t="s">
        <v>7730</v>
      </c>
      <c r="B3373" t="s">
        <v>7731</v>
      </c>
      <c r="C3373" t="s">
        <v>7730</v>
      </c>
      <c r="D3373">
        <v>5030</v>
      </c>
    </row>
    <row r="3374" spans="1:4">
      <c r="A3374" t="s">
        <v>7732</v>
      </c>
      <c r="B3374" t="s">
        <v>7733</v>
      </c>
      <c r="C3374" t="s">
        <v>7732</v>
      </c>
      <c r="D3374">
        <v>5810</v>
      </c>
    </row>
    <row r="3375" spans="1:4">
      <c r="A3375" t="s">
        <v>7734</v>
      </c>
      <c r="B3375" t="s">
        <v>7735</v>
      </c>
      <c r="C3375" t="s">
        <v>7734</v>
      </c>
      <c r="D3375">
        <v>8000</v>
      </c>
    </row>
    <row r="3376" spans="1:4">
      <c r="A3376" t="s">
        <v>7736</v>
      </c>
      <c r="B3376" t="s">
        <v>7737</v>
      </c>
      <c r="C3376" t="s">
        <v>7736</v>
      </c>
      <c r="D3376">
        <v>4955</v>
      </c>
    </row>
    <row r="3377" spans="1:4">
      <c r="A3377" t="s">
        <v>7738</v>
      </c>
      <c r="B3377" t="s">
        <v>7739</v>
      </c>
      <c r="C3377" t="s">
        <v>7738</v>
      </c>
      <c r="D3377">
        <v>2834</v>
      </c>
    </row>
    <row r="3378" spans="1:4">
      <c r="A3378" t="s">
        <v>7740</v>
      </c>
      <c r="B3378" t="s">
        <v>7741</v>
      </c>
      <c r="C3378" t="s">
        <v>7740</v>
      </c>
      <c r="D3378">
        <v>4610</v>
      </c>
    </row>
    <row r="3379" spans="1:4">
      <c r="A3379" t="s">
        <v>7742</v>
      </c>
      <c r="B3379" t="s">
        <v>7743</v>
      </c>
      <c r="C3379" t="s">
        <v>7742</v>
      </c>
      <c r="D3379">
        <v>4813</v>
      </c>
    </row>
    <row r="3380" spans="1:4">
      <c r="A3380" t="s">
        <v>7744</v>
      </c>
      <c r="B3380" t="s">
        <v>7745</v>
      </c>
      <c r="C3380" t="s">
        <v>7744</v>
      </c>
      <c r="D3380">
        <v>5200</v>
      </c>
    </row>
    <row r="3381" spans="1:4">
      <c r="A3381" t="s">
        <v>7746</v>
      </c>
      <c r="B3381" t="s">
        <v>7747</v>
      </c>
      <c r="C3381" t="s">
        <v>7746</v>
      </c>
      <c r="D3381">
        <v>5500</v>
      </c>
    </row>
    <row r="3382" spans="1:4">
      <c r="A3382" t="s">
        <v>7748</v>
      </c>
      <c r="B3382" t="s">
        <v>452</v>
      </c>
      <c r="C3382" t="s">
        <v>7748</v>
      </c>
      <c r="D3382">
        <v>7389</v>
      </c>
    </row>
    <row r="3383" spans="1:4">
      <c r="A3383" t="s">
        <v>7749</v>
      </c>
      <c r="B3383" t="s">
        <v>7750</v>
      </c>
      <c r="C3383" t="s">
        <v>7749</v>
      </c>
      <c r="D3383">
        <v>100</v>
      </c>
    </row>
    <row r="3384" spans="1:4">
      <c r="A3384" t="s">
        <v>7751</v>
      </c>
      <c r="B3384" t="s">
        <v>7752</v>
      </c>
      <c r="C3384" t="s">
        <v>7751</v>
      </c>
      <c r="D3384">
        <v>3674</v>
      </c>
    </row>
    <row r="3385" spans="1:4">
      <c r="A3385" t="s">
        <v>7753</v>
      </c>
      <c r="B3385" t="s">
        <v>7754</v>
      </c>
      <c r="C3385" t="s">
        <v>7753</v>
      </c>
      <c r="D3385">
        <v>3841</v>
      </c>
    </row>
    <row r="3386" spans="1:4">
      <c r="A3386" t="s">
        <v>7755</v>
      </c>
      <c r="B3386" t="s">
        <v>7756</v>
      </c>
      <c r="C3386" t="s">
        <v>7755</v>
      </c>
      <c r="D3386">
        <v>5661</v>
      </c>
    </row>
    <row r="3387" spans="1:4">
      <c r="A3387" t="s">
        <v>7757</v>
      </c>
      <c r="B3387" t="s">
        <v>7758</v>
      </c>
      <c r="C3387" t="s">
        <v>7757</v>
      </c>
      <c r="D3387">
        <v>7372</v>
      </c>
    </row>
    <row r="3388" spans="1:4">
      <c r="A3388" t="s">
        <v>7759</v>
      </c>
      <c r="B3388" t="s">
        <v>7760</v>
      </c>
      <c r="C3388" t="s">
        <v>7759</v>
      </c>
      <c r="D3388">
        <v>6021</v>
      </c>
    </row>
    <row r="3389" spans="1:4">
      <c r="A3389" t="s">
        <v>7761</v>
      </c>
      <c r="B3389" t="s">
        <v>7762</v>
      </c>
      <c r="C3389" t="s">
        <v>7761</v>
      </c>
      <c r="D3389">
        <v>7372</v>
      </c>
    </row>
    <row r="3390" spans="1:4">
      <c r="A3390" t="s">
        <v>7763</v>
      </c>
      <c r="B3390" t="s">
        <v>7764</v>
      </c>
      <c r="C3390" t="s">
        <v>7763</v>
      </c>
      <c r="D3390">
        <v>7374</v>
      </c>
    </row>
    <row r="3391" spans="1:4">
      <c r="A3391" t="s">
        <v>7765</v>
      </c>
      <c r="B3391" t="s">
        <v>7766</v>
      </c>
      <c r="C3391" t="s">
        <v>7765</v>
      </c>
      <c r="D3391">
        <v>3711</v>
      </c>
    </row>
    <row r="3392" spans="1:4">
      <c r="A3392" t="s">
        <v>7767</v>
      </c>
      <c r="B3392" t="s">
        <v>7768</v>
      </c>
      <c r="C3392" t="s">
        <v>7767</v>
      </c>
      <c r="D3392">
        <v>3841</v>
      </c>
    </row>
    <row r="3393" spans="1:4">
      <c r="A3393" t="s">
        <v>7769</v>
      </c>
      <c r="B3393" t="s">
        <v>7770</v>
      </c>
      <c r="C3393" t="s">
        <v>7769</v>
      </c>
      <c r="D3393">
        <v>6211</v>
      </c>
    </row>
    <row r="3394" spans="1:4">
      <c r="A3394" t="s">
        <v>7771</v>
      </c>
      <c r="B3394" t="s">
        <v>7772</v>
      </c>
      <c r="C3394" t="s">
        <v>7771</v>
      </c>
      <c r="D3394">
        <v>3842</v>
      </c>
    </row>
    <row r="3395" spans="1:4">
      <c r="A3395" t="s">
        <v>7773</v>
      </c>
      <c r="B3395" t="s">
        <v>7774</v>
      </c>
      <c r="C3395" t="s">
        <v>7773</v>
      </c>
      <c r="D3395">
        <v>6022</v>
      </c>
    </row>
    <row r="3396" spans="1:4">
      <c r="A3396" t="s">
        <v>7775</v>
      </c>
      <c r="B3396" t="s">
        <v>7776</v>
      </c>
      <c r="C3396" t="s">
        <v>7775</v>
      </c>
      <c r="D3396">
        <v>3663</v>
      </c>
    </row>
    <row r="3397" spans="1:4">
      <c r="A3397" t="s">
        <v>7777</v>
      </c>
      <c r="B3397" t="s">
        <v>7778</v>
      </c>
      <c r="C3397" t="s">
        <v>7777</v>
      </c>
      <c r="D3397">
        <v>3724</v>
      </c>
    </row>
    <row r="3398" spans="1:4">
      <c r="A3398" t="s">
        <v>7779</v>
      </c>
      <c r="B3398" t="s">
        <v>7780</v>
      </c>
      <c r="C3398" t="s">
        <v>7779</v>
      </c>
      <c r="D3398">
        <v>2834</v>
      </c>
    </row>
    <row r="3399" spans="1:4">
      <c r="A3399" t="s">
        <v>7781</v>
      </c>
      <c r="B3399" t="s">
        <v>7782</v>
      </c>
      <c r="C3399" t="s">
        <v>7781</v>
      </c>
      <c r="D3399">
        <v>3841</v>
      </c>
    </row>
    <row r="3400" spans="1:4">
      <c r="A3400" t="s">
        <v>7783</v>
      </c>
      <c r="B3400" t="s">
        <v>7784</v>
      </c>
      <c r="C3400" t="s">
        <v>7783</v>
      </c>
      <c r="D3400">
        <v>2834</v>
      </c>
    </row>
    <row r="3401" spans="1:4">
      <c r="A3401" t="s">
        <v>7785</v>
      </c>
      <c r="B3401" t="s">
        <v>7786</v>
      </c>
      <c r="C3401" t="s">
        <v>7785</v>
      </c>
      <c r="D3401">
        <v>3672</v>
      </c>
    </row>
    <row r="3402" spans="1:4">
      <c r="A3402" t="s">
        <v>7787</v>
      </c>
      <c r="B3402" t="s">
        <v>7788</v>
      </c>
      <c r="C3402" t="s">
        <v>7787</v>
      </c>
      <c r="D3402">
        <v>5944</v>
      </c>
    </row>
    <row r="3403" spans="1:4">
      <c r="A3403" t="s">
        <v>7789</v>
      </c>
      <c r="B3403" t="s">
        <v>7790</v>
      </c>
      <c r="C3403" t="s">
        <v>7789</v>
      </c>
      <c r="D3403">
        <v>8082</v>
      </c>
    </row>
    <row r="3404" spans="1:4">
      <c r="A3404" t="s">
        <v>7791</v>
      </c>
      <c r="B3404" t="s">
        <v>7792</v>
      </c>
      <c r="C3404" t="s">
        <v>7791</v>
      </c>
      <c r="D3404">
        <v>3411</v>
      </c>
    </row>
    <row r="3405" spans="1:4">
      <c r="A3405" t="s">
        <v>7793</v>
      </c>
      <c r="B3405" t="s">
        <v>7794</v>
      </c>
      <c r="C3405" t="s">
        <v>7793</v>
      </c>
      <c r="D3405">
        <v>3576</v>
      </c>
    </row>
    <row r="3406" spans="1:4">
      <c r="A3406" t="s">
        <v>7795</v>
      </c>
      <c r="B3406" t="s">
        <v>7796</v>
      </c>
      <c r="C3406" t="s">
        <v>7795</v>
      </c>
      <c r="D3406">
        <v>3674</v>
      </c>
    </row>
    <row r="3407" spans="1:4">
      <c r="A3407" t="s">
        <v>7797</v>
      </c>
      <c r="B3407" t="s">
        <v>7798</v>
      </c>
      <c r="C3407" t="s">
        <v>7797</v>
      </c>
      <c r="D3407">
        <v>3674</v>
      </c>
    </row>
    <row r="3408" spans="1:4">
      <c r="A3408" t="s">
        <v>7799</v>
      </c>
      <c r="B3408" t="s">
        <v>7800</v>
      </c>
      <c r="C3408" t="s">
        <v>7799</v>
      </c>
      <c r="D3408">
        <v>3841</v>
      </c>
    </row>
    <row r="3409" spans="1:4">
      <c r="A3409" t="s">
        <v>7801</v>
      </c>
      <c r="B3409" t="s">
        <v>7802</v>
      </c>
      <c r="C3409" t="s">
        <v>7801</v>
      </c>
      <c r="D3409">
        <v>1311</v>
      </c>
    </row>
    <row r="3410" spans="1:4">
      <c r="A3410" t="s">
        <v>7803</v>
      </c>
      <c r="B3410" t="s">
        <v>7804</v>
      </c>
      <c r="C3410" t="s">
        <v>7803</v>
      </c>
      <c r="D3410">
        <v>6282</v>
      </c>
    </row>
    <row r="3411" spans="1:4">
      <c r="A3411" t="s">
        <v>7805</v>
      </c>
      <c r="B3411" t="s">
        <v>7806</v>
      </c>
      <c r="C3411" t="s">
        <v>7805</v>
      </c>
      <c r="D3411">
        <v>6022</v>
      </c>
    </row>
    <row r="3412" spans="1:4">
      <c r="A3412" t="s">
        <v>7807</v>
      </c>
      <c r="B3412" t="s">
        <v>7808</v>
      </c>
      <c r="C3412" t="s">
        <v>7807</v>
      </c>
      <c r="D3412">
        <v>7389</v>
      </c>
    </row>
    <row r="3413" spans="1:4">
      <c r="A3413" t="s">
        <v>7809</v>
      </c>
      <c r="B3413" t="s">
        <v>7810</v>
      </c>
      <c r="C3413" t="s">
        <v>7809</v>
      </c>
      <c r="D3413">
        <v>7370</v>
      </c>
    </row>
    <row r="3414" spans="1:4">
      <c r="A3414" t="s">
        <v>7811</v>
      </c>
      <c r="B3414" t="s">
        <v>7812</v>
      </c>
      <c r="C3414" t="s">
        <v>7811</v>
      </c>
      <c r="D3414">
        <v>6021</v>
      </c>
    </row>
    <row r="3415" spans="1:4">
      <c r="A3415" t="s">
        <v>7813</v>
      </c>
      <c r="B3415" t="s">
        <v>7814</v>
      </c>
      <c r="C3415" t="s">
        <v>7813</v>
      </c>
      <c r="D3415">
        <v>6798</v>
      </c>
    </row>
    <row r="3416" spans="1:4">
      <c r="A3416" t="s">
        <v>7815</v>
      </c>
      <c r="B3416" t="s">
        <v>7816</v>
      </c>
      <c r="C3416" t="s">
        <v>7815</v>
      </c>
      <c r="D3416">
        <v>2000</v>
      </c>
    </row>
    <row r="3417" spans="1:4">
      <c r="A3417" t="s">
        <v>7817</v>
      </c>
      <c r="B3417" t="s">
        <v>7818</v>
      </c>
      <c r="C3417" t="s">
        <v>7817</v>
      </c>
      <c r="D3417">
        <v>3420</v>
      </c>
    </row>
    <row r="3418" spans="1:4">
      <c r="A3418" t="s">
        <v>7819</v>
      </c>
      <c r="B3418" t="s">
        <v>7820</v>
      </c>
      <c r="C3418" t="s">
        <v>7819</v>
      </c>
      <c r="D3418">
        <v>7373</v>
      </c>
    </row>
    <row r="3419" spans="1:4">
      <c r="A3419" t="s">
        <v>7821</v>
      </c>
      <c r="B3419" t="s">
        <v>7822</v>
      </c>
      <c r="C3419" t="s">
        <v>7821</v>
      </c>
      <c r="D3419">
        <v>4833</v>
      </c>
    </row>
    <row r="3420" spans="1:4">
      <c r="A3420" t="s">
        <v>7823</v>
      </c>
      <c r="B3420" t="s">
        <v>7824</v>
      </c>
      <c r="C3420" t="s">
        <v>7823</v>
      </c>
      <c r="D3420">
        <v>2834</v>
      </c>
    </row>
    <row r="3421" spans="1:4">
      <c r="A3421" t="s">
        <v>7825</v>
      </c>
      <c r="B3421" t="s">
        <v>7826</v>
      </c>
      <c r="C3421" t="s">
        <v>7825</v>
      </c>
      <c r="D3421">
        <v>3841</v>
      </c>
    </row>
    <row r="3422" spans="1:4">
      <c r="A3422" t="s">
        <v>7827</v>
      </c>
      <c r="B3422" t="s">
        <v>480</v>
      </c>
      <c r="C3422" t="s">
        <v>7827</v>
      </c>
      <c r="D3422">
        <v>4832</v>
      </c>
    </row>
    <row r="3423" spans="1:4">
      <c r="A3423" t="s">
        <v>7828</v>
      </c>
      <c r="B3423" t="s">
        <v>7829</v>
      </c>
      <c r="C3423" t="s">
        <v>7828</v>
      </c>
      <c r="D3423">
        <v>6331</v>
      </c>
    </row>
    <row r="3424" spans="1:4">
      <c r="A3424" t="s">
        <v>7830</v>
      </c>
      <c r="B3424" t="s">
        <v>7831</v>
      </c>
      <c r="C3424" t="s">
        <v>7830</v>
      </c>
      <c r="D3424">
        <v>6798</v>
      </c>
    </row>
    <row r="3425" spans="1:4">
      <c r="A3425" t="s">
        <v>7832</v>
      </c>
      <c r="B3425" t="s">
        <v>7833</v>
      </c>
      <c r="C3425" t="s">
        <v>7832</v>
      </c>
      <c r="D3425">
        <v>5040</v>
      </c>
    </row>
    <row r="3426" spans="1:4">
      <c r="A3426" t="s">
        <v>7834</v>
      </c>
      <c r="B3426" t="s">
        <v>7835</v>
      </c>
      <c r="C3426" t="s">
        <v>7834</v>
      </c>
      <c r="D3426">
        <v>3674</v>
      </c>
    </row>
    <row r="3427" spans="1:4">
      <c r="A3427" t="s">
        <v>7836</v>
      </c>
      <c r="B3427" t="s">
        <v>7837</v>
      </c>
      <c r="C3427" t="s">
        <v>7836</v>
      </c>
      <c r="D3427">
        <v>7990</v>
      </c>
    </row>
    <row r="3428" spans="1:4">
      <c r="A3428" t="s">
        <v>7838</v>
      </c>
      <c r="B3428" t="s">
        <v>7839</v>
      </c>
      <c r="C3428" t="s">
        <v>7838</v>
      </c>
      <c r="D3428">
        <v>4941</v>
      </c>
    </row>
    <row r="3429" spans="1:4">
      <c r="A3429" t="s">
        <v>7840</v>
      </c>
      <c r="B3429" t="s">
        <v>7841</v>
      </c>
      <c r="C3429" t="s">
        <v>7840</v>
      </c>
      <c r="D3429">
        <v>3140</v>
      </c>
    </row>
    <row r="3430" spans="1:4">
      <c r="A3430" t="s">
        <v>7842</v>
      </c>
      <c r="B3430" t="s">
        <v>7843</v>
      </c>
      <c r="C3430" t="s">
        <v>7842</v>
      </c>
      <c r="D3430">
        <v>8200</v>
      </c>
    </row>
    <row r="3431" spans="1:4">
      <c r="A3431" t="s">
        <v>7844</v>
      </c>
      <c r="B3431" t="s">
        <v>7845</v>
      </c>
      <c r="C3431" t="s">
        <v>7844</v>
      </c>
      <c r="D3431">
        <v>7374</v>
      </c>
    </row>
    <row r="3432" spans="1:4">
      <c r="A3432" t="s">
        <v>7846</v>
      </c>
      <c r="B3432" t="s">
        <v>7847</v>
      </c>
      <c r="C3432" t="s">
        <v>7846</v>
      </c>
      <c r="D3432">
        <v>2451</v>
      </c>
    </row>
    <row r="3433" spans="1:4">
      <c r="A3433" t="s">
        <v>7848</v>
      </c>
      <c r="B3433" t="s">
        <v>7849</v>
      </c>
      <c r="C3433" t="s">
        <v>7848</v>
      </c>
      <c r="D3433">
        <v>3674</v>
      </c>
    </row>
    <row r="3434" spans="1:4">
      <c r="A3434" t="s">
        <v>7850</v>
      </c>
      <c r="B3434" t="s">
        <v>7851</v>
      </c>
      <c r="C3434" t="s">
        <v>7850</v>
      </c>
      <c r="D3434">
        <v>4512</v>
      </c>
    </row>
    <row r="3435" spans="1:4">
      <c r="A3435" t="s">
        <v>7852</v>
      </c>
      <c r="B3435" t="s">
        <v>7853</v>
      </c>
      <c r="C3435" t="s">
        <v>7852</v>
      </c>
      <c r="D3435">
        <v>3674</v>
      </c>
    </row>
    <row r="3436" spans="1:4">
      <c r="A3436" t="s">
        <v>7854</v>
      </c>
      <c r="B3436" t="s">
        <v>7855</v>
      </c>
      <c r="C3436" t="s">
        <v>7854</v>
      </c>
      <c r="D3436">
        <v>6798</v>
      </c>
    </row>
    <row r="3437" spans="1:4">
      <c r="A3437" t="s">
        <v>7856</v>
      </c>
      <c r="B3437" t="s">
        <v>7857</v>
      </c>
      <c r="C3437" t="s">
        <v>7856</v>
      </c>
      <c r="D3437">
        <v>2510</v>
      </c>
    </row>
    <row r="3438" spans="1:4">
      <c r="A3438" t="s">
        <v>7858</v>
      </c>
      <c r="B3438" t="s">
        <v>7859</v>
      </c>
      <c r="C3438" t="s">
        <v>7858</v>
      </c>
      <c r="D3438">
        <v>6141</v>
      </c>
    </row>
    <row r="3439" spans="1:4">
      <c r="A3439" t="s">
        <v>7860</v>
      </c>
      <c r="B3439" t="s">
        <v>7861</v>
      </c>
      <c r="C3439" t="s">
        <v>7860</v>
      </c>
      <c r="D3439">
        <v>1311</v>
      </c>
    </row>
    <row r="3440" spans="1:4">
      <c r="A3440" t="s">
        <v>7862</v>
      </c>
      <c r="B3440" t="s">
        <v>7863</v>
      </c>
      <c r="C3440" t="s">
        <v>7862</v>
      </c>
      <c r="D3440">
        <v>3674</v>
      </c>
    </row>
    <row r="3441" spans="1:4">
      <c r="A3441" t="s">
        <v>7864</v>
      </c>
      <c r="B3441" t="s">
        <v>7865</v>
      </c>
      <c r="C3441" t="s">
        <v>7864</v>
      </c>
      <c r="D3441">
        <v>1400</v>
      </c>
    </row>
    <row r="3442" spans="1:4">
      <c r="A3442" t="s">
        <v>7866</v>
      </c>
      <c r="B3442" t="s">
        <v>7867</v>
      </c>
      <c r="C3442" t="s">
        <v>7866</v>
      </c>
      <c r="D3442">
        <v>6021</v>
      </c>
    </row>
    <row r="3443" spans="1:4">
      <c r="A3443" t="s">
        <v>7868</v>
      </c>
      <c r="B3443" t="s">
        <v>7869</v>
      </c>
      <c r="C3443" t="s">
        <v>7868</v>
      </c>
      <c r="D3443">
        <v>7373</v>
      </c>
    </row>
    <row r="3444" spans="1:4">
      <c r="A3444" t="s">
        <v>7870</v>
      </c>
      <c r="B3444" t="s">
        <v>7871</v>
      </c>
      <c r="C3444" t="s">
        <v>7870</v>
      </c>
      <c r="D3444">
        <v>7372</v>
      </c>
    </row>
    <row r="3445" spans="1:4">
      <c r="A3445" t="s">
        <v>7872</v>
      </c>
      <c r="B3445" t="s">
        <v>7873</v>
      </c>
      <c r="C3445" t="s">
        <v>7872</v>
      </c>
      <c r="D3445">
        <v>3843</v>
      </c>
    </row>
    <row r="3446" spans="1:4">
      <c r="A3446" t="s">
        <v>7874</v>
      </c>
      <c r="B3446" t="s">
        <v>7875</v>
      </c>
      <c r="C3446" t="s">
        <v>7874</v>
      </c>
      <c r="D3446">
        <v>3480</v>
      </c>
    </row>
    <row r="3447" spans="1:4">
      <c r="A3447" t="s">
        <v>7876</v>
      </c>
      <c r="B3447" t="s">
        <v>7877</v>
      </c>
      <c r="C3447" t="s">
        <v>7876</v>
      </c>
      <c r="D3447">
        <v>3630</v>
      </c>
    </row>
    <row r="3448" spans="1:4">
      <c r="A3448" t="s">
        <v>7878</v>
      </c>
      <c r="B3448" t="s">
        <v>7879</v>
      </c>
      <c r="C3448" t="s">
        <v>7878</v>
      </c>
      <c r="D3448">
        <v>7372</v>
      </c>
    </row>
    <row r="3449" spans="1:4">
      <c r="A3449" t="s">
        <v>7880</v>
      </c>
      <c r="B3449" t="s">
        <v>7881</v>
      </c>
      <c r="C3449" t="s">
        <v>7880</v>
      </c>
      <c r="D3449">
        <v>3272</v>
      </c>
    </row>
    <row r="3450" spans="1:4">
      <c r="A3450" t="s">
        <v>7882</v>
      </c>
      <c r="B3450" t="s">
        <v>7883</v>
      </c>
      <c r="C3450" t="s">
        <v>7882</v>
      </c>
      <c r="D3450">
        <v>7370</v>
      </c>
    </row>
    <row r="3451" spans="1:4">
      <c r="A3451" t="s">
        <v>7884</v>
      </c>
      <c r="B3451" t="s">
        <v>7885</v>
      </c>
      <c r="C3451" t="s">
        <v>7884</v>
      </c>
      <c r="D3451">
        <v>3670</v>
      </c>
    </row>
    <row r="3452" spans="1:4">
      <c r="A3452" t="s">
        <v>7886</v>
      </c>
      <c r="B3452" t="s">
        <v>7887</v>
      </c>
      <c r="C3452" t="s">
        <v>7886</v>
      </c>
      <c r="D3452">
        <v>3420</v>
      </c>
    </row>
    <row r="3453" spans="1:4">
      <c r="A3453" t="s">
        <v>7888</v>
      </c>
      <c r="B3453" t="s">
        <v>7889</v>
      </c>
      <c r="C3453" t="s">
        <v>7888</v>
      </c>
      <c r="D3453">
        <v>7372</v>
      </c>
    </row>
    <row r="3454" spans="1:4">
      <c r="A3454" t="s">
        <v>7890</v>
      </c>
      <c r="B3454" t="s">
        <v>7891</v>
      </c>
      <c r="C3454" t="s">
        <v>7890</v>
      </c>
      <c r="D3454">
        <v>7374</v>
      </c>
    </row>
    <row r="3455" spans="1:4">
      <c r="A3455" t="s">
        <v>7892</v>
      </c>
      <c r="B3455" t="s">
        <v>7893</v>
      </c>
      <c r="C3455" t="s">
        <v>7892</v>
      </c>
      <c r="D3455">
        <v>3571</v>
      </c>
    </row>
    <row r="3456" spans="1:4">
      <c r="A3456" t="s">
        <v>7894</v>
      </c>
      <c r="B3456" t="s">
        <v>7895</v>
      </c>
      <c r="C3456" t="s">
        <v>7894</v>
      </c>
      <c r="D3456">
        <v>6199</v>
      </c>
    </row>
    <row r="3457" spans="1:4">
      <c r="A3457" t="s">
        <v>7896</v>
      </c>
      <c r="B3457" t="s">
        <v>7897</v>
      </c>
      <c r="C3457" t="s">
        <v>7896</v>
      </c>
      <c r="D3457">
        <v>7374</v>
      </c>
    </row>
    <row r="3458" spans="1:4">
      <c r="A3458" t="s">
        <v>7898</v>
      </c>
      <c r="B3458" t="s">
        <v>7899</v>
      </c>
      <c r="C3458" t="s">
        <v>7898</v>
      </c>
      <c r="D3458">
        <v>2834</v>
      </c>
    </row>
    <row r="3459" spans="1:4">
      <c r="A3459" t="s">
        <v>7900</v>
      </c>
      <c r="B3459" t="s">
        <v>7901</v>
      </c>
      <c r="C3459" t="s">
        <v>7900</v>
      </c>
      <c r="D3459">
        <v>3674</v>
      </c>
    </row>
    <row r="3460" spans="1:4">
      <c r="A3460" t="s">
        <v>7902</v>
      </c>
      <c r="B3460" t="s">
        <v>7903</v>
      </c>
      <c r="C3460" t="s">
        <v>7902</v>
      </c>
      <c r="D3460">
        <v>3533</v>
      </c>
    </row>
    <row r="3461" spans="1:4">
      <c r="A3461" t="s">
        <v>7904</v>
      </c>
      <c r="B3461" t="s">
        <v>7905</v>
      </c>
      <c r="C3461" t="s">
        <v>7904</v>
      </c>
      <c r="D3461">
        <v>2860</v>
      </c>
    </row>
    <row r="3462" spans="1:4">
      <c r="A3462" t="s">
        <v>7906</v>
      </c>
      <c r="B3462" t="s">
        <v>7907</v>
      </c>
      <c r="C3462" t="s">
        <v>7906</v>
      </c>
      <c r="D3462">
        <v>7372</v>
      </c>
    </row>
    <row r="3463" spans="1:4">
      <c r="A3463" t="s">
        <v>7908</v>
      </c>
      <c r="B3463" t="s">
        <v>7909</v>
      </c>
      <c r="C3463" t="s">
        <v>7908</v>
      </c>
      <c r="D3463">
        <v>3690</v>
      </c>
    </row>
    <row r="3464" spans="1:4">
      <c r="A3464" t="s">
        <v>7910</v>
      </c>
      <c r="B3464" t="s">
        <v>7911</v>
      </c>
      <c r="C3464" t="s">
        <v>7910</v>
      </c>
      <c r="D3464">
        <v>2834</v>
      </c>
    </row>
    <row r="3465" spans="1:4">
      <c r="A3465" t="s">
        <v>7912</v>
      </c>
      <c r="B3465" t="s">
        <v>7913</v>
      </c>
      <c r="C3465" t="s">
        <v>7912</v>
      </c>
      <c r="D3465">
        <v>8731</v>
      </c>
    </row>
    <row r="3466" spans="1:4">
      <c r="A3466" t="s">
        <v>7914</v>
      </c>
      <c r="B3466" t="s">
        <v>7915</v>
      </c>
      <c r="C3466" t="s">
        <v>7914</v>
      </c>
      <c r="D3466">
        <v>3843</v>
      </c>
    </row>
    <row r="3467" spans="1:4">
      <c r="A3467" t="s">
        <v>7916</v>
      </c>
      <c r="B3467" t="s">
        <v>7917</v>
      </c>
      <c r="C3467" t="s">
        <v>7916</v>
      </c>
      <c r="D3467">
        <v>5500</v>
      </c>
    </row>
    <row r="3468" spans="1:4">
      <c r="A3468" t="s">
        <v>7918</v>
      </c>
      <c r="B3468" t="s">
        <v>7919</v>
      </c>
      <c r="C3468" t="s">
        <v>7918</v>
      </c>
      <c r="D3468">
        <v>3663</v>
      </c>
    </row>
    <row r="3469" spans="1:4">
      <c r="A3469" t="s">
        <v>7920</v>
      </c>
      <c r="B3469" t="s">
        <v>7921</v>
      </c>
      <c r="C3469" t="s">
        <v>7920</v>
      </c>
      <c r="D3469">
        <v>8050</v>
      </c>
    </row>
    <row r="3470" spans="1:4">
      <c r="A3470" t="s">
        <v>7922</v>
      </c>
      <c r="B3470" t="s">
        <v>7923</v>
      </c>
      <c r="C3470" t="s">
        <v>7922</v>
      </c>
      <c r="D3470">
        <v>3690</v>
      </c>
    </row>
    <row r="3471" spans="1:4">
      <c r="A3471" t="s">
        <v>7924</v>
      </c>
      <c r="B3471" t="s">
        <v>7925</v>
      </c>
      <c r="C3471" t="s">
        <v>7924</v>
      </c>
      <c r="D3471">
        <v>2650</v>
      </c>
    </row>
    <row r="3472" spans="1:4">
      <c r="A3472" t="s">
        <v>7926</v>
      </c>
      <c r="B3472" t="s">
        <v>7927</v>
      </c>
      <c r="C3472" t="s">
        <v>7926</v>
      </c>
      <c r="D3472">
        <v>3651</v>
      </c>
    </row>
    <row r="3473" spans="1:4">
      <c r="A3473" t="s">
        <v>7928</v>
      </c>
      <c r="B3473" t="s">
        <v>7929</v>
      </c>
      <c r="C3473" t="s">
        <v>7928</v>
      </c>
      <c r="D3473">
        <v>2836</v>
      </c>
    </row>
    <row r="3474" spans="1:4">
      <c r="A3474" t="s">
        <v>7930</v>
      </c>
      <c r="B3474" t="s">
        <v>7931</v>
      </c>
      <c r="C3474" t="s">
        <v>7930</v>
      </c>
      <c r="D3474">
        <v>6199</v>
      </c>
    </row>
    <row r="3475" spans="1:4">
      <c r="A3475" t="s">
        <v>7932</v>
      </c>
      <c r="B3475" t="s">
        <v>7933</v>
      </c>
      <c r="C3475" t="s">
        <v>7932</v>
      </c>
      <c r="D3475">
        <v>8090</v>
      </c>
    </row>
    <row r="3476" spans="1:4">
      <c r="A3476" t="s">
        <v>7934</v>
      </c>
      <c r="B3476" t="s">
        <v>7935</v>
      </c>
      <c r="C3476" t="s">
        <v>7934</v>
      </c>
      <c r="D3476">
        <v>6798</v>
      </c>
    </row>
    <row r="3477" spans="1:4">
      <c r="A3477" t="s">
        <v>7936</v>
      </c>
      <c r="B3477" t="s">
        <v>7937</v>
      </c>
      <c r="C3477" t="s">
        <v>7936</v>
      </c>
      <c r="D3477">
        <v>6035</v>
      </c>
    </row>
    <row r="3478" spans="1:4">
      <c r="A3478" t="s">
        <v>7938</v>
      </c>
      <c r="B3478" t="s">
        <v>7939</v>
      </c>
      <c r="C3478" t="s">
        <v>7938</v>
      </c>
      <c r="D3478">
        <v>2070</v>
      </c>
    </row>
    <row r="3479" spans="1:4">
      <c r="A3479" t="s">
        <v>7940</v>
      </c>
      <c r="B3479" t="s">
        <v>7941</v>
      </c>
      <c r="C3479" t="s">
        <v>7940</v>
      </c>
      <c r="D3479">
        <v>4924</v>
      </c>
    </row>
    <row r="3480" spans="1:4">
      <c r="A3480" t="s">
        <v>7942</v>
      </c>
      <c r="B3480" t="s">
        <v>7943</v>
      </c>
      <c r="C3480" t="s">
        <v>7942</v>
      </c>
      <c r="D3480">
        <v>6022</v>
      </c>
    </row>
    <row r="3481" spans="1:4">
      <c r="A3481" t="s">
        <v>7944</v>
      </c>
      <c r="B3481" t="s">
        <v>7945</v>
      </c>
      <c r="C3481" t="s">
        <v>7944</v>
      </c>
      <c r="D3481">
        <v>4911</v>
      </c>
    </row>
    <row r="3482" spans="1:4">
      <c r="A3482" t="s">
        <v>7946</v>
      </c>
      <c r="B3482" t="s">
        <v>7947</v>
      </c>
      <c r="C3482" t="s">
        <v>7946</v>
      </c>
      <c r="D3482">
        <v>1000</v>
      </c>
    </row>
    <row r="3483" spans="1:4">
      <c r="A3483" t="s">
        <v>7948</v>
      </c>
      <c r="B3483" t="s">
        <v>7949</v>
      </c>
      <c r="C3483" t="s">
        <v>7948</v>
      </c>
      <c r="D3483">
        <v>6021</v>
      </c>
    </row>
    <row r="3484" spans="1:4">
      <c r="A3484" t="s">
        <v>7950</v>
      </c>
      <c r="B3484" t="s">
        <v>7951</v>
      </c>
      <c r="C3484" t="s">
        <v>7950</v>
      </c>
      <c r="D3484">
        <v>6036</v>
      </c>
    </row>
    <row r="3485" spans="1:4">
      <c r="A3485" t="s">
        <v>7952</v>
      </c>
      <c r="B3485" t="s">
        <v>7953</v>
      </c>
      <c r="C3485" t="s">
        <v>7952</v>
      </c>
      <c r="D3485">
        <v>6022</v>
      </c>
    </row>
    <row r="3486" spans="1:4">
      <c r="A3486" t="s">
        <v>7954</v>
      </c>
      <c r="B3486" t="s">
        <v>7955</v>
      </c>
      <c r="C3486" t="s">
        <v>7954</v>
      </c>
      <c r="D3486">
        <v>6022</v>
      </c>
    </row>
    <row r="3487" spans="1:4">
      <c r="A3487" t="s">
        <v>7956</v>
      </c>
      <c r="B3487" t="s">
        <v>7957</v>
      </c>
      <c r="C3487" t="s">
        <v>7956</v>
      </c>
      <c r="D3487">
        <v>6022</v>
      </c>
    </row>
    <row r="3488" spans="1:4">
      <c r="A3488" t="s">
        <v>7958</v>
      </c>
      <c r="B3488" t="s">
        <v>7959</v>
      </c>
      <c r="C3488" t="s">
        <v>7958</v>
      </c>
      <c r="D3488">
        <v>4512</v>
      </c>
    </row>
    <row r="3489" spans="1:4">
      <c r="A3489" t="s">
        <v>7960</v>
      </c>
      <c r="B3489" t="s">
        <v>7961</v>
      </c>
      <c r="C3489" t="s">
        <v>7960</v>
      </c>
      <c r="D3489">
        <v>4923</v>
      </c>
    </row>
    <row r="3490" spans="1:4">
      <c r="A3490" t="s">
        <v>7962</v>
      </c>
      <c r="B3490" t="s">
        <v>7963</v>
      </c>
      <c r="C3490" t="s">
        <v>7962</v>
      </c>
      <c r="D3490">
        <v>1311</v>
      </c>
    </row>
    <row r="3491" spans="1:4">
      <c r="A3491" t="s">
        <v>7964</v>
      </c>
      <c r="B3491" t="s">
        <v>7965</v>
      </c>
      <c r="C3491" t="s">
        <v>7964</v>
      </c>
      <c r="D3491">
        <v>2000</v>
      </c>
    </row>
    <row r="3492" spans="1:4">
      <c r="A3492" t="s">
        <v>7966</v>
      </c>
      <c r="B3492" t="s">
        <v>7967</v>
      </c>
      <c r="C3492" t="s">
        <v>7966</v>
      </c>
      <c r="D3492">
        <v>7510</v>
      </c>
    </row>
    <row r="3493" spans="1:4">
      <c r="A3493" t="s">
        <v>7968</v>
      </c>
      <c r="B3493" t="s">
        <v>7969</v>
      </c>
      <c r="C3493" t="s">
        <v>7968</v>
      </c>
      <c r="D3493">
        <v>7389</v>
      </c>
    </row>
    <row r="3494" spans="1:4">
      <c r="A3494" t="s">
        <v>7970</v>
      </c>
      <c r="B3494" t="s">
        <v>7971</v>
      </c>
      <c r="C3494" t="s">
        <v>7970</v>
      </c>
      <c r="D3494">
        <v>7200</v>
      </c>
    </row>
    <row r="3495" spans="1:4">
      <c r="A3495" t="s">
        <v>7972</v>
      </c>
      <c r="B3495" t="s">
        <v>7973</v>
      </c>
      <c r="C3495" t="s">
        <v>7972</v>
      </c>
      <c r="D3495">
        <v>5141</v>
      </c>
    </row>
    <row r="3496" spans="1:4">
      <c r="A3496" t="s">
        <v>7974</v>
      </c>
      <c r="B3496" t="s">
        <v>7975</v>
      </c>
      <c r="C3496" t="s">
        <v>7974</v>
      </c>
      <c r="D3496">
        <v>3690</v>
      </c>
    </row>
    <row r="3497" spans="1:4">
      <c r="A3497" t="s">
        <v>7976</v>
      </c>
      <c r="B3497" t="s">
        <v>7977</v>
      </c>
      <c r="C3497" t="s">
        <v>7976</v>
      </c>
      <c r="D3497">
        <v>2834</v>
      </c>
    </row>
    <row r="3498" spans="1:4">
      <c r="A3498" t="s">
        <v>7978</v>
      </c>
      <c r="B3498" t="s">
        <v>7979</v>
      </c>
      <c r="C3498" t="s">
        <v>7978</v>
      </c>
      <c r="D3498">
        <v>2834</v>
      </c>
    </row>
    <row r="3499" spans="1:4">
      <c r="A3499" t="s">
        <v>7980</v>
      </c>
      <c r="B3499" t="s">
        <v>7981</v>
      </c>
      <c r="C3499" t="s">
        <v>7980</v>
      </c>
      <c r="D3499">
        <v>7374</v>
      </c>
    </row>
    <row r="3500" spans="1:4">
      <c r="A3500" t="s">
        <v>7982</v>
      </c>
      <c r="B3500" t="s">
        <v>7983</v>
      </c>
      <c r="C3500" t="s">
        <v>7982</v>
      </c>
      <c r="D3500">
        <v>3674</v>
      </c>
    </row>
    <row r="3501" spans="1:4">
      <c r="A3501" t="s">
        <v>7984</v>
      </c>
      <c r="B3501" t="s">
        <v>7985</v>
      </c>
      <c r="C3501" t="s">
        <v>7984</v>
      </c>
      <c r="D3501">
        <v>1311</v>
      </c>
    </row>
    <row r="3502" spans="1:4">
      <c r="A3502" t="s">
        <v>7986</v>
      </c>
      <c r="B3502" t="s">
        <v>7987</v>
      </c>
      <c r="C3502" t="s">
        <v>7986</v>
      </c>
      <c r="D3502">
        <v>4899</v>
      </c>
    </row>
    <row r="3503" spans="1:4">
      <c r="A3503" t="s">
        <v>7988</v>
      </c>
      <c r="B3503" t="s">
        <v>7989</v>
      </c>
      <c r="C3503" t="s">
        <v>7988</v>
      </c>
      <c r="D3503">
        <v>4924</v>
      </c>
    </row>
    <row r="3504" spans="1:4">
      <c r="A3504" t="s">
        <v>7990</v>
      </c>
      <c r="B3504" t="s">
        <v>7991</v>
      </c>
      <c r="C3504" t="s">
        <v>7990</v>
      </c>
      <c r="D3504">
        <v>3728</v>
      </c>
    </row>
    <row r="3505" spans="1:4">
      <c r="A3505" t="s">
        <v>7992</v>
      </c>
      <c r="B3505" t="s">
        <v>7993</v>
      </c>
      <c r="C3505" t="s">
        <v>7992</v>
      </c>
      <c r="D3505">
        <v>4512</v>
      </c>
    </row>
    <row r="3506" spans="1:4">
      <c r="A3506" t="s">
        <v>7994</v>
      </c>
      <c r="B3506" t="s">
        <v>7995</v>
      </c>
      <c r="C3506" t="s">
        <v>7994</v>
      </c>
      <c r="D3506">
        <v>6512</v>
      </c>
    </row>
    <row r="3507" spans="1:4">
      <c r="A3507" t="s">
        <v>7996</v>
      </c>
      <c r="B3507" t="s">
        <v>7997</v>
      </c>
      <c r="C3507" t="s">
        <v>7996</v>
      </c>
      <c r="D3507">
        <v>7372</v>
      </c>
    </row>
    <row r="3508" spans="1:4">
      <c r="A3508" t="s">
        <v>7998</v>
      </c>
      <c r="B3508" t="s">
        <v>7999</v>
      </c>
      <c r="C3508" t="s">
        <v>7998</v>
      </c>
      <c r="D3508">
        <v>4812</v>
      </c>
    </row>
    <row r="3509" spans="1:4">
      <c r="A3509" t="s">
        <v>8000</v>
      </c>
      <c r="B3509" t="s">
        <v>8001</v>
      </c>
      <c r="C3509" t="s">
        <v>8000</v>
      </c>
      <c r="D3509">
        <v>5940</v>
      </c>
    </row>
    <row r="3510" spans="1:4">
      <c r="A3510" t="s">
        <v>8002</v>
      </c>
      <c r="B3510" t="s">
        <v>8003</v>
      </c>
      <c r="C3510" t="s">
        <v>8002</v>
      </c>
      <c r="D3510">
        <v>5171</v>
      </c>
    </row>
    <row r="3511" spans="1:4">
      <c r="A3511" t="s">
        <v>8004</v>
      </c>
      <c r="B3511" t="s">
        <v>8005</v>
      </c>
      <c r="C3511" t="s">
        <v>8004</v>
      </c>
      <c r="D3511">
        <v>7372</v>
      </c>
    </row>
    <row r="3512" spans="1:4">
      <c r="A3512" t="s">
        <v>8006</v>
      </c>
      <c r="B3512" t="s">
        <v>8007</v>
      </c>
      <c r="C3512" t="s">
        <v>8006</v>
      </c>
      <c r="D3512">
        <v>7372</v>
      </c>
    </row>
    <row r="3513" spans="1:4">
      <c r="A3513" t="s">
        <v>8008</v>
      </c>
      <c r="B3513" t="s">
        <v>8009</v>
      </c>
      <c r="C3513" t="s">
        <v>8008</v>
      </c>
      <c r="D3513">
        <v>5411</v>
      </c>
    </row>
    <row r="3514" spans="1:4">
      <c r="A3514" t="s">
        <v>8010</v>
      </c>
      <c r="B3514" t="s">
        <v>8011</v>
      </c>
      <c r="C3514" t="s">
        <v>8010</v>
      </c>
      <c r="D3514">
        <v>7372</v>
      </c>
    </row>
    <row r="3515" spans="1:4">
      <c r="A3515" t="s">
        <v>8012</v>
      </c>
      <c r="B3515" t="s">
        <v>8013</v>
      </c>
      <c r="C3515" t="s">
        <v>8012</v>
      </c>
      <c r="D3515">
        <v>3540</v>
      </c>
    </row>
    <row r="3516" spans="1:4">
      <c r="A3516" t="s">
        <v>8014</v>
      </c>
      <c r="B3516" t="s">
        <v>8015</v>
      </c>
      <c r="C3516" t="s">
        <v>8014</v>
      </c>
      <c r="D3516">
        <v>7372</v>
      </c>
    </row>
    <row r="3517" spans="1:4">
      <c r="A3517" t="s">
        <v>8016</v>
      </c>
      <c r="B3517" t="s">
        <v>8017</v>
      </c>
      <c r="C3517" t="s">
        <v>8016</v>
      </c>
      <c r="D3517">
        <v>2836</v>
      </c>
    </row>
    <row r="3518" spans="1:4">
      <c r="A3518" t="s">
        <v>8018</v>
      </c>
      <c r="B3518" t="s">
        <v>8019</v>
      </c>
      <c r="C3518" t="s">
        <v>8018</v>
      </c>
      <c r="D3518">
        <v>7311</v>
      </c>
    </row>
    <row r="3519" spans="1:4">
      <c r="A3519" t="s">
        <v>8020</v>
      </c>
      <c r="B3519" t="s">
        <v>8021</v>
      </c>
      <c r="C3519" t="s">
        <v>8020</v>
      </c>
      <c r="D3519">
        <v>7372</v>
      </c>
    </row>
    <row r="3520" spans="1:4">
      <c r="A3520" t="s">
        <v>8022</v>
      </c>
      <c r="B3520" t="s">
        <v>8023</v>
      </c>
      <c r="C3520" t="s">
        <v>8022</v>
      </c>
      <c r="D3520">
        <v>6795</v>
      </c>
    </row>
    <row r="3521" spans="1:4">
      <c r="A3521" t="s">
        <v>8024</v>
      </c>
      <c r="B3521" t="s">
        <v>8025</v>
      </c>
      <c r="C3521" t="s">
        <v>8024</v>
      </c>
      <c r="D3521">
        <v>6552</v>
      </c>
    </row>
    <row r="3522" spans="1:4">
      <c r="A3522" t="s">
        <v>8026</v>
      </c>
      <c r="B3522" t="s">
        <v>8027</v>
      </c>
      <c r="C3522" t="s">
        <v>8026</v>
      </c>
      <c r="D3522">
        <v>3851</v>
      </c>
    </row>
    <row r="3523" spans="1:4">
      <c r="A3523" t="s">
        <v>8028</v>
      </c>
      <c r="B3523" t="s">
        <v>8029</v>
      </c>
      <c r="C3523" t="s">
        <v>8028</v>
      </c>
      <c r="D3523">
        <v>4924</v>
      </c>
    </row>
    <row r="3524" spans="1:4">
      <c r="A3524" t="s">
        <v>8030</v>
      </c>
      <c r="B3524" t="s">
        <v>8031</v>
      </c>
      <c r="C3524" t="s">
        <v>8030</v>
      </c>
      <c r="D3524">
        <v>7363</v>
      </c>
    </row>
    <row r="3525" spans="1:4">
      <c r="A3525" t="s">
        <v>8032</v>
      </c>
      <c r="B3525" t="s">
        <v>8033</v>
      </c>
      <c r="C3525" t="s">
        <v>8032</v>
      </c>
      <c r="D3525">
        <v>6798</v>
      </c>
    </row>
    <row r="3526" spans="1:4">
      <c r="A3526" t="s">
        <v>8034</v>
      </c>
      <c r="B3526" t="s">
        <v>8035</v>
      </c>
      <c r="C3526" t="s">
        <v>8034</v>
      </c>
      <c r="D3526">
        <v>7311</v>
      </c>
    </row>
    <row r="3527" spans="1:4">
      <c r="A3527" t="s">
        <v>8036</v>
      </c>
      <c r="B3527" t="s">
        <v>8037</v>
      </c>
      <c r="C3527" t="s">
        <v>8036</v>
      </c>
      <c r="D3527">
        <v>3714</v>
      </c>
    </row>
    <row r="3528" spans="1:4">
      <c r="A3528" t="s">
        <v>8038</v>
      </c>
      <c r="B3528" t="s">
        <v>8039</v>
      </c>
      <c r="C3528" t="s">
        <v>8038</v>
      </c>
      <c r="D3528">
        <v>3580</v>
      </c>
    </row>
    <row r="3529" spans="1:4">
      <c r="A3529" t="s">
        <v>8040</v>
      </c>
      <c r="B3529" t="s">
        <v>8041</v>
      </c>
      <c r="C3529" t="s">
        <v>8040</v>
      </c>
      <c r="D3529">
        <v>3420</v>
      </c>
    </row>
    <row r="3530" spans="1:4">
      <c r="A3530" t="s">
        <v>8042</v>
      </c>
      <c r="B3530" t="s">
        <v>8043</v>
      </c>
      <c r="C3530" t="s">
        <v>8042</v>
      </c>
      <c r="D3530">
        <v>4412</v>
      </c>
    </row>
    <row r="3531" spans="1:4">
      <c r="A3531" t="s">
        <v>8044</v>
      </c>
      <c r="B3531" t="s">
        <v>8045</v>
      </c>
      <c r="C3531" t="s">
        <v>8044</v>
      </c>
      <c r="D3531">
        <v>5990</v>
      </c>
    </row>
    <row r="3532" spans="1:4">
      <c r="A3532" t="s">
        <v>8046</v>
      </c>
      <c r="B3532" t="s">
        <v>8047</v>
      </c>
      <c r="C3532" t="s">
        <v>8046</v>
      </c>
      <c r="D3532">
        <v>3420</v>
      </c>
    </row>
    <row r="3533" spans="1:4">
      <c r="A3533" t="s">
        <v>8048</v>
      </c>
      <c r="B3533" t="s">
        <v>8049</v>
      </c>
      <c r="C3533" t="s">
        <v>8048</v>
      </c>
      <c r="D3533">
        <v>7363</v>
      </c>
    </row>
    <row r="3534" spans="1:4">
      <c r="A3534" t="s">
        <v>8050</v>
      </c>
      <c r="B3534" t="s">
        <v>8051</v>
      </c>
      <c r="C3534" t="s">
        <v>8050</v>
      </c>
      <c r="D3534">
        <v>6798</v>
      </c>
    </row>
    <row r="3535" spans="1:4">
      <c r="A3535" t="s">
        <v>8052</v>
      </c>
      <c r="B3535" t="s">
        <v>8053</v>
      </c>
      <c r="C3535" t="s">
        <v>8052</v>
      </c>
      <c r="D3535">
        <v>6022</v>
      </c>
    </row>
    <row r="3536" spans="1:4">
      <c r="A3536" t="s">
        <v>8054</v>
      </c>
      <c r="B3536" t="s">
        <v>8055</v>
      </c>
      <c r="C3536" t="s">
        <v>8054</v>
      </c>
      <c r="D3536">
        <v>4412</v>
      </c>
    </row>
    <row r="3537" spans="1:4">
      <c r="A3537" t="s">
        <v>8056</v>
      </c>
      <c r="B3537" t="s">
        <v>8057</v>
      </c>
      <c r="C3537" t="s">
        <v>8056</v>
      </c>
      <c r="D3537">
        <v>7389</v>
      </c>
    </row>
    <row r="3538" spans="1:4">
      <c r="A3538" t="s">
        <v>8058</v>
      </c>
      <c r="B3538" t="s">
        <v>8059</v>
      </c>
      <c r="C3538" t="s">
        <v>8058</v>
      </c>
      <c r="D3538">
        <v>3312</v>
      </c>
    </row>
    <row r="3539" spans="1:4">
      <c r="A3539" t="s">
        <v>8060</v>
      </c>
      <c r="B3539" t="s">
        <v>8061</v>
      </c>
      <c r="C3539" t="s">
        <v>8060</v>
      </c>
      <c r="D3539">
        <v>3390</v>
      </c>
    </row>
    <row r="3540" spans="1:4">
      <c r="A3540" t="s">
        <v>8062</v>
      </c>
      <c r="B3540" t="s">
        <v>8063</v>
      </c>
      <c r="C3540" t="s">
        <v>8062</v>
      </c>
      <c r="D3540">
        <v>2522</v>
      </c>
    </row>
    <row r="3541" spans="1:4">
      <c r="A3541" t="s">
        <v>8064</v>
      </c>
      <c r="B3541" t="s">
        <v>8065</v>
      </c>
      <c r="C3541" t="s">
        <v>8064</v>
      </c>
      <c r="D3541">
        <v>3690</v>
      </c>
    </row>
    <row r="3542" spans="1:4">
      <c r="A3542" t="s">
        <v>8066</v>
      </c>
      <c r="B3542" t="s">
        <v>8067</v>
      </c>
      <c r="C3542" t="s">
        <v>8066</v>
      </c>
      <c r="D3542">
        <v>2840</v>
      </c>
    </row>
    <row r="3543" spans="1:4">
      <c r="A3543" t="s">
        <v>8068</v>
      </c>
      <c r="B3543" t="s">
        <v>8069</v>
      </c>
      <c r="C3543" t="s">
        <v>8068</v>
      </c>
      <c r="D3543">
        <v>6282</v>
      </c>
    </row>
    <row r="3544" spans="1:4">
      <c r="A3544" t="s">
        <v>8070</v>
      </c>
      <c r="B3544" t="s">
        <v>8071</v>
      </c>
      <c r="C3544" t="s">
        <v>8070</v>
      </c>
      <c r="D3544">
        <v>3845</v>
      </c>
    </row>
    <row r="3545" spans="1:4">
      <c r="A3545" t="s">
        <v>8072</v>
      </c>
      <c r="B3545" t="s">
        <v>8073</v>
      </c>
      <c r="C3545" t="s">
        <v>8072</v>
      </c>
      <c r="D3545">
        <v>4955</v>
      </c>
    </row>
    <row r="3546" spans="1:4">
      <c r="A3546" t="s">
        <v>8074</v>
      </c>
      <c r="B3546" t="s">
        <v>8075</v>
      </c>
      <c r="C3546" t="s">
        <v>8074</v>
      </c>
      <c r="D3546">
        <v>3842</v>
      </c>
    </row>
    <row r="3547" spans="1:4">
      <c r="A3547" t="s">
        <v>8076</v>
      </c>
      <c r="B3547" t="s">
        <v>8077</v>
      </c>
      <c r="C3547" t="s">
        <v>8076</v>
      </c>
      <c r="D3547">
        <v>6035</v>
      </c>
    </row>
    <row r="3548" spans="1:4">
      <c r="A3548" t="s">
        <v>8078</v>
      </c>
      <c r="B3548" t="s">
        <v>8079</v>
      </c>
      <c r="C3548" t="s">
        <v>8078</v>
      </c>
      <c r="D3548">
        <v>7374</v>
      </c>
    </row>
    <row r="3549" spans="1:4">
      <c r="A3549" t="s">
        <v>8080</v>
      </c>
      <c r="B3549" t="s">
        <v>8081</v>
      </c>
      <c r="C3549" t="s">
        <v>8080</v>
      </c>
      <c r="D3549">
        <v>1600</v>
      </c>
    </row>
    <row r="3550" spans="1:4">
      <c r="A3550" t="s">
        <v>8082</v>
      </c>
      <c r="B3550" t="s">
        <v>8083</v>
      </c>
      <c r="C3550" t="s">
        <v>8082</v>
      </c>
      <c r="D3550">
        <v>3140</v>
      </c>
    </row>
    <row r="3551" spans="1:4">
      <c r="A3551" t="s">
        <v>8084</v>
      </c>
      <c r="B3551" t="s">
        <v>8085</v>
      </c>
      <c r="C3551" t="s">
        <v>8084</v>
      </c>
      <c r="D3551">
        <v>6361</v>
      </c>
    </row>
    <row r="3552" spans="1:4">
      <c r="A3552" t="s">
        <v>8086</v>
      </c>
      <c r="B3552" t="s">
        <v>8087</v>
      </c>
      <c r="C3552" t="s">
        <v>8086</v>
      </c>
      <c r="D3552">
        <v>6211</v>
      </c>
    </row>
    <row r="3553" spans="1:4">
      <c r="A3553" t="s">
        <v>8088</v>
      </c>
      <c r="B3553" t="s">
        <v>8089</v>
      </c>
      <c r="C3553" t="s">
        <v>8088</v>
      </c>
      <c r="D3553">
        <v>5961</v>
      </c>
    </row>
    <row r="3554" spans="1:4">
      <c r="A3554" t="s">
        <v>8090</v>
      </c>
      <c r="B3554" t="s">
        <v>8091</v>
      </c>
      <c r="C3554" t="s">
        <v>8090</v>
      </c>
      <c r="D3554">
        <v>3674</v>
      </c>
    </row>
    <row r="3555" spans="1:4">
      <c r="A3555" t="s">
        <v>8092</v>
      </c>
      <c r="B3555" t="s">
        <v>8093</v>
      </c>
      <c r="C3555" t="s">
        <v>8092</v>
      </c>
      <c r="D3555">
        <v>6022</v>
      </c>
    </row>
    <row r="3556" spans="1:4">
      <c r="A3556" t="s">
        <v>8094</v>
      </c>
      <c r="B3556" t="s">
        <v>8095</v>
      </c>
      <c r="C3556" t="s">
        <v>8094</v>
      </c>
      <c r="D3556">
        <v>7200</v>
      </c>
    </row>
    <row r="3557" spans="1:4">
      <c r="A3557" t="s">
        <v>8096</v>
      </c>
      <c r="B3557" t="s">
        <v>8097</v>
      </c>
      <c r="C3557" t="s">
        <v>8096</v>
      </c>
      <c r="D3557">
        <v>3714</v>
      </c>
    </row>
    <row r="3558" spans="1:4">
      <c r="A3558" t="s">
        <v>8098</v>
      </c>
      <c r="B3558" t="s">
        <v>8099</v>
      </c>
      <c r="C3558" t="s">
        <v>8098</v>
      </c>
      <c r="D3558">
        <v>6200</v>
      </c>
    </row>
    <row r="3559" spans="1:4">
      <c r="A3559" t="s">
        <v>8100</v>
      </c>
      <c r="B3559" t="s">
        <v>8101</v>
      </c>
      <c r="C3559" t="s">
        <v>8100</v>
      </c>
      <c r="D3559">
        <v>6798</v>
      </c>
    </row>
    <row r="3560" spans="1:4">
      <c r="A3560" t="s">
        <v>8102</v>
      </c>
      <c r="B3560" t="s">
        <v>8103</v>
      </c>
      <c r="C3560" t="s">
        <v>8102</v>
      </c>
      <c r="D3560">
        <v>7311</v>
      </c>
    </row>
    <row r="3561" spans="1:4">
      <c r="A3561" t="s">
        <v>8104</v>
      </c>
      <c r="B3561" t="s">
        <v>8105</v>
      </c>
      <c r="C3561" t="s">
        <v>8104</v>
      </c>
      <c r="D3561">
        <v>3841</v>
      </c>
    </row>
    <row r="3562" spans="1:4">
      <c r="A3562" t="s">
        <v>8106</v>
      </c>
      <c r="B3562" t="s">
        <v>8107</v>
      </c>
      <c r="C3562" t="s">
        <v>8106</v>
      </c>
      <c r="D3562">
        <v>3577</v>
      </c>
    </row>
    <row r="3563" spans="1:4">
      <c r="A3563" t="s">
        <v>8108</v>
      </c>
      <c r="B3563" t="s">
        <v>8109</v>
      </c>
      <c r="C3563" t="s">
        <v>8108</v>
      </c>
      <c r="D3563">
        <v>8200</v>
      </c>
    </row>
    <row r="3564" spans="1:4">
      <c r="A3564" t="s">
        <v>8110</v>
      </c>
      <c r="B3564" t="s">
        <v>8111</v>
      </c>
      <c r="C3564" t="s">
        <v>8110</v>
      </c>
      <c r="D3564">
        <v>3714</v>
      </c>
    </row>
    <row r="3565" spans="1:4">
      <c r="A3565" t="s">
        <v>8112</v>
      </c>
      <c r="B3565" t="s">
        <v>8113</v>
      </c>
      <c r="C3565" t="s">
        <v>8112</v>
      </c>
      <c r="D3565">
        <v>6552</v>
      </c>
    </row>
    <row r="3566" spans="1:4">
      <c r="A3566" t="s">
        <v>8114</v>
      </c>
      <c r="B3566" t="s">
        <v>8115</v>
      </c>
      <c r="C3566" t="s">
        <v>8114</v>
      </c>
      <c r="D3566">
        <v>7373</v>
      </c>
    </row>
    <row r="3567" spans="1:4">
      <c r="A3567" t="s">
        <v>8116</v>
      </c>
      <c r="B3567" t="s">
        <v>8117</v>
      </c>
      <c r="C3567" t="s">
        <v>8116</v>
      </c>
      <c r="D3567">
        <v>8200</v>
      </c>
    </row>
    <row r="3568" spans="1:4">
      <c r="A3568" t="s">
        <v>8118</v>
      </c>
      <c r="B3568" t="s">
        <v>8119</v>
      </c>
      <c r="C3568" t="s">
        <v>8118</v>
      </c>
      <c r="D3568">
        <v>3841</v>
      </c>
    </row>
    <row r="3569" spans="1:4">
      <c r="A3569" t="s">
        <v>8120</v>
      </c>
      <c r="B3569" t="s">
        <v>8121</v>
      </c>
      <c r="C3569" t="s">
        <v>8120</v>
      </c>
      <c r="D3569">
        <v>7011</v>
      </c>
    </row>
    <row r="3570" spans="1:4">
      <c r="A3570" t="s">
        <v>8122</v>
      </c>
      <c r="B3570" t="s">
        <v>8123</v>
      </c>
      <c r="C3570" t="s">
        <v>8122</v>
      </c>
      <c r="D3570">
        <v>3480</v>
      </c>
    </row>
    <row r="3571" spans="1:4">
      <c r="A3571" t="s">
        <v>8124</v>
      </c>
      <c r="B3571" t="s">
        <v>8125</v>
      </c>
      <c r="C3571" t="s">
        <v>8124</v>
      </c>
      <c r="D3571">
        <v>5900</v>
      </c>
    </row>
    <row r="3572" spans="1:4">
      <c r="A3572" t="s">
        <v>8126</v>
      </c>
      <c r="B3572" t="s">
        <v>8127</v>
      </c>
      <c r="C3572" t="s">
        <v>8126</v>
      </c>
      <c r="D3572">
        <v>6022</v>
      </c>
    </row>
    <row r="3573" spans="1:4">
      <c r="A3573" t="s">
        <v>8128</v>
      </c>
      <c r="B3573" t="s">
        <v>8129</v>
      </c>
      <c r="C3573" t="s">
        <v>8128</v>
      </c>
      <c r="D3573">
        <v>6798</v>
      </c>
    </row>
    <row r="3574" spans="1:4">
      <c r="A3574" t="s">
        <v>8130</v>
      </c>
      <c r="B3574" t="s">
        <v>8131</v>
      </c>
      <c r="C3574" t="s">
        <v>8130</v>
      </c>
      <c r="D3574">
        <v>1400</v>
      </c>
    </row>
    <row r="3575" spans="1:4">
      <c r="A3575" t="s">
        <v>8132</v>
      </c>
      <c r="B3575" t="s">
        <v>8133</v>
      </c>
      <c r="C3575" t="s">
        <v>8132</v>
      </c>
      <c r="D3575">
        <v>4922</v>
      </c>
    </row>
    <row r="3576" spans="1:4">
      <c r="A3576" t="s">
        <v>8134</v>
      </c>
      <c r="B3576" t="s">
        <v>8135</v>
      </c>
      <c r="C3576" t="s">
        <v>8134</v>
      </c>
      <c r="D3576">
        <v>2834</v>
      </c>
    </row>
    <row r="3577" spans="1:4">
      <c r="A3577" t="s">
        <v>8136</v>
      </c>
      <c r="B3577" t="s">
        <v>8137</v>
      </c>
      <c r="C3577" t="s">
        <v>8136</v>
      </c>
      <c r="D3577">
        <v>7372</v>
      </c>
    </row>
    <row r="3578" spans="1:4">
      <c r="A3578" t="s">
        <v>8138</v>
      </c>
      <c r="B3578" t="s">
        <v>8139</v>
      </c>
      <c r="C3578" t="s">
        <v>8138</v>
      </c>
      <c r="D3578">
        <v>6798</v>
      </c>
    </row>
    <row r="3579" spans="1:4">
      <c r="A3579" t="s">
        <v>8140</v>
      </c>
      <c r="B3579" t="s">
        <v>8141</v>
      </c>
      <c r="C3579" t="s">
        <v>8140</v>
      </c>
      <c r="D3579">
        <v>4512</v>
      </c>
    </row>
    <row r="3580" spans="1:4">
      <c r="A3580" t="s">
        <v>8142</v>
      </c>
      <c r="B3580" t="s">
        <v>8143</v>
      </c>
      <c r="C3580" t="s">
        <v>8142</v>
      </c>
      <c r="D3580">
        <v>3312</v>
      </c>
    </row>
    <row r="3581" spans="1:4">
      <c r="A3581" t="s">
        <v>8144</v>
      </c>
      <c r="B3581" t="s">
        <v>8145</v>
      </c>
      <c r="C3581" t="s">
        <v>8144</v>
      </c>
      <c r="D3581">
        <v>2834</v>
      </c>
    </row>
    <row r="3582" spans="1:4">
      <c r="A3582" t="s">
        <v>8146</v>
      </c>
      <c r="B3582" t="s">
        <v>8147</v>
      </c>
      <c r="C3582" t="s">
        <v>8146</v>
      </c>
      <c r="D3582">
        <v>8200</v>
      </c>
    </row>
    <row r="3583" spans="1:4">
      <c r="A3583" t="s">
        <v>8148</v>
      </c>
      <c r="B3583" t="s">
        <v>8149</v>
      </c>
      <c r="C3583" t="s">
        <v>8148</v>
      </c>
      <c r="D3583">
        <v>4931</v>
      </c>
    </row>
    <row r="3584" spans="1:4">
      <c r="A3584" t="s">
        <v>8150</v>
      </c>
      <c r="B3584" t="s">
        <v>8151</v>
      </c>
      <c r="C3584" t="s">
        <v>8150</v>
      </c>
      <c r="D3584">
        <v>2911</v>
      </c>
    </row>
    <row r="3585" spans="1:4">
      <c r="A3585" t="s">
        <v>8152</v>
      </c>
      <c r="B3585" t="s">
        <v>8153</v>
      </c>
      <c r="C3585" t="s">
        <v>8152</v>
      </c>
      <c r="D3585">
        <v>5150</v>
      </c>
    </row>
    <row r="3586" spans="1:4">
      <c r="A3586" t="s">
        <v>8154</v>
      </c>
      <c r="B3586" t="s">
        <v>8155</v>
      </c>
      <c r="C3586" t="s">
        <v>8154</v>
      </c>
      <c r="D3586">
        <v>3674</v>
      </c>
    </row>
    <row r="3587" spans="1:4">
      <c r="A3587" t="s">
        <v>8156</v>
      </c>
      <c r="B3587" t="s">
        <v>8157</v>
      </c>
      <c r="C3587" t="s">
        <v>8156</v>
      </c>
      <c r="D3587">
        <v>6513</v>
      </c>
    </row>
    <row r="3588" spans="1:4">
      <c r="A3588" t="s">
        <v>8158</v>
      </c>
      <c r="B3588" t="s">
        <v>8159</v>
      </c>
      <c r="C3588" t="s">
        <v>8158</v>
      </c>
      <c r="D3588">
        <v>3690</v>
      </c>
    </row>
    <row r="3589" spans="1:4">
      <c r="A3589" t="s">
        <v>8160</v>
      </c>
      <c r="B3589" t="s">
        <v>8161</v>
      </c>
      <c r="C3589" t="s">
        <v>8160</v>
      </c>
      <c r="D3589">
        <v>7011</v>
      </c>
    </row>
    <row r="3590" spans="1:4">
      <c r="A3590" t="s">
        <v>8162</v>
      </c>
      <c r="B3590" t="s">
        <v>8163</v>
      </c>
      <c r="C3590" t="s">
        <v>8162</v>
      </c>
      <c r="D3590">
        <v>3690</v>
      </c>
    </row>
    <row r="3591" spans="1:4">
      <c r="A3591" t="s">
        <v>8164</v>
      </c>
      <c r="B3591" t="s">
        <v>8165</v>
      </c>
      <c r="C3591" t="s">
        <v>8164</v>
      </c>
      <c r="D3591">
        <v>7900</v>
      </c>
    </row>
    <row r="3592" spans="1:4">
      <c r="A3592" t="s">
        <v>8166</v>
      </c>
      <c r="B3592" t="s">
        <v>8167</v>
      </c>
      <c r="C3592" t="s">
        <v>8166</v>
      </c>
      <c r="D3592">
        <v>3571</v>
      </c>
    </row>
    <row r="3593" spans="1:4">
      <c r="A3593" t="s">
        <v>8168</v>
      </c>
      <c r="B3593" t="s">
        <v>8169</v>
      </c>
      <c r="C3593" t="s">
        <v>8168</v>
      </c>
      <c r="D3593">
        <v>3533</v>
      </c>
    </row>
    <row r="3594" spans="1:4">
      <c r="A3594" t="s">
        <v>8170</v>
      </c>
      <c r="B3594" t="s">
        <v>8171</v>
      </c>
      <c r="C3594" t="s">
        <v>8170</v>
      </c>
      <c r="D3594">
        <v>2300</v>
      </c>
    </row>
    <row r="3595" spans="1:4">
      <c r="A3595" t="s">
        <v>8172</v>
      </c>
      <c r="B3595" t="s">
        <v>8173</v>
      </c>
      <c r="C3595" t="s">
        <v>8172</v>
      </c>
      <c r="D3595">
        <v>3714</v>
      </c>
    </row>
    <row r="3596" spans="1:4">
      <c r="A3596" t="s">
        <v>8174</v>
      </c>
      <c r="B3596" t="s">
        <v>8175</v>
      </c>
      <c r="C3596" t="s">
        <v>8174</v>
      </c>
      <c r="D3596">
        <v>2834</v>
      </c>
    </row>
    <row r="3597" spans="1:4">
      <c r="A3597" t="s">
        <v>8176</v>
      </c>
      <c r="B3597" t="s">
        <v>8177</v>
      </c>
      <c r="C3597" t="s">
        <v>8176</v>
      </c>
      <c r="D3597">
        <v>2836</v>
      </c>
    </row>
    <row r="3598" spans="1:4">
      <c r="A3598" t="s">
        <v>8178</v>
      </c>
      <c r="B3598" t="s">
        <v>8179</v>
      </c>
      <c r="C3598" t="s">
        <v>8178</v>
      </c>
      <c r="D3598">
        <v>3842</v>
      </c>
    </row>
    <row r="3599" spans="1:4">
      <c r="A3599" t="s">
        <v>8180</v>
      </c>
      <c r="B3599" t="s">
        <v>8181</v>
      </c>
      <c r="C3599" t="s">
        <v>8180</v>
      </c>
      <c r="D3599">
        <v>5065</v>
      </c>
    </row>
    <row r="3600" spans="1:4">
      <c r="A3600" t="s">
        <v>8182</v>
      </c>
      <c r="B3600" t="s">
        <v>8183</v>
      </c>
      <c r="C3600" t="s">
        <v>8182</v>
      </c>
      <c r="D3600">
        <v>8062</v>
      </c>
    </row>
    <row r="3601" spans="1:4">
      <c r="A3601" t="s">
        <v>8184</v>
      </c>
      <c r="B3601" t="s">
        <v>8185</v>
      </c>
      <c r="C3601" t="s">
        <v>8184</v>
      </c>
      <c r="D3601">
        <v>3841</v>
      </c>
    </row>
    <row r="3602" spans="1:4">
      <c r="A3602" t="s">
        <v>8186</v>
      </c>
      <c r="B3602" t="s">
        <v>8187</v>
      </c>
      <c r="C3602" t="s">
        <v>8186</v>
      </c>
      <c r="D3602">
        <v>2836</v>
      </c>
    </row>
    <row r="3603" spans="1:4">
      <c r="A3603" t="s">
        <v>8188</v>
      </c>
      <c r="B3603" t="s">
        <v>8189</v>
      </c>
      <c r="C3603" t="s">
        <v>8188</v>
      </c>
      <c r="D3603">
        <v>6022</v>
      </c>
    </row>
    <row r="3604" spans="1:4">
      <c r="A3604" t="s">
        <v>8190</v>
      </c>
      <c r="B3604" t="s">
        <v>8191</v>
      </c>
      <c r="C3604" t="s">
        <v>8190</v>
      </c>
      <c r="D3604">
        <v>7370</v>
      </c>
    </row>
    <row r="3605" spans="1:4">
      <c r="A3605" t="s">
        <v>8192</v>
      </c>
      <c r="B3605" t="s">
        <v>8193</v>
      </c>
      <c r="C3605" t="s">
        <v>8192</v>
      </c>
      <c r="D3605">
        <v>6159</v>
      </c>
    </row>
    <row r="3606" spans="1:4">
      <c r="A3606" t="s">
        <v>8194</v>
      </c>
      <c r="B3606" t="s">
        <v>8195</v>
      </c>
      <c r="C3606" t="s">
        <v>8194</v>
      </c>
      <c r="D3606">
        <v>2621</v>
      </c>
    </row>
    <row r="3607" spans="1:4">
      <c r="A3607" t="s">
        <v>8196</v>
      </c>
      <c r="B3607" t="s">
        <v>8197</v>
      </c>
      <c r="C3607" t="s">
        <v>8196</v>
      </c>
      <c r="D3607">
        <v>3317</v>
      </c>
    </row>
    <row r="3608" spans="1:4">
      <c r="A3608" t="s">
        <v>8198</v>
      </c>
      <c r="B3608" t="s">
        <v>8199</v>
      </c>
      <c r="C3608" t="s">
        <v>8198</v>
      </c>
      <c r="D3608">
        <v>3674</v>
      </c>
    </row>
    <row r="3609" spans="1:4">
      <c r="A3609" t="s">
        <v>8200</v>
      </c>
      <c r="B3609" t="s">
        <v>8201</v>
      </c>
      <c r="C3609" t="s">
        <v>8200</v>
      </c>
      <c r="D3609">
        <v>7371</v>
      </c>
    </row>
    <row r="3610" spans="1:4">
      <c r="A3610" t="s">
        <v>8202</v>
      </c>
      <c r="B3610" t="s">
        <v>8203</v>
      </c>
      <c r="C3610" t="s">
        <v>8202</v>
      </c>
      <c r="D3610">
        <v>6199</v>
      </c>
    </row>
    <row r="3611" spans="1:4">
      <c r="A3611" t="s">
        <v>8204</v>
      </c>
      <c r="B3611" t="s">
        <v>8205</v>
      </c>
      <c r="C3611" t="s">
        <v>8204</v>
      </c>
      <c r="D3611">
        <v>2834</v>
      </c>
    </row>
    <row r="3612" spans="1:4">
      <c r="A3612" t="s">
        <v>8206</v>
      </c>
      <c r="B3612" t="s">
        <v>8207</v>
      </c>
      <c r="C3612" t="s">
        <v>8206</v>
      </c>
      <c r="D3612">
        <v>8731</v>
      </c>
    </row>
    <row r="3613" spans="1:4">
      <c r="A3613" t="s">
        <v>8208</v>
      </c>
      <c r="B3613" t="s">
        <v>8209</v>
      </c>
      <c r="C3613" t="s">
        <v>8208</v>
      </c>
      <c r="D3613">
        <v>2834</v>
      </c>
    </row>
    <row r="3614" spans="1:4">
      <c r="A3614" t="s">
        <v>8210</v>
      </c>
      <c r="B3614" t="s">
        <v>8211</v>
      </c>
      <c r="C3614" t="s">
        <v>8210</v>
      </c>
      <c r="D3614">
        <v>7372</v>
      </c>
    </row>
    <row r="3615" spans="1:4">
      <c r="A3615" t="s">
        <v>8212</v>
      </c>
      <c r="B3615" t="s">
        <v>8213</v>
      </c>
      <c r="C3615" t="s">
        <v>8212</v>
      </c>
      <c r="D3615">
        <v>6021</v>
      </c>
    </row>
    <row r="3616" spans="1:4">
      <c r="A3616" t="s">
        <v>8214</v>
      </c>
      <c r="B3616" t="s">
        <v>8215</v>
      </c>
      <c r="C3616" t="s">
        <v>8214</v>
      </c>
      <c r="D3616">
        <v>3823</v>
      </c>
    </row>
    <row r="3617" spans="1:4">
      <c r="A3617" t="s">
        <v>8216</v>
      </c>
      <c r="B3617" t="s">
        <v>8217</v>
      </c>
      <c r="C3617" t="s">
        <v>8216</v>
      </c>
      <c r="D3617">
        <v>2834</v>
      </c>
    </row>
    <row r="3618" spans="1:4">
      <c r="A3618" t="s">
        <v>8218</v>
      </c>
      <c r="B3618" t="s">
        <v>8219</v>
      </c>
      <c r="C3618" t="s">
        <v>8218</v>
      </c>
      <c r="D3618">
        <v>5140</v>
      </c>
    </row>
    <row r="3619" spans="1:4">
      <c r="A3619" t="s">
        <v>8220</v>
      </c>
      <c r="B3619" t="s">
        <v>8221</v>
      </c>
      <c r="C3619" t="s">
        <v>8220</v>
      </c>
      <c r="D3619">
        <v>4812</v>
      </c>
    </row>
    <row r="3620" spans="1:4">
      <c r="A3620" t="s">
        <v>8222</v>
      </c>
      <c r="B3620" t="s">
        <v>8223</v>
      </c>
      <c r="C3620" t="s">
        <v>8222</v>
      </c>
      <c r="D3620">
        <v>3841</v>
      </c>
    </row>
    <row r="3621" spans="1:4">
      <c r="A3621" t="s">
        <v>8224</v>
      </c>
      <c r="B3621" t="s">
        <v>8225</v>
      </c>
      <c r="C3621" t="s">
        <v>8224</v>
      </c>
      <c r="D3621">
        <v>7370</v>
      </c>
    </row>
    <row r="3622" spans="1:4">
      <c r="A3622" t="s">
        <v>8226</v>
      </c>
      <c r="B3622" t="s">
        <v>8227</v>
      </c>
      <c r="C3622" t="s">
        <v>8226</v>
      </c>
      <c r="D3622">
        <v>7389</v>
      </c>
    </row>
    <row r="3623" spans="1:4">
      <c r="A3623" t="s">
        <v>8228</v>
      </c>
      <c r="B3623" t="s">
        <v>8229</v>
      </c>
      <c r="C3623" t="s">
        <v>8228</v>
      </c>
      <c r="D3623">
        <v>3841</v>
      </c>
    </row>
    <row r="3624" spans="1:4">
      <c r="A3624" t="s">
        <v>8230</v>
      </c>
      <c r="B3624" t="s">
        <v>8231</v>
      </c>
      <c r="C3624" t="s">
        <v>8230</v>
      </c>
      <c r="D3624">
        <v>5065</v>
      </c>
    </row>
    <row r="3625" spans="1:4">
      <c r="A3625" t="s">
        <v>8232</v>
      </c>
      <c r="B3625" t="s">
        <v>8233</v>
      </c>
      <c r="C3625" t="s">
        <v>8232</v>
      </c>
      <c r="D3625">
        <v>7372</v>
      </c>
    </row>
    <row r="3626" spans="1:4">
      <c r="A3626" t="s">
        <v>8234</v>
      </c>
      <c r="B3626" t="s">
        <v>8235</v>
      </c>
      <c r="C3626" t="s">
        <v>8234</v>
      </c>
      <c r="D3626">
        <v>5990</v>
      </c>
    </row>
    <row r="3627" spans="1:4">
      <c r="A3627" t="s">
        <v>8236</v>
      </c>
      <c r="B3627" t="s">
        <v>8237</v>
      </c>
      <c r="C3627" t="s">
        <v>8236</v>
      </c>
      <c r="D3627">
        <v>8200</v>
      </c>
    </row>
    <row r="3628" spans="1:4">
      <c r="A3628" t="s">
        <v>8238</v>
      </c>
      <c r="B3628" t="s">
        <v>8239</v>
      </c>
      <c r="C3628" t="s">
        <v>8238</v>
      </c>
      <c r="D3628">
        <v>8000</v>
      </c>
    </row>
    <row r="3629" spans="1:4">
      <c r="A3629" t="s">
        <v>8240</v>
      </c>
      <c r="B3629" t="s">
        <v>8241</v>
      </c>
      <c r="C3629" t="s">
        <v>8240</v>
      </c>
      <c r="D3629">
        <v>1311</v>
      </c>
    </row>
    <row r="3630" spans="1:4">
      <c r="A3630" t="s">
        <v>8242</v>
      </c>
      <c r="B3630" t="s">
        <v>8243</v>
      </c>
      <c r="C3630" t="s">
        <v>8242</v>
      </c>
      <c r="D3630">
        <v>3841</v>
      </c>
    </row>
    <row r="3631" spans="1:4">
      <c r="A3631" t="s">
        <v>8244</v>
      </c>
      <c r="B3631" t="s">
        <v>8245</v>
      </c>
      <c r="C3631" t="s">
        <v>8244</v>
      </c>
      <c r="D3631">
        <v>3100</v>
      </c>
    </row>
    <row r="3632" spans="1:4">
      <c r="A3632" t="s">
        <v>8246</v>
      </c>
      <c r="B3632" t="s">
        <v>8247</v>
      </c>
      <c r="C3632" t="s">
        <v>8246</v>
      </c>
      <c r="D3632">
        <v>2834</v>
      </c>
    </row>
    <row r="3633" spans="1:4">
      <c r="A3633" t="s">
        <v>8248</v>
      </c>
      <c r="B3633" t="s">
        <v>8249</v>
      </c>
      <c r="C3633" t="s">
        <v>8248</v>
      </c>
      <c r="D3633">
        <v>2860</v>
      </c>
    </row>
    <row r="3634" spans="1:4">
      <c r="A3634" t="s">
        <v>8250</v>
      </c>
      <c r="B3634" t="s">
        <v>8251</v>
      </c>
      <c r="C3634" t="s">
        <v>8250</v>
      </c>
      <c r="D3634">
        <v>7372</v>
      </c>
    </row>
    <row r="3635" spans="1:4">
      <c r="A3635" t="s">
        <v>8252</v>
      </c>
      <c r="B3635" t="s">
        <v>8253</v>
      </c>
      <c r="C3635" t="s">
        <v>8252</v>
      </c>
      <c r="D3635">
        <v>3100</v>
      </c>
    </row>
    <row r="3636" spans="1:4">
      <c r="A3636" t="s">
        <v>8254</v>
      </c>
      <c r="B3636" t="s">
        <v>8255</v>
      </c>
      <c r="C3636" t="s">
        <v>8254</v>
      </c>
      <c r="D3636">
        <v>8200</v>
      </c>
    </row>
    <row r="3637" spans="1:4">
      <c r="A3637" t="s">
        <v>8256</v>
      </c>
      <c r="B3637" t="s">
        <v>8257</v>
      </c>
      <c r="C3637" t="s">
        <v>8256</v>
      </c>
      <c r="D3637">
        <v>4922</v>
      </c>
    </row>
    <row r="3638" spans="1:4">
      <c r="A3638" t="s">
        <v>8258</v>
      </c>
      <c r="B3638" t="s">
        <v>495</v>
      </c>
      <c r="C3638" t="s">
        <v>8258</v>
      </c>
      <c r="D3638">
        <v>5331</v>
      </c>
    </row>
    <row r="3639" spans="1:4">
      <c r="A3639" t="s">
        <v>8259</v>
      </c>
      <c r="B3639" t="s">
        <v>8260</v>
      </c>
      <c r="C3639" t="s">
        <v>8259</v>
      </c>
      <c r="D3639">
        <v>7000</v>
      </c>
    </row>
    <row r="3640" spans="1:4">
      <c r="A3640" t="s">
        <v>8261</v>
      </c>
      <c r="B3640" t="s">
        <v>8262</v>
      </c>
      <c r="C3640" t="s">
        <v>8261</v>
      </c>
      <c r="D3640">
        <v>2834</v>
      </c>
    </row>
    <row r="3641" spans="1:4">
      <c r="A3641" t="s">
        <v>8263</v>
      </c>
      <c r="B3641" t="s">
        <v>8264</v>
      </c>
      <c r="C3641" t="s">
        <v>8263</v>
      </c>
      <c r="D3641">
        <v>7374</v>
      </c>
    </row>
    <row r="3642" spans="1:4">
      <c r="A3642" t="s">
        <v>8265</v>
      </c>
      <c r="B3642" t="s">
        <v>8266</v>
      </c>
      <c r="C3642" t="s">
        <v>8265</v>
      </c>
      <c r="D3642">
        <v>3724</v>
      </c>
    </row>
    <row r="3643" spans="1:4">
      <c r="A3643" t="s">
        <v>8267</v>
      </c>
      <c r="B3643" t="s">
        <v>8268</v>
      </c>
      <c r="C3643" t="s">
        <v>8267</v>
      </c>
      <c r="D3643">
        <v>2090</v>
      </c>
    </row>
    <row r="3644" spans="1:4">
      <c r="A3644" t="s">
        <v>8269</v>
      </c>
      <c r="B3644" t="s">
        <v>8270</v>
      </c>
      <c r="C3644" t="s">
        <v>8269</v>
      </c>
      <c r="D3644">
        <v>3569</v>
      </c>
    </row>
    <row r="3645" spans="1:4">
      <c r="A3645" t="s">
        <v>8271</v>
      </c>
      <c r="B3645" t="s">
        <v>8272</v>
      </c>
      <c r="C3645" t="s">
        <v>8271</v>
      </c>
      <c r="D3645">
        <v>1531</v>
      </c>
    </row>
    <row r="3646" spans="1:4">
      <c r="A3646" t="s">
        <v>8273</v>
      </c>
      <c r="B3646" t="s">
        <v>8274</v>
      </c>
      <c r="C3646" t="s">
        <v>8273</v>
      </c>
      <c r="D3646">
        <v>6035</v>
      </c>
    </row>
    <row r="3647" spans="1:4">
      <c r="A3647" t="s">
        <v>8275</v>
      </c>
      <c r="B3647" t="s">
        <v>8276</v>
      </c>
      <c r="C3647" t="s">
        <v>8275</v>
      </c>
      <c r="D3647">
        <v>6021</v>
      </c>
    </row>
    <row r="3648" spans="1:4">
      <c r="A3648" t="s">
        <v>8277</v>
      </c>
      <c r="B3648" t="s">
        <v>8278</v>
      </c>
      <c r="C3648" t="s">
        <v>8277</v>
      </c>
      <c r="D3648">
        <v>5045</v>
      </c>
    </row>
    <row r="3649" spans="1:4">
      <c r="A3649" t="s">
        <v>8279</v>
      </c>
      <c r="B3649" t="s">
        <v>8280</v>
      </c>
      <c r="C3649" t="s">
        <v>8279</v>
      </c>
      <c r="D3649">
        <v>2000</v>
      </c>
    </row>
    <row r="3650" spans="1:4">
      <c r="A3650" t="s">
        <v>8281</v>
      </c>
      <c r="B3650" t="s">
        <v>8282</v>
      </c>
      <c r="C3650" t="s">
        <v>8281</v>
      </c>
      <c r="D3650">
        <v>5065</v>
      </c>
    </row>
    <row r="3651" spans="1:4">
      <c r="A3651" t="s">
        <v>8283</v>
      </c>
      <c r="B3651" t="s">
        <v>8284</v>
      </c>
      <c r="C3651" t="s">
        <v>8283</v>
      </c>
      <c r="D3651">
        <v>7600</v>
      </c>
    </row>
    <row r="3652" spans="1:4">
      <c r="A3652" t="s">
        <v>8285</v>
      </c>
      <c r="B3652" t="s">
        <v>8286</v>
      </c>
      <c r="C3652" t="s">
        <v>8285</v>
      </c>
      <c r="D3652">
        <v>6770</v>
      </c>
    </row>
    <row r="3653" spans="1:4">
      <c r="A3653" t="s">
        <v>8287</v>
      </c>
      <c r="B3653" t="s">
        <v>8288</v>
      </c>
      <c r="C3653" t="s">
        <v>8287</v>
      </c>
      <c r="D3653">
        <v>3533</v>
      </c>
    </row>
    <row r="3654" spans="1:4">
      <c r="A3654" t="s">
        <v>8289</v>
      </c>
      <c r="B3654" t="s">
        <v>8290</v>
      </c>
      <c r="C3654" t="s">
        <v>8289</v>
      </c>
      <c r="D3654">
        <v>3440</v>
      </c>
    </row>
    <row r="3655" spans="1:4">
      <c r="A3655" t="s">
        <v>8291</v>
      </c>
      <c r="B3655" t="s">
        <v>8292</v>
      </c>
      <c r="C3655" t="s">
        <v>8291</v>
      </c>
      <c r="D3655">
        <v>7389</v>
      </c>
    </row>
    <row r="3656" spans="1:4">
      <c r="A3656" t="s">
        <v>8293</v>
      </c>
      <c r="B3656" t="s">
        <v>8294</v>
      </c>
      <c r="C3656" t="s">
        <v>8293</v>
      </c>
      <c r="D3656">
        <v>3211</v>
      </c>
    </row>
    <row r="3657" spans="1:4">
      <c r="A3657" t="s">
        <v>8295</v>
      </c>
      <c r="B3657" t="s">
        <v>8296</v>
      </c>
      <c r="C3657" t="s">
        <v>8295</v>
      </c>
      <c r="D3657">
        <v>3585</v>
      </c>
    </row>
    <row r="3658" spans="1:4">
      <c r="A3658" t="s">
        <v>8297</v>
      </c>
      <c r="B3658" t="s">
        <v>8298</v>
      </c>
      <c r="C3658" t="s">
        <v>8297</v>
      </c>
      <c r="D3658">
        <v>6022</v>
      </c>
    </row>
    <row r="3659" spans="1:4">
      <c r="A3659" t="s">
        <v>8299</v>
      </c>
      <c r="B3659" t="s">
        <v>8300</v>
      </c>
      <c r="C3659" t="s">
        <v>8299</v>
      </c>
      <c r="D3659">
        <v>4412</v>
      </c>
    </row>
    <row r="3660" spans="1:4">
      <c r="A3660" t="s">
        <v>8301</v>
      </c>
      <c r="B3660" t="s">
        <v>8302</v>
      </c>
      <c r="C3660" t="s">
        <v>8301</v>
      </c>
      <c r="D3660">
        <v>4400</v>
      </c>
    </row>
    <row r="3661" spans="1:4">
      <c r="A3661" t="s">
        <v>8303</v>
      </c>
      <c r="B3661" t="s">
        <v>8304</v>
      </c>
      <c r="C3661" t="s">
        <v>8303</v>
      </c>
      <c r="D3661">
        <v>4833</v>
      </c>
    </row>
    <row r="3662" spans="1:4">
      <c r="A3662" t="s">
        <v>8305</v>
      </c>
      <c r="B3662" t="s">
        <v>8306</v>
      </c>
      <c r="C3662" t="s">
        <v>8305</v>
      </c>
      <c r="D3662">
        <v>6500</v>
      </c>
    </row>
    <row r="3663" spans="1:4">
      <c r="A3663" t="s">
        <v>8307</v>
      </c>
      <c r="B3663" t="s">
        <v>8308</v>
      </c>
      <c r="C3663" t="s">
        <v>8307</v>
      </c>
      <c r="D3663">
        <v>3841</v>
      </c>
    </row>
    <row r="3664" spans="1:4">
      <c r="A3664" t="s">
        <v>8309</v>
      </c>
      <c r="B3664" t="s">
        <v>8310</v>
      </c>
      <c r="C3664" t="s">
        <v>8309</v>
      </c>
      <c r="D3664">
        <v>8011</v>
      </c>
    </row>
    <row r="3665" spans="1:4">
      <c r="A3665" t="s">
        <v>8311</v>
      </c>
      <c r="B3665" t="s">
        <v>8312</v>
      </c>
      <c r="C3665" t="s">
        <v>8311</v>
      </c>
      <c r="D3665">
        <v>3812</v>
      </c>
    </row>
    <row r="3666" spans="1:4">
      <c r="A3666" t="s">
        <v>8313</v>
      </c>
      <c r="B3666" t="s">
        <v>8314</v>
      </c>
      <c r="C3666" t="s">
        <v>8313</v>
      </c>
      <c r="D3666">
        <v>3841</v>
      </c>
    </row>
    <row r="3667" spans="1:4">
      <c r="A3667" t="s">
        <v>8315</v>
      </c>
      <c r="B3667" t="s">
        <v>8316</v>
      </c>
      <c r="C3667" t="s">
        <v>8315</v>
      </c>
      <c r="D3667">
        <v>4813</v>
      </c>
    </row>
    <row r="3668" spans="1:4">
      <c r="A3668" t="s">
        <v>8317</v>
      </c>
      <c r="B3668" t="s">
        <v>8318</v>
      </c>
      <c r="C3668" t="s">
        <v>8317</v>
      </c>
      <c r="D3668">
        <v>1311</v>
      </c>
    </row>
    <row r="3669" spans="1:4">
      <c r="A3669" t="s">
        <v>8319</v>
      </c>
      <c r="B3669" t="s">
        <v>8320</v>
      </c>
      <c r="C3669" t="s">
        <v>8319</v>
      </c>
      <c r="D3669">
        <v>7373</v>
      </c>
    </row>
    <row r="3670" spans="1:4">
      <c r="A3670" t="s">
        <v>8321</v>
      </c>
      <c r="B3670" t="s">
        <v>8322</v>
      </c>
      <c r="C3670" t="s">
        <v>8321</v>
      </c>
      <c r="D3670">
        <v>2510</v>
      </c>
    </row>
    <row r="3671" spans="1:4">
      <c r="A3671" t="s">
        <v>8323</v>
      </c>
      <c r="B3671" t="s">
        <v>8324</v>
      </c>
      <c r="C3671" t="s">
        <v>8323</v>
      </c>
      <c r="D3671">
        <v>7372</v>
      </c>
    </row>
    <row r="3672" spans="1:4">
      <c r="A3672" t="s">
        <v>8325</v>
      </c>
      <c r="B3672" t="s">
        <v>8326</v>
      </c>
      <c r="C3672" t="s">
        <v>8325</v>
      </c>
      <c r="D3672">
        <v>8062</v>
      </c>
    </row>
    <row r="3673" spans="1:4">
      <c r="A3673" t="s">
        <v>8327</v>
      </c>
      <c r="B3673" t="s">
        <v>8328</v>
      </c>
      <c r="C3673" t="s">
        <v>8327</v>
      </c>
      <c r="D3673">
        <v>3580</v>
      </c>
    </row>
    <row r="3674" spans="1:4">
      <c r="A3674" t="s">
        <v>8329</v>
      </c>
      <c r="B3674" t="s">
        <v>8330</v>
      </c>
      <c r="C3674" t="s">
        <v>8329</v>
      </c>
      <c r="D3674">
        <v>3714</v>
      </c>
    </row>
    <row r="3675" spans="1:4">
      <c r="A3675" t="s">
        <v>8331</v>
      </c>
      <c r="B3675" t="s">
        <v>8332</v>
      </c>
      <c r="C3675" t="s">
        <v>8331</v>
      </c>
      <c r="D3675">
        <v>6770</v>
      </c>
    </row>
    <row r="3676" spans="1:4">
      <c r="A3676" t="s">
        <v>8333</v>
      </c>
      <c r="B3676" t="s">
        <v>8334</v>
      </c>
      <c r="C3676" t="s">
        <v>8333</v>
      </c>
      <c r="D3676">
        <v>7372</v>
      </c>
    </row>
    <row r="3677" spans="1:4">
      <c r="A3677" t="s">
        <v>8335</v>
      </c>
      <c r="B3677" t="s">
        <v>8336</v>
      </c>
      <c r="C3677" t="s">
        <v>8335</v>
      </c>
      <c r="D3677">
        <v>3825</v>
      </c>
    </row>
    <row r="3678" spans="1:4">
      <c r="A3678" t="s">
        <v>8337</v>
      </c>
      <c r="B3678" t="s">
        <v>8338</v>
      </c>
      <c r="C3678" t="s">
        <v>8337</v>
      </c>
      <c r="D3678">
        <v>3537</v>
      </c>
    </row>
    <row r="3679" spans="1:4">
      <c r="A3679" t="s">
        <v>8339</v>
      </c>
      <c r="B3679" t="s">
        <v>8340</v>
      </c>
      <c r="C3679" t="s">
        <v>8339</v>
      </c>
      <c r="D3679">
        <v>8741</v>
      </c>
    </row>
    <row r="3680" spans="1:4">
      <c r="A3680" t="s">
        <v>8341</v>
      </c>
      <c r="B3680" t="s">
        <v>8342</v>
      </c>
      <c r="C3680" t="s">
        <v>8341</v>
      </c>
      <c r="D3680">
        <v>6500</v>
      </c>
    </row>
    <row r="3681" spans="1:4">
      <c r="A3681" t="s">
        <v>8343</v>
      </c>
      <c r="B3681" t="s">
        <v>8344</v>
      </c>
      <c r="C3681" t="s">
        <v>8343</v>
      </c>
      <c r="D3681">
        <v>6035</v>
      </c>
    </row>
    <row r="3682" spans="1:4">
      <c r="A3682" t="s">
        <v>8345</v>
      </c>
      <c r="B3682" t="s">
        <v>492</v>
      </c>
      <c r="C3682" t="s">
        <v>8345</v>
      </c>
      <c r="D3682">
        <v>3711</v>
      </c>
    </row>
    <row r="3683" spans="1:4">
      <c r="A3683" t="s">
        <v>8346</v>
      </c>
      <c r="B3683" t="s">
        <v>8347</v>
      </c>
      <c r="C3683" t="s">
        <v>8346</v>
      </c>
      <c r="D3683">
        <v>5065</v>
      </c>
    </row>
    <row r="3684" spans="1:4">
      <c r="A3684" t="s">
        <v>8348</v>
      </c>
      <c r="B3684" t="s">
        <v>8349</v>
      </c>
      <c r="C3684" t="s">
        <v>8348</v>
      </c>
      <c r="D3684">
        <v>8711</v>
      </c>
    </row>
    <row r="3685" spans="1:4">
      <c r="A3685" t="s">
        <v>8350</v>
      </c>
      <c r="B3685" t="s">
        <v>8351</v>
      </c>
      <c r="C3685" t="s">
        <v>8350</v>
      </c>
      <c r="D3685">
        <v>1311</v>
      </c>
    </row>
    <row r="3686" spans="1:4">
      <c r="A3686" t="s">
        <v>8352</v>
      </c>
      <c r="B3686" t="s">
        <v>8353</v>
      </c>
      <c r="C3686" t="s">
        <v>8352</v>
      </c>
      <c r="D3686">
        <v>2834</v>
      </c>
    </row>
    <row r="3687" spans="1:4">
      <c r="A3687" t="s">
        <v>8354</v>
      </c>
      <c r="B3687" t="s">
        <v>8355</v>
      </c>
      <c r="C3687" t="s">
        <v>8354</v>
      </c>
      <c r="D3687">
        <v>6022</v>
      </c>
    </row>
    <row r="3688" spans="1:4">
      <c r="A3688" t="s">
        <v>8356</v>
      </c>
      <c r="B3688" t="s">
        <v>8357</v>
      </c>
      <c r="C3688" t="s">
        <v>8356</v>
      </c>
      <c r="D3688">
        <v>6036</v>
      </c>
    </row>
    <row r="3689" spans="1:4">
      <c r="A3689" t="s">
        <v>8358</v>
      </c>
      <c r="B3689" t="s">
        <v>8359</v>
      </c>
      <c r="C3689" t="s">
        <v>8358</v>
      </c>
      <c r="D3689">
        <v>3674</v>
      </c>
    </row>
    <row r="3690" spans="1:4">
      <c r="A3690" t="s">
        <v>8360</v>
      </c>
      <c r="B3690" t="s">
        <v>8361</v>
      </c>
      <c r="C3690" t="s">
        <v>8360</v>
      </c>
      <c r="D3690">
        <v>6792</v>
      </c>
    </row>
    <row r="3691" spans="1:4">
      <c r="A3691" t="s">
        <v>8362</v>
      </c>
      <c r="B3691" t="s">
        <v>8363</v>
      </c>
      <c r="C3691" t="s">
        <v>8362</v>
      </c>
      <c r="D3691">
        <v>5812</v>
      </c>
    </row>
    <row r="3692" spans="1:4">
      <c r="A3692" t="s">
        <v>8364</v>
      </c>
      <c r="B3692" t="s">
        <v>8365</v>
      </c>
      <c r="C3692" t="s">
        <v>8364</v>
      </c>
      <c r="D3692">
        <v>3720</v>
      </c>
    </row>
    <row r="3693" spans="1:4">
      <c r="A3693" t="s">
        <v>8366</v>
      </c>
      <c r="B3693" t="s">
        <v>8367</v>
      </c>
      <c r="C3693" t="s">
        <v>8366</v>
      </c>
      <c r="D3693">
        <v>2834</v>
      </c>
    </row>
    <row r="3694" spans="1:4">
      <c r="A3694" t="s">
        <v>8368</v>
      </c>
      <c r="B3694" t="s">
        <v>8369</v>
      </c>
      <c r="C3694" t="s">
        <v>8368</v>
      </c>
      <c r="D3694">
        <v>6035</v>
      </c>
    </row>
    <row r="3695" spans="1:4">
      <c r="A3695" t="s">
        <v>8370</v>
      </c>
      <c r="B3695" t="s">
        <v>8371</v>
      </c>
      <c r="C3695" t="s">
        <v>8370</v>
      </c>
      <c r="D3695">
        <v>2834</v>
      </c>
    </row>
    <row r="3696" spans="1:4">
      <c r="A3696" t="s">
        <v>8372</v>
      </c>
      <c r="B3696" t="s">
        <v>8373</v>
      </c>
      <c r="C3696" t="s">
        <v>8372</v>
      </c>
      <c r="D3696">
        <v>2834</v>
      </c>
    </row>
    <row r="3697" spans="1:4">
      <c r="A3697" t="s">
        <v>8374</v>
      </c>
      <c r="B3697" t="s">
        <v>8375</v>
      </c>
      <c r="C3697" t="s">
        <v>8374</v>
      </c>
      <c r="D3697">
        <v>2834</v>
      </c>
    </row>
    <row r="3698" spans="1:4">
      <c r="A3698" t="s">
        <v>8376</v>
      </c>
      <c r="B3698" t="s">
        <v>8377</v>
      </c>
      <c r="C3698" t="s">
        <v>8376</v>
      </c>
      <c r="D3698">
        <v>5900</v>
      </c>
    </row>
    <row r="3699" spans="1:4">
      <c r="A3699" t="s">
        <v>8378</v>
      </c>
      <c r="B3699" t="s">
        <v>8379</v>
      </c>
      <c r="C3699" t="s">
        <v>8378</v>
      </c>
      <c r="D3699">
        <v>3829</v>
      </c>
    </row>
    <row r="3700" spans="1:4">
      <c r="A3700" t="s">
        <v>8380</v>
      </c>
      <c r="B3700" t="s">
        <v>8381</v>
      </c>
      <c r="C3700" t="s">
        <v>8380</v>
      </c>
      <c r="D3700">
        <v>3620</v>
      </c>
    </row>
    <row r="3701" spans="1:4">
      <c r="A3701" t="s">
        <v>8382</v>
      </c>
      <c r="B3701" t="s">
        <v>8383</v>
      </c>
      <c r="C3701" t="s">
        <v>8382</v>
      </c>
      <c r="D3701">
        <v>6036</v>
      </c>
    </row>
    <row r="3702" spans="1:4">
      <c r="A3702" t="s">
        <v>8384</v>
      </c>
      <c r="B3702" t="s">
        <v>8385</v>
      </c>
      <c r="C3702" t="s">
        <v>8384</v>
      </c>
      <c r="D3702">
        <v>3716</v>
      </c>
    </row>
    <row r="3703" spans="1:4">
      <c r="A3703" t="s">
        <v>8386</v>
      </c>
      <c r="B3703" t="s">
        <v>8387</v>
      </c>
      <c r="C3703" t="s">
        <v>8386</v>
      </c>
      <c r="D3703">
        <v>2834</v>
      </c>
    </row>
    <row r="3704" spans="1:4">
      <c r="A3704" t="s">
        <v>8388</v>
      </c>
      <c r="B3704" t="s">
        <v>8389</v>
      </c>
      <c r="C3704" t="s">
        <v>8388</v>
      </c>
      <c r="D3704">
        <v>7371</v>
      </c>
    </row>
    <row r="3705" spans="1:4">
      <c r="A3705" t="s">
        <v>8390</v>
      </c>
      <c r="B3705" t="s">
        <v>8391</v>
      </c>
      <c r="C3705" t="s">
        <v>8390</v>
      </c>
      <c r="D3705">
        <v>5961</v>
      </c>
    </row>
    <row r="3706" spans="1:4">
      <c r="A3706" t="s">
        <v>8392</v>
      </c>
      <c r="B3706" t="s">
        <v>8393</v>
      </c>
      <c r="C3706" t="s">
        <v>8392</v>
      </c>
      <c r="D3706">
        <v>7310</v>
      </c>
    </row>
    <row r="3707" spans="1:4">
      <c r="A3707" t="s">
        <v>8394</v>
      </c>
      <c r="B3707" t="s">
        <v>8395</v>
      </c>
      <c r="C3707" t="s">
        <v>8394</v>
      </c>
      <c r="D3707">
        <v>4400</v>
      </c>
    </row>
    <row r="3708" spans="1:4">
      <c r="A3708" t="s">
        <v>8396</v>
      </c>
      <c r="B3708" t="s">
        <v>8397</v>
      </c>
      <c r="C3708" t="s">
        <v>8396</v>
      </c>
      <c r="D3708">
        <v>5700</v>
      </c>
    </row>
    <row r="3709" spans="1:4">
      <c r="A3709" t="s">
        <v>8398</v>
      </c>
      <c r="B3709" t="s">
        <v>8399</v>
      </c>
      <c r="C3709" t="s">
        <v>8398</v>
      </c>
      <c r="D3709">
        <v>5600</v>
      </c>
    </row>
    <row r="3710" spans="1:4">
      <c r="A3710" t="s">
        <v>8400</v>
      </c>
      <c r="B3710" t="s">
        <v>8401</v>
      </c>
      <c r="C3710" t="s">
        <v>8400</v>
      </c>
      <c r="D3710">
        <v>2833</v>
      </c>
    </row>
    <row r="3711" spans="1:4">
      <c r="A3711" t="s">
        <v>8402</v>
      </c>
      <c r="B3711" t="s">
        <v>8403</v>
      </c>
      <c r="C3711" t="s">
        <v>8402</v>
      </c>
      <c r="D3711">
        <v>2834</v>
      </c>
    </row>
    <row r="3712" spans="1:4">
      <c r="A3712" t="s">
        <v>8404</v>
      </c>
      <c r="B3712" t="s">
        <v>8405</v>
      </c>
      <c r="C3712" t="s">
        <v>8404</v>
      </c>
      <c r="D3712">
        <v>6036</v>
      </c>
    </row>
    <row r="3713" spans="1:4">
      <c r="A3713" t="s">
        <v>8406</v>
      </c>
      <c r="B3713" t="s">
        <v>8407</v>
      </c>
      <c r="C3713" t="s">
        <v>8406</v>
      </c>
      <c r="D3713">
        <v>3562</v>
      </c>
    </row>
    <row r="3714" spans="1:4">
      <c r="A3714" t="s">
        <v>8408</v>
      </c>
      <c r="B3714" t="s">
        <v>8409</v>
      </c>
      <c r="C3714" t="s">
        <v>8408</v>
      </c>
      <c r="D3714">
        <v>3312</v>
      </c>
    </row>
    <row r="3715" spans="1:4">
      <c r="A3715" t="s">
        <v>8410</v>
      </c>
      <c r="B3715" t="s">
        <v>8411</v>
      </c>
      <c r="C3715" t="s">
        <v>8410</v>
      </c>
      <c r="D3715">
        <v>6331</v>
      </c>
    </row>
    <row r="3716" spans="1:4">
      <c r="A3716" t="s">
        <v>8412</v>
      </c>
      <c r="B3716" t="s">
        <v>8413</v>
      </c>
      <c r="C3716" t="s">
        <v>8412</v>
      </c>
      <c r="D3716">
        <v>3312</v>
      </c>
    </row>
    <row r="3717" spans="1:4">
      <c r="A3717" t="s">
        <v>8414</v>
      </c>
      <c r="B3717" t="s">
        <v>8415</v>
      </c>
      <c r="C3717" t="s">
        <v>8414</v>
      </c>
      <c r="D3717">
        <v>5990</v>
      </c>
    </row>
    <row r="3718" spans="1:4">
      <c r="A3718" t="s">
        <v>8416</v>
      </c>
      <c r="B3718" t="s">
        <v>8417</v>
      </c>
      <c r="C3718" t="s">
        <v>8416</v>
      </c>
      <c r="D3718">
        <v>5651</v>
      </c>
    </row>
    <row r="3719" spans="1:4">
      <c r="A3719" t="s">
        <v>8418</v>
      </c>
      <c r="B3719" t="s">
        <v>8419</v>
      </c>
      <c r="C3719" t="s">
        <v>8418</v>
      </c>
      <c r="D3719">
        <v>7374</v>
      </c>
    </row>
    <row r="3720" spans="1:4">
      <c r="A3720" t="s">
        <v>8420</v>
      </c>
      <c r="B3720" t="s">
        <v>8421</v>
      </c>
      <c r="C3720" t="s">
        <v>8420</v>
      </c>
      <c r="D3720">
        <v>1531</v>
      </c>
    </row>
    <row r="3721" spans="1:4">
      <c r="A3721" t="s">
        <v>8422</v>
      </c>
      <c r="B3721" t="s">
        <v>8423</v>
      </c>
      <c r="C3721" t="s">
        <v>8422</v>
      </c>
      <c r="D3721">
        <v>2860</v>
      </c>
    </row>
    <row r="3722" spans="1:4">
      <c r="A3722" t="s">
        <v>8424</v>
      </c>
      <c r="B3722" t="s">
        <v>8425</v>
      </c>
      <c r="C3722" t="s">
        <v>8424</v>
      </c>
      <c r="D3722">
        <v>6022</v>
      </c>
    </row>
    <row r="3723" spans="1:4">
      <c r="A3723" t="s">
        <v>8426</v>
      </c>
      <c r="B3723" t="s">
        <v>8427</v>
      </c>
      <c r="C3723" t="s">
        <v>8426</v>
      </c>
      <c r="D3723">
        <v>2060</v>
      </c>
    </row>
    <row r="3724" spans="1:4">
      <c r="A3724" t="s">
        <v>8428</v>
      </c>
      <c r="B3724" t="s">
        <v>8429</v>
      </c>
      <c r="C3724" t="s">
        <v>8428</v>
      </c>
      <c r="D3724">
        <v>4412</v>
      </c>
    </row>
    <row r="3725" spans="1:4">
      <c r="A3725" t="s">
        <v>8430</v>
      </c>
      <c r="B3725" t="s">
        <v>8431</v>
      </c>
      <c r="C3725" t="s">
        <v>8430</v>
      </c>
      <c r="D3725">
        <v>1700</v>
      </c>
    </row>
    <row r="3726" spans="1:4">
      <c r="A3726" t="s">
        <v>8432</v>
      </c>
      <c r="B3726" t="s">
        <v>8433</v>
      </c>
      <c r="C3726" t="s">
        <v>8432</v>
      </c>
      <c r="D3726">
        <v>3524</v>
      </c>
    </row>
    <row r="3727" spans="1:4">
      <c r="A3727" t="s">
        <v>8434</v>
      </c>
      <c r="B3727" t="s">
        <v>8435</v>
      </c>
      <c r="C3727" t="s">
        <v>8434</v>
      </c>
      <c r="D3727">
        <v>5600</v>
      </c>
    </row>
    <row r="3728" spans="1:4">
      <c r="A3728" t="s">
        <v>8436</v>
      </c>
      <c r="B3728" t="s">
        <v>8437</v>
      </c>
      <c r="C3728" t="s">
        <v>8436</v>
      </c>
      <c r="D3728">
        <v>3420</v>
      </c>
    </row>
    <row r="3729" spans="1:4">
      <c r="A3729" t="s">
        <v>8438</v>
      </c>
      <c r="B3729" t="s">
        <v>8439</v>
      </c>
      <c r="C3729" t="s">
        <v>8438</v>
      </c>
      <c r="D3729">
        <v>3674</v>
      </c>
    </row>
    <row r="3730" spans="1:4">
      <c r="A3730" t="s">
        <v>8440</v>
      </c>
      <c r="B3730" t="s">
        <v>8441</v>
      </c>
      <c r="C3730" t="s">
        <v>8440</v>
      </c>
      <c r="D3730">
        <v>4832</v>
      </c>
    </row>
    <row r="3731" spans="1:4">
      <c r="A3731" t="s">
        <v>8442</v>
      </c>
      <c r="B3731" t="s">
        <v>8443</v>
      </c>
      <c r="C3731" t="s">
        <v>8442</v>
      </c>
      <c r="D3731">
        <v>6798</v>
      </c>
    </row>
    <row r="3732" spans="1:4">
      <c r="A3732" t="s">
        <v>8444</v>
      </c>
      <c r="B3732" t="s">
        <v>8445</v>
      </c>
      <c r="C3732" t="s">
        <v>8444</v>
      </c>
      <c r="D3732">
        <v>3510</v>
      </c>
    </row>
    <row r="3733" spans="1:4">
      <c r="A3733" t="s">
        <v>8446</v>
      </c>
      <c r="B3733" t="s">
        <v>8447</v>
      </c>
      <c r="C3733" t="s">
        <v>8446</v>
      </c>
      <c r="D3733">
        <v>5200</v>
      </c>
    </row>
    <row r="3734" spans="1:4">
      <c r="A3734" t="s">
        <v>8448</v>
      </c>
      <c r="B3734" t="s">
        <v>8449</v>
      </c>
      <c r="C3734" t="s">
        <v>8448</v>
      </c>
      <c r="D3734">
        <v>7370</v>
      </c>
    </row>
    <row r="3735" spans="1:4">
      <c r="A3735" t="s">
        <v>8450</v>
      </c>
      <c r="B3735" t="s">
        <v>8451</v>
      </c>
      <c r="C3735" t="s">
        <v>8450</v>
      </c>
      <c r="D3735">
        <v>6200</v>
      </c>
    </row>
    <row r="3736" spans="1:4">
      <c r="A3736" t="s">
        <v>8452</v>
      </c>
      <c r="B3736" t="s">
        <v>8453</v>
      </c>
      <c r="C3736" t="s">
        <v>8452</v>
      </c>
      <c r="D3736">
        <v>3630</v>
      </c>
    </row>
    <row r="3737" spans="1:4">
      <c r="A3737" t="s">
        <v>8454</v>
      </c>
      <c r="B3737" t="s">
        <v>8455</v>
      </c>
      <c r="C3737" t="s">
        <v>8454</v>
      </c>
      <c r="D3737">
        <v>3822</v>
      </c>
    </row>
    <row r="3738" spans="1:4">
      <c r="A3738" t="s">
        <v>8456</v>
      </c>
      <c r="B3738" t="s">
        <v>8457</v>
      </c>
      <c r="C3738" t="s">
        <v>8456</v>
      </c>
      <c r="D3738">
        <v>3577</v>
      </c>
    </row>
    <row r="3739" spans="1:4">
      <c r="A3739" t="s">
        <v>8458</v>
      </c>
      <c r="B3739" t="s">
        <v>8459</v>
      </c>
      <c r="C3739" t="s">
        <v>8458</v>
      </c>
      <c r="D3739">
        <v>3825</v>
      </c>
    </row>
    <row r="3740" spans="1:4">
      <c r="A3740" t="s">
        <v>8460</v>
      </c>
      <c r="B3740" t="s">
        <v>8461</v>
      </c>
      <c r="C3740" t="s">
        <v>8460</v>
      </c>
      <c r="D3740">
        <v>6798</v>
      </c>
    </row>
    <row r="3741" spans="1:4">
      <c r="A3741" t="s">
        <v>8462</v>
      </c>
      <c r="B3741" t="s">
        <v>8463</v>
      </c>
      <c r="C3741" t="s">
        <v>8462</v>
      </c>
      <c r="D3741">
        <v>3728</v>
      </c>
    </row>
    <row r="3742" spans="1:4">
      <c r="A3742" t="s">
        <v>8464</v>
      </c>
      <c r="B3742" t="s">
        <v>8465</v>
      </c>
      <c r="C3742" t="s">
        <v>8464</v>
      </c>
      <c r="D3742">
        <v>3845</v>
      </c>
    </row>
    <row r="3743" spans="1:4">
      <c r="A3743" t="s">
        <v>8466</v>
      </c>
      <c r="B3743" t="s">
        <v>8467</v>
      </c>
      <c r="C3743" t="s">
        <v>8466</v>
      </c>
      <c r="D3743">
        <v>1381</v>
      </c>
    </row>
    <row r="3744" spans="1:4">
      <c r="A3744" t="s">
        <v>8468</v>
      </c>
      <c r="B3744" t="s">
        <v>8469</v>
      </c>
      <c r="C3744" t="s">
        <v>8468</v>
      </c>
      <c r="D3744">
        <v>7320</v>
      </c>
    </row>
    <row r="3745" spans="1:4">
      <c r="A3745" t="s">
        <v>8470</v>
      </c>
      <c r="B3745" t="s">
        <v>8471</v>
      </c>
      <c r="C3745" t="s">
        <v>8470</v>
      </c>
      <c r="D3745">
        <v>7011</v>
      </c>
    </row>
    <row r="3746" spans="1:4">
      <c r="A3746" t="s">
        <v>8472</v>
      </c>
      <c r="B3746" t="s">
        <v>8473</v>
      </c>
      <c r="C3746" t="s">
        <v>8472</v>
      </c>
      <c r="D3746">
        <v>5500</v>
      </c>
    </row>
    <row r="3747" spans="1:4">
      <c r="A3747" t="s">
        <v>8474</v>
      </c>
      <c r="B3747" t="s">
        <v>8475</v>
      </c>
      <c r="C3747" t="s">
        <v>8474</v>
      </c>
      <c r="D3747">
        <v>6331</v>
      </c>
    </row>
    <row r="3748" spans="1:4">
      <c r="A3748" t="s">
        <v>8476</v>
      </c>
      <c r="B3748" t="s">
        <v>8477</v>
      </c>
      <c r="C3748" t="s">
        <v>8476</v>
      </c>
      <c r="D3748">
        <v>7310</v>
      </c>
    </row>
    <row r="3749" spans="1:4">
      <c r="A3749" t="s">
        <v>8478</v>
      </c>
      <c r="B3749" t="s">
        <v>8479</v>
      </c>
      <c r="C3749" t="s">
        <v>8478</v>
      </c>
      <c r="D3749">
        <v>2834</v>
      </c>
    </row>
    <row r="3750" spans="1:4">
      <c r="A3750" t="s">
        <v>8480</v>
      </c>
      <c r="B3750" t="s">
        <v>8481</v>
      </c>
      <c r="C3750" t="s">
        <v>8480</v>
      </c>
      <c r="D3750">
        <v>3841</v>
      </c>
    </row>
    <row r="3751" spans="1:4">
      <c r="A3751" t="s">
        <v>8482</v>
      </c>
      <c r="B3751" t="s">
        <v>8483</v>
      </c>
      <c r="C3751" t="s">
        <v>8482</v>
      </c>
      <c r="D3751">
        <v>6331</v>
      </c>
    </row>
    <row r="3752" spans="1:4">
      <c r="A3752" t="s">
        <v>8484</v>
      </c>
      <c r="B3752" t="s">
        <v>8485</v>
      </c>
      <c r="C3752" t="s">
        <v>8484</v>
      </c>
      <c r="D3752">
        <v>2030</v>
      </c>
    </row>
    <row r="3753" spans="1:4">
      <c r="A3753" t="s">
        <v>8486</v>
      </c>
      <c r="B3753" t="s">
        <v>8487</v>
      </c>
      <c r="C3753" t="s">
        <v>8486</v>
      </c>
      <c r="D3753">
        <v>2834</v>
      </c>
    </row>
    <row r="3754" spans="1:4">
      <c r="A3754" t="s">
        <v>8488</v>
      </c>
      <c r="B3754" t="s">
        <v>8489</v>
      </c>
      <c r="C3754" t="s">
        <v>8488</v>
      </c>
      <c r="D3754">
        <v>2400</v>
      </c>
    </row>
    <row r="3755" spans="1:4">
      <c r="A3755" t="s">
        <v>8490</v>
      </c>
      <c r="B3755" t="s">
        <v>8491</v>
      </c>
      <c r="C3755" t="s">
        <v>8490</v>
      </c>
      <c r="D3755">
        <v>1531</v>
      </c>
    </row>
    <row r="3756" spans="1:4">
      <c r="A3756" t="s">
        <v>8492</v>
      </c>
      <c r="B3756" t="s">
        <v>8493</v>
      </c>
      <c r="C3756" t="s">
        <v>8492</v>
      </c>
      <c r="D3756">
        <v>6022</v>
      </c>
    </row>
    <row r="3757" spans="1:4">
      <c r="A3757" t="s">
        <v>8494</v>
      </c>
      <c r="B3757" t="s">
        <v>8495</v>
      </c>
      <c r="C3757" t="s">
        <v>8494</v>
      </c>
      <c r="D3757">
        <v>4812</v>
      </c>
    </row>
    <row r="3758" spans="1:4">
      <c r="A3758" t="s">
        <v>8496</v>
      </c>
      <c r="B3758" t="s">
        <v>8497</v>
      </c>
      <c r="C3758" t="s">
        <v>8496</v>
      </c>
      <c r="D3758">
        <v>3460</v>
      </c>
    </row>
    <row r="3759" spans="1:4">
      <c r="A3759" t="s">
        <v>8498</v>
      </c>
      <c r="B3759" t="s">
        <v>8499</v>
      </c>
      <c r="C3759" t="s">
        <v>8498</v>
      </c>
      <c r="D3759">
        <v>3829</v>
      </c>
    </row>
    <row r="3760" spans="1:4">
      <c r="A3760" t="s">
        <v>8500</v>
      </c>
      <c r="B3760" t="s">
        <v>8501</v>
      </c>
      <c r="C3760" t="s">
        <v>8500</v>
      </c>
      <c r="D3760">
        <v>7389</v>
      </c>
    </row>
    <row r="3761" spans="1:4">
      <c r="A3761" t="s">
        <v>8502</v>
      </c>
      <c r="B3761" t="s">
        <v>8503</v>
      </c>
      <c r="C3761" t="s">
        <v>8502</v>
      </c>
      <c r="D3761">
        <v>3743</v>
      </c>
    </row>
    <row r="3762" spans="1:4">
      <c r="A3762" t="s">
        <v>8504</v>
      </c>
      <c r="B3762" t="s">
        <v>8505</v>
      </c>
      <c r="C3762" t="s">
        <v>8504</v>
      </c>
      <c r="D3762">
        <v>6512</v>
      </c>
    </row>
    <row r="3763" spans="1:4">
      <c r="A3763" t="s">
        <v>8506</v>
      </c>
      <c r="B3763" t="s">
        <v>8507</v>
      </c>
      <c r="C3763" t="s">
        <v>8506</v>
      </c>
      <c r="D3763">
        <v>2821</v>
      </c>
    </row>
    <row r="3764" spans="1:4">
      <c r="A3764" t="s">
        <v>8508</v>
      </c>
      <c r="B3764" t="s">
        <v>8509</v>
      </c>
      <c r="C3764" t="s">
        <v>8508</v>
      </c>
      <c r="D3764">
        <v>3559</v>
      </c>
    </row>
    <row r="3765" spans="1:4">
      <c r="A3765" t="s">
        <v>8510</v>
      </c>
      <c r="B3765" t="s">
        <v>8511</v>
      </c>
      <c r="C3765" t="s">
        <v>8510</v>
      </c>
      <c r="D3765">
        <v>7389</v>
      </c>
    </row>
    <row r="3766" spans="1:4">
      <c r="A3766" t="s">
        <v>8512</v>
      </c>
      <c r="B3766" t="s">
        <v>8513</v>
      </c>
      <c r="C3766" t="s">
        <v>8512</v>
      </c>
      <c r="D3766">
        <v>7370</v>
      </c>
    </row>
    <row r="3767" spans="1:4">
      <c r="A3767" t="s">
        <v>8514</v>
      </c>
      <c r="B3767" t="s">
        <v>8515</v>
      </c>
      <c r="C3767" t="s">
        <v>8514</v>
      </c>
      <c r="D3767">
        <v>7359</v>
      </c>
    </row>
    <row r="3768" spans="1:4">
      <c r="A3768" t="s">
        <v>8516</v>
      </c>
      <c r="B3768" t="s">
        <v>8517</v>
      </c>
      <c r="C3768" t="s">
        <v>8516</v>
      </c>
      <c r="D3768">
        <v>6022</v>
      </c>
    </row>
    <row r="3769" spans="1:4">
      <c r="A3769" t="s">
        <v>8518</v>
      </c>
      <c r="B3769" t="s">
        <v>8519</v>
      </c>
      <c r="C3769" t="s">
        <v>8518</v>
      </c>
      <c r="D3769">
        <v>3720</v>
      </c>
    </row>
    <row r="3770" spans="1:4">
      <c r="A3770" t="s">
        <v>8520</v>
      </c>
      <c r="B3770" t="s">
        <v>8521</v>
      </c>
      <c r="C3770" t="s">
        <v>8520</v>
      </c>
      <c r="D3770">
        <v>4841</v>
      </c>
    </row>
    <row r="3771" spans="1:4">
      <c r="A3771" t="s">
        <v>8522</v>
      </c>
      <c r="B3771" t="s">
        <v>8523</v>
      </c>
      <c r="C3771" t="s">
        <v>8522</v>
      </c>
      <c r="D3771">
        <v>2810</v>
      </c>
    </row>
    <row r="3772" spans="1:4">
      <c r="A3772" t="s">
        <v>8524</v>
      </c>
      <c r="B3772" t="s">
        <v>8525</v>
      </c>
      <c r="C3772" t="s">
        <v>8524</v>
      </c>
      <c r="D3772">
        <v>3663</v>
      </c>
    </row>
    <row r="3773" spans="1:4">
      <c r="A3773" t="s">
        <v>8526</v>
      </c>
      <c r="B3773" t="s">
        <v>8527</v>
      </c>
      <c r="C3773" t="s">
        <v>8526</v>
      </c>
      <c r="D3773">
        <v>7363</v>
      </c>
    </row>
    <row r="3774" spans="1:4">
      <c r="A3774" t="s">
        <v>8528</v>
      </c>
      <c r="B3774" t="s">
        <v>8529</v>
      </c>
      <c r="C3774" t="s">
        <v>8528</v>
      </c>
      <c r="D3774">
        <v>7370</v>
      </c>
    </row>
    <row r="3775" spans="1:4">
      <c r="A3775" t="s">
        <v>8530</v>
      </c>
      <c r="B3775" t="s">
        <v>8531</v>
      </c>
      <c r="C3775" t="s">
        <v>8530</v>
      </c>
      <c r="D3775">
        <v>6021</v>
      </c>
    </row>
    <row r="3776" spans="1:4">
      <c r="A3776" t="s">
        <v>8532</v>
      </c>
      <c r="B3776" t="s">
        <v>8533</v>
      </c>
      <c r="C3776" t="s">
        <v>8532</v>
      </c>
      <c r="D3776">
        <v>2833</v>
      </c>
    </row>
    <row r="3777" spans="1:4">
      <c r="A3777" t="s">
        <v>8534</v>
      </c>
      <c r="B3777" t="s">
        <v>8535</v>
      </c>
      <c r="C3777" t="s">
        <v>8534</v>
      </c>
      <c r="D3777">
        <v>6324</v>
      </c>
    </row>
    <row r="3778" spans="1:4">
      <c r="A3778" t="s">
        <v>8536</v>
      </c>
      <c r="B3778" t="s">
        <v>8537</v>
      </c>
      <c r="C3778" t="s">
        <v>8536</v>
      </c>
      <c r="D3778">
        <v>6022</v>
      </c>
    </row>
    <row r="3779" spans="1:4">
      <c r="A3779" t="s">
        <v>8538</v>
      </c>
      <c r="B3779" t="s">
        <v>8539</v>
      </c>
      <c r="C3779" t="s">
        <v>8538</v>
      </c>
      <c r="D3779">
        <v>6021</v>
      </c>
    </row>
    <row r="3780" spans="1:4">
      <c r="A3780" t="s">
        <v>8540</v>
      </c>
      <c r="B3780" t="s">
        <v>8541</v>
      </c>
      <c r="C3780" t="s">
        <v>8540</v>
      </c>
      <c r="D3780">
        <v>4412</v>
      </c>
    </row>
    <row r="3781" spans="1:4">
      <c r="A3781" t="s">
        <v>8542</v>
      </c>
      <c r="B3781" t="s">
        <v>8543</v>
      </c>
      <c r="C3781" t="s">
        <v>8542</v>
      </c>
      <c r="D3781">
        <v>2836</v>
      </c>
    </row>
    <row r="3782" spans="1:4">
      <c r="A3782" t="s">
        <v>8544</v>
      </c>
      <c r="B3782" t="s">
        <v>8545</v>
      </c>
      <c r="C3782" t="s">
        <v>8544</v>
      </c>
      <c r="D3782">
        <v>7371</v>
      </c>
    </row>
    <row r="3783" spans="1:4">
      <c r="A3783" t="s">
        <v>8546</v>
      </c>
      <c r="B3783" t="s">
        <v>8547</v>
      </c>
      <c r="C3783" t="s">
        <v>8546</v>
      </c>
      <c r="D3783">
        <v>7363</v>
      </c>
    </row>
    <row r="3784" spans="1:4">
      <c r="A3784" t="s">
        <v>8548</v>
      </c>
      <c r="B3784" t="s">
        <v>8549</v>
      </c>
      <c r="C3784" t="s">
        <v>8548</v>
      </c>
      <c r="D3784">
        <v>3672</v>
      </c>
    </row>
    <row r="3785" spans="1:4">
      <c r="A3785" t="s">
        <v>8550</v>
      </c>
      <c r="B3785" t="s">
        <v>8551</v>
      </c>
      <c r="C3785" t="s">
        <v>8550</v>
      </c>
      <c r="D3785">
        <v>7389</v>
      </c>
    </row>
    <row r="3786" spans="1:4">
      <c r="A3786" t="s">
        <v>8552</v>
      </c>
      <c r="B3786" t="s">
        <v>8553</v>
      </c>
      <c r="C3786" t="s">
        <v>8552</v>
      </c>
      <c r="D3786">
        <v>7374</v>
      </c>
    </row>
    <row r="3787" spans="1:4">
      <c r="A3787" t="s">
        <v>8554</v>
      </c>
      <c r="B3787" t="s">
        <v>8555</v>
      </c>
      <c r="C3787" t="s">
        <v>8554</v>
      </c>
      <c r="D3787">
        <v>5331</v>
      </c>
    </row>
    <row r="3788" spans="1:4">
      <c r="A3788" t="s">
        <v>8556</v>
      </c>
      <c r="B3788" t="s">
        <v>8557</v>
      </c>
      <c r="C3788" t="s">
        <v>8556</v>
      </c>
      <c r="D3788">
        <v>7373</v>
      </c>
    </row>
    <row r="3789" spans="1:4">
      <c r="A3789" t="s">
        <v>8558</v>
      </c>
      <c r="B3789" t="s">
        <v>8559</v>
      </c>
      <c r="C3789" t="s">
        <v>8558</v>
      </c>
      <c r="D3789">
        <v>4700</v>
      </c>
    </row>
    <row r="3790" spans="1:4">
      <c r="A3790" t="s">
        <v>8560</v>
      </c>
      <c r="B3790" t="s">
        <v>8561</v>
      </c>
      <c r="C3790" t="s">
        <v>8560</v>
      </c>
      <c r="D3790">
        <v>3089</v>
      </c>
    </row>
    <row r="3791" spans="1:4">
      <c r="A3791" t="s">
        <v>8562</v>
      </c>
      <c r="B3791" t="s">
        <v>8563</v>
      </c>
      <c r="C3791" t="s">
        <v>8562</v>
      </c>
      <c r="D3791">
        <v>2100</v>
      </c>
    </row>
    <row r="3792" spans="1:4">
      <c r="A3792" t="s">
        <v>8564</v>
      </c>
      <c r="B3792" t="s">
        <v>8565</v>
      </c>
      <c r="C3792" t="s">
        <v>8564</v>
      </c>
      <c r="D3792">
        <v>2834</v>
      </c>
    </row>
    <row r="3793" spans="1:4">
      <c r="A3793" t="s">
        <v>8566</v>
      </c>
      <c r="B3793" t="s">
        <v>8567</v>
      </c>
      <c r="C3793" t="s">
        <v>8566</v>
      </c>
      <c r="D3793">
        <v>3669</v>
      </c>
    </row>
    <row r="3794" spans="1:4">
      <c r="A3794" t="s">
        <v>8568</v>
      </c>
      <c r="B3794" t="s">
        <v>8569</v>
      </c>
      <c r="C3794" t="s">
        <v>8568</v>
      </c>
      <c r="D3794">
        <v>7373</v>
      </c>
    </row>
    <row r="3795" spans="1:4">
      <c r="A3795" t="s">
        <v>8570</v>
      </c>
      <c r="B3795" t="s">
        <v>8571</v>
      </c>
      <c r="C3795" t="s">
        <v>8570</v>
      </c>
      <c r="D3795">
        <v>1540</v>
      </c>
    </row>
    <row r="3796" spans="1:4">
      <c r="A3796" t="s">
        <v>8572</v>
      </c>
      <c r="B3796" t="s">
        <v>8573</v>
      </c>
      <c r="C3796" t="s">
        <v>8572</v>
      </c>
      <c r="D3796">
        <v>7372</v>
      </c>
    </row>
    <row r="3797" spans="1:4">
      <c r="A3797" t="s">
        <v>8574</v>
      </c>
      <c r="B3797" t="s">
        <v>8575</v>
      </c>
      <c r="C3797" t="s">
        <v>8574</v>
      </c>
      <c r="D3797">
        <v>7372</v>
      </c>
    </row>
    <row r="3798" spans="1:4">
      <c r="A3798" t="s">
        <v>8576</v>
      </c>
      <c r="B3798" t="s">
        <v>8577</v>
      </c>
      <c r="C3798" t="s">
        <v>8576</v>
      </c>
      <c r="D3798">
        <v>3560</v>
      </c>
    </row>
    <row r="3799" spans="1:4">
      <c r="A3799" t="s">
        <v>8578</v>
      </c>
      <c r="B3799" t="s">
        <v>8579</v>
      </c>
      <c r="C3799" t="s">
        <v>8578</v>
      </c>
      <c r="D3799">
        <v>2833</v>
      </c>
    </row>
    <row r="3800" spans="1:4">
      <c r="A3800" t="s">
        <v>8580</v>
      </c>
      <c r="B3800" t="s">
        <v>8581</v>
      </c>
      <c r="C3800" t="s">
        <v>8580</v>
      </c>
      <c r="D3800">
        <v>2836</v>
      </c>
    </row>
    <row r="3801" spans="1:4">
      <c r="A3801" t="s">
        <v>8582</v>
      </c>
      <c r="B3801" t="s">
        <v>8583</v>
      </c>
      <c r="C3801" t="s">
        <v>8582</v>
      </c>
      <c r="D3801">
        <v>7370</v>
      </c>
    </row>
    <row r="3802" spans="1:4">
      <c r="A3802" t="s">
        <v>8584</v>
      </c>
      <c r="B3802" t="s">
        <v>8585</v>
      </c>
      <c r="C3802" t="s">
        <v>8584</v>
      </c>
      <c r="D3802">
        <v>6798</v>
      </c>
    </row>
    <row r="3803" spans="1:4">
      <c r="A3803" t="s">
        <v>8586</v>
      </c>
      <c r="B3803" t="s">
        <v>8587</v>
      </c>
      <c r="C3803" t="s">
        <v>8586</v>
      </c>
      <c r="D3803">
        <v>7372</v>
      </c>
    </row>
    <row r="3804" spans="1:4">
      <c r="A3804" t="s">
        <v>8588</v>
      </c>
      <c r="B3804" t="s">
        <v>8589</v>
      </c>
      <c r="C3804" t="s">
        <v>8588</v>
      </c>
      <c r="D3804">
        <v>2015</v>
      </c>
    </row>
    <row r="3805" spans="1:4">
      <c r="A3805" t="s">
        <v>8590</v>
      </c>
      <c r="B3805" t="s">
        <v>8591</v>
      </c>
      <c r="C3805" t="s">
        <v>8590</v>
      </c>
      <c r="D3805">
        <v>6282</v>
      </c>
    </row>
    <row r="3806" spans="1:4">
      <c r="A3806" t="s">
        <v>8592</v>
      </c>
      <c r="B3806" t="s">
        <v>8593</v>
      </c>
      <c r="C3806" t="s">
        <v>8592</v>
      </c>
      <c r="D3806">
        <v>8000</v>
      </c>
    </row>
    <row r="3807" spans="1:4">
      <c r="A3807" t="s">
        <v>8594</v>
      </c>
      <c r="B3807" t="s">
        <v>8595</v>
      </c>
      <c r="C3807" t="s">
        <v>8594</v>
      </c>
      <c r="D3807">
        <v>1400</v>
      </c>
    </row>
    <row r="3808" spans="1:4">
      <c r="A3808" t="s">
        <v>8596</v>
      </c>
      <c r="B3808" t="s">
        <v>8597</v>
      </c>
      <c r="C3808" t="s">
        <v>8596</v>
      </c>
      <c r="D3808">
        <v>1389</v>
      </c>
    </row>
    <row r="3809" spans="1:4">
      <c r="A3809" t="s">
        <v>8598</v>
      </c>
      <c r="B3809" t="s">
        <v>8599</v>
      </c>
      <c r="C3809" t="s">
        <v>8598</v>
      </c>
      <c r="D3809">
        <v>7389</v>
      </c>
    </row>
    <row r="3810" spans="1:4">
      <c r="A3810" t="s">
        <v>8600</v>
      </c>
      <c r="B3810" t="s">
        <v>8601</v>
      </c>
      <c r="C3810" t="s">
        <v>8600</v>
      </c>
      <c r="D3810">
        <v>3663</v>
      </c>
    </row>
    <row r="3811" spans="1:4">
      <c r="A3811" t="s">
        <v>8602</v>
      </c>
      <c r="B3811" t="s">
        <v>8603</v>
      </c>
      <c r="C3811" t="s">
        <v>8602</v>
      </c>
      <c r="D3811">
        <v>4899</v>
      </c>
    </row>
    <row r="3812" spans="1:4">
      <c r="A3812" t="s">
        <v>8604</v>
      </c>
      <c r="B3812" t="s">
        <v>8605</v>
      </c>
      <c r="C3812" t="s">
        <v>8604</v>
      </c>
      <c r="D3812">
        <v>7389</v>
      </c>
    </row>
    <row r="3813" spans="1:4">
      <c r="A3813" t="s">
        <v>8606</v>
      </c>
      <c r="B3813" t="s">
        <v>8607</v>
      </c>
      <c r="C3813" t="s">
        <v>8606</v>
      </c>
      <c r="D3813">
        <v>8200</v>
      </c>
    </row>
    <row r="3814" spans="1:4">
      <c r="A3814" t="s">
        <v>8608</v>
      </c>
      <c r="B3814" t="s">
        <v>8609</v>
      </c>
      <c r="C3814" t="s">
        <v>8608</v>
      </c>
      <c r="D3814">
        <v>6798</v>
      </c>
    </row>
    <row r="3815" spans="1:4">
      <c r="A3815" t="s">
        <v>8610</v>
      </c>
      <c r="B3815" t="s">
        <v>8611</v>
      </c>
      <c r="C3815" t="s">
        <v>8610</v>
      </c>
      <c r="D3815">
        <v>2421</v>
      </c>
    </row>
    <row r="3816" spans="1:4">
      <c r="A3816" t="s">
        <v>8612</v>
      </c>
      <c r="B3816" t="s">
        <v>8613</v>
      </c>
      <c r="C3816" t="s">
        <v>8612</v>
      </c>
      <c r="D3816">
        <v>3841</v>
      </c>
    </row>
    <row r="3817" spans="1:4">
      <c r="A3817" t="s">
        <v>8614</v>
      </c>
      <c r="B3817" t="s">
        <v>8615</v>
      </c>
      <c r="C3817" t="s">
        <v>8614</v>
      </c>
      <c r="D3817">
        <v>4932</v>
      </c>
    </row>
    <row r="3818" spans="1:4">
      <c r="A3818" t="s">
        <v>8616</v>
      </c>
      <c r="B3818" t="s">
        <v>8617</v>
      </c>
      <c r="C3818" t="s">
        <v>8616</v>
      </c>
      <c r="D3818">
        <v>7372</v>
      </c>
    </row>
    <row r="3819" spans="1:4">
      <c r="A3819" t="s">
        <v>8618</v>
      </c>
      <c r="B3819" t="s">
        <v>8619</v>
      </c>
      <c r="C3819" t="s">
        <v>8618</v>
      </c>
      <c r="D3819">
        <v>5990</v>
      </c>
    </row>
    <row r="3820" spans="1:4">
      <c r="A3820" t="s">
        <v>8620</v>
      </c>
      <c r="B3820" t="s">
        <v>8621</v>
      </c>
      <c r="C3820" t="s">
        <v>8620</v>
      </c>
      <c r="D3820">
        <v>3674</v>
      </c>
    </row>
    <row r="3821" spans="1:4">
      <c r="A3821" t="s">
        <v>8622</v>
      </c>
      <c r="B3821" t="s">
        <v>8623</v>
      </c>
      <c r="C3821" t="s">
        <v>8622</v>
      </c>
      <c r="D3821">
        <v>2834</v>
      </c>
    </row>
    <row r="3822" spans="1:4">
      <c r="A3822" t="s">
        <v>8624</v>
      </c>
      <c r="B3822" t="s">
        <v>8625</v>
      </c>
      <c r="C3822" t="s">
        <v>8624</v>
      </c>
      <c r="D3822">
        <v>3690</v>
      </c>
    </row>
    <row r="3823" spans="1:4">
      <c r="A3823" t="s">
        <v>8626</v>
      </c>
      <c r="B3823" t="s">
        <v>8627</v>
      </c>
      <c r="C3823" t="s">
        <v>8626</v>
      </c>
      <c r="D3823">
        <v>6021</v>
      </c>
    </row>
    <row r="3824" spans="1:4">
      <c r="A3824" t="s">
        <v>8628</v>
      </c>
      <c r="B3824" t="s">
        <v>8629</v>
      </c>
      <c r="C3824" t="s">
        <v>8628</v>
      </c>
      <c r="D3824">
        <v>6798</v>
      </c>
    </row>
    <row r="3825" spans="1:4">
      <c r="A3825" t="s">
        <v>8630</v>
      </c>
      <c r="B3825" t="s">
        <v>8631</v>
      </c>
      <c r="C3825" t="s">
        <v>8630</v>
      </c>
      <c r="D3825">
        <v>6035</v>
      </c>
    </row>
    <row r="3826" spans="1:4">
      <c r="A3826" t="s">
        <v>8632</v>
      </c>
      <c r="B3826" t="s">
        <v>8633</v>
      </c>
      <c r="C3826" t="s">
        <v>8632</v>
      </c>
      <c r="D3826">
        <v>2300</v>
      </c>
    </row>
    <row r="3827" spans="1:4">
      <c r="A3827" t="s">
        <v>8634</v>
      </c>
      <c r="B3827" t="s">
        <v>8635</v>
      </c>
      <c r="C3827" t="s">
        <v>8634</v>
      </c>
      <c r="D3827">
        <v>6331</v>
      </c>
    </row>
    <row r="3828" spans="1:4">
      <c r="A3828" t="s">
        <v>8636</v>
      </c>
      <c r="B3828" t="s">
        <v>8637</v>
      </c>
      <c r="C3828" t="s">
        <v>8636</v>
      </c>
      <c r="D3828">
        <v>2200</v>
      </c>
    </row>
    <row r="3829" spans="1:4">
      <c r="A3829" t="s">
        <v>8638</v>
      </c>
      <c r="B3829" t="s">
        <v>8639</v>
      </c>
      <c r="C3829" t="s">
        <v>8638</v>
      </c>
      <c r="D3829">
        <v>7200</v>
      </c>
    </row>
    <row r="3830" spans="1:4">
      <c r="A3830" t="s">
        <v>8640</v>
      </c>
      <c r="B3830" t="s">
        <v>8641</v>
      </c>
      <c r="C3830" t="s">
        <v>8640</v>
      </c>
      <c r="D3830">
        <v>6022</v>
      </c>
    </row>
    <row r="3831" spans="1:4">
      <c r="A3831" t="s">
        <v>8642</v>
      </c>
      <c r="B3831" t="s">
        <v>8643</v>
      </c>
      <c r="C3831" t="s">
        <v>8642</v>
      </c>
      <c r="D3831">
        <v>4011</v>
      </c>
    </row>
    <row r="3832" spans="1:4">
      <c r="A3832" t="s">
        <v>8644</v>
      </c>
      <c r="B3832" t="s">
        <v>8645</v>
      </c>
      <c r="C3832" t="s">
        <v>8644</v>
      </c>
      <c r="D3832">
        <v>3714</v>
      </c>
    </row>
    <row r="3833" spans="1:4">
      <c r="A3833" t="s">
        <v>8646</v>
      </c>
      <c r="B3833" t="s">
        <v>8647</v>
      </c>
      <c r="C3833" t="s">
        <v>8646</v>
      </c>
      <c r="D3833">
        <v>2834</v>
      </c>
    </row>
    <row r="3834" spans="1:4">
      <c r="A3834" t="s">
        <v>8648</v>
      </c>
      <c r="B3834" t="s">
        <v>8649</v>
      </c>
      <c r="C3834" t="s">
        <v>8648</v>
      </c>
      <c r="D3834">
        <v>7373</v>
      </c>
    </row>
    <row r="3835" spans="1:4">
      <c r="A3835" t="s">
        <v>8650</v>
      </c>
      <c r="B3835" t="s">
        <v>8651</v>
      </c>
      <c r="C3835" t="s">
        <v>8650</v>
      </c>
      <c r="D3835">
        <v>4512</v>
      </c>
    </row>
    <row r="3836" spans="1:4">
      <c r="A3836" t="s">
        <v>8652</v>
      </c>
      <c r="B3836" t="s">
        <v>8653</v>
      </c>
      <c r="C3836" t="s">
        <v>8652</v>
      </c>
      <c r="D3836">
        <v>6022</v>
      </c>
    </row>
    <row r="3837" spans="1:4">
      <c r="A3837" t="s">
        <v>8654</v>
      </c>
      <c r="B3837" t="s">
        <v>8655</v>
      </c>
      <c r="C3837" t="s">
        <v>8654</v>
      </c>
      <c r="D3837">
        <v>6021</v>
      </c>
    </row>
    <row r="3838" spans="1:4">
      <c r="A3838" t="s">
        <v>8656</v>
      </c>
      <c r="B3838" t="s">
        <v>8657</v>
      </c>
      <c r="C3838" t="s">
        <v>8656</v>
      </c>
      <c r="D3838">
        <v>6022</v>
      </c>
    </row>
    <row r="3839" spans="1:4">
      <c r="A3839" t="s">
        <v>8658</v>
      </c>
      <c r="B3839" t="s">
        <v>8659</v>
      </c>
      <c r="C3839" t="s">
        <v>8658</v>
      </c>
      <c r="D3839">
        <v>6022</v>
      </c>
    </row>
    <row r="3840" spans="1:4">
      <c r="A3840" t="s">
        <v>8660</v>
      </c>
      <c r="B3840" t="s">
        <v>8661</v>
      </c>
      <c r="C3840" t="s">
        <v>8660</v>
      </c>
      <c r="D3840">
        <v>6331</v>
      </c>
    </row>
    <row r="3841" spans="1:4">
      <c r="A3841" t="s">
        <v>8662</v>
      </c>
      <c r="B3841" t="s">
        <v>8663</v>
      </c>
      <c r="C3841" t="s">
        <v>8662</v>
      </c>
      <c r="D3841">
        <v>2844</v>
      </c>
    </row>
    <row r="3842" spans="1:4">
      <c r="A3842" t="s">
        <v>8664</v>
      </c>
      <c r="B3842" t="s">
        <v>8665</v>
      </c>
      <c r="C3842" t="s">
        <v>8664</v>
      </c>
      <c r="D3842">
        <v>6331</v>
      </c>
    </row>
    <row r="3843" spans="1:4">
      <c r="A3843" t="s">
        <v>8666</v>
      </c>
      <c r="B3843" t="s">
        <v>8667</v>
      </c>
      <c r="C3843" t="s">
        <v>8666</v>
      </c>
      <c r="D3843">
        <v>5141</v>
      </c>
    </row>
    <row r="3844" spans="1:4">
      <c r="A3844" t="s">
        <v>8668</v>
      </c>
      <c r="B3844" t="s">
        <v>8669</v>
      </c>
      <c r="C3844" t="s">
        <v>8668</v>
      </c>
      <c r="D3844">
        <v>4210</v>
      </c>
    </row>
    <row r="3845" spans="1:4">
      <c r="A3845" t="s">
        <v>8670</v>
      </c>
      <c r="B3845" t="s">
        <v>8671</v>
      </c>
      <c r="C3845" t="s">
        <v>8670</v>
      </c>
      <c r="D3845">
        <v>7359</v>
      </c>
    </row>
    <row r="3846" spans="1:4">
      <c r="A3846" t="s">
        <v>8672</v>
      </c>
      <c r="B3846" t="s">
        <v>8673</v>
      </c>
      <c r="C3846" t="s">
        <v>8672</v>
      </c>
      <c r="D3846">
        <v>6021</v>
      </c>
    </row>
    <row r="3847" spans="1:4">
      <c r="A3847" t="s">
        <v>8674</v>
      </c>
      <c r="B3847" t="s">
        <v>8675</v>
      </c>
      <c r="C3847" t="s">
        <v>8674</v>
      </c>
      <c r="D3847">
        <v>3330</v>
      </c>
    </row>
    <row r="3848" spans="1:4">
      <c r="A3848" t="s">
        <v>8676</v>
      </c>
      <c r="B3848" t="s">
        <v>8677</v>
      </c>
      <c r="C3848" t="s">
        <v>8676</v>
      </c>
      <c r="D3848">
        <v>4812</v>
      </c>
    </row>
    <row r="3849" spans="1:4">
      <c r="A3849" t="s">
        <v>8678</v>
      </c>
      <c r="B3849" t="s">
        <v>8679</v>
      </c>
      <c r="C3849" t="s">
        <v>8678</v>
      </c>
      <c r="D3849">
        <v>1400</v>
      </c>
    </row>
    <row r="3850" spans="1:4">
      <c r="A3850" t="s">
        <v>8680</v>
      </c>
      <c r="B3850" t="s">
        <v>8681</v>
      </c>
      <c r="C3850" t="s">
        <v>8680</v>
      </c>
      <c r="D3850">
        <v>6221</v>
      </c>
    </row>
    <row r="3851" spans="1:4">
      <c r="A3851" t="s">
        <v>8682</v>
      </c>
      <c r="B3851" t="s">
        <v>8683</v>
      </c>
      <c r="C3851" t="s">
        <v>8682</v>
      </c>
      <c r="D3851">
        <v>3312</v>
      </c>
    </row>
    <row r="3852" spans="1:4">
      <c r="A3852" t="s">
        <v>8684</v>
      </c>
      <c r="B3852" t="s">
        <v>8685</v>
      </c>
      <c r="C3852" t="s">
        <v>8684</v>
      </c>
      <c r="D3852">
        <v>2834</v>
      </c>
    </row>
    <row r="3853" spans="1:4">
      <c r="A3853" t="s">
        <v>8686</v>
      </c>
      <c r="B3853" t="s">
        <v>8687</v>
      </c>
      <c r="C3853" t="s">
        <v>8686</v>
      </c>
      <c r="D3853">
        <v>6324</v>
      </c>
    </row>
    <row r="3854" spans="1:4">
      <c r="A3854" t="s">
        <v>8688</v>
      </c>
      <c r="B3854" t="s">
        <v>8689</v>
      </c>
      <c r="C3854" t="s">
        <v>8688</v>
      </c>
      <c r="D3854">
        <v>6798</v>
      </c>
    </row>
    <row r="3855" spans="1:4">
      <c r="A3855" t="s">
        <v>8690</v>
      </c>
      <c r="B3855" t="s">
        <v>8691</v>
      </c>
      <c r="C3855" t="s">
        <v>8690</v>
      </c>
      <c r="D3855">
        <v>4931</v>
      </c>
    </row>
    <row r="3856" spans="1:4">
      <c r="A3856" t="s">
        <v>8692</v>
      </c>
      <c r="B3856" t="s">
        <v>8693</v>
      </c>
      <c r="C3856" t="s">
        <v>8692</v>
      </c>
      <c r="D3856">
        <v>6022</v>
      </c>
    </row>
    <row r="3857" spans="1:4">
      <c r="A3857" t="s">
        <v>8694</v>
      </c>
      <c r="B3857" t="s">
        <v>8695</v>
      </c>
      <c r="C3857" t="s">
        <v>8694</v>
      </c>
      <c r="D3857">
        <v>7372</v>
      </c>
    </row>
    <row r="3858" spans="1:4">
      <c r="A3858" t="s">
        <v>8696</v>
      </c>
      <c r="B3858" t="s">
        <v>8697</v>
      </c>
      <c r="C3858" t="s">
        <v>8696</v>
      </c>
      <c r="D3858">
        <v>5160</v>
      </c>
    </row>
    <row r="3859" spans="1:4">
      <c r="A3859" t="s">
        <v>8698</v>
      </c>
      <c r="B3859" t="s">
        <v>8699</v>
      </c>
      <c r="C3859" t="s">
        <v>8698</v>
      </c>
      <c r="D3859">
        <v>5150</v>
      </c>
    </row>
    <row r="3860" spans="1:4">
      <c r="A3860" t="s">
        <v>8700</v>
      </c>
      <c r="B3860" t="s">
        <v>8701</v>
      </c>
      <c r="C3860" t="s">
        <v>8700</v>
      </c>
      <c r="D3860">
        <v>3670</v>
      </c>
    </row>
    <row r="3861" spans="1:4">
      <c r="A3861" t="s">
        <v>8702</v>
      </c>
      <c r="B3861" t="s">
        <v>8703</v>
      </c>
      <c r="C3861" t="s">
        <v>8702</v>
      </c>
      <c r="D3861">
        <v>3651</v>
      </c>
    </row>
    <row r="3862" spans="1:4">
      <c r="A3862" t="s">
        <v>8704</v>
      </c>
      <c r="B3862" t="s">
        <v>8705</v>
      </c>
      <c r="C3862" t="s">
        <v>8704</v>
      </c>
      <c r="D3862">
        <v>6798</v>
      </c>
    </row>
    <row r="3863" spans="1:4">
      <c r="A3863" t="s">
        <v>8706</v>
      </c>
      <c r="B3863" t="s">
        <v>8707</v>
      </c>
      <c r="C3863" t="s">
        <v>8706</v>
      </c>
      <c r="D3863">
        <v>8062</v>
      </c>
    </row>
    <row r="3864" spans="1:4">
      <c r="A3864" t="s">
        <v>8708</v>
      </c>
      <c r="B3864" t="s">
        <v>8709</v>
      </c>
      <c r="C3864" t="s">
        <v>8708</v>
      </c>
      <c r="D3864">
        <v>6331</v>
      </c>
    </row>
    <row r="3865" spans="1:4">
      <c r="A3865" t="s">
        <v>8710</v>
      </c>
      <c r="B3865" t="s">
        <v>8711</v>
      </c>
      <c r="C3865" t="s">
        <v>8710</v>
      </c>
      <c r="D3865">
        <v>4213</v>
      </c>
    </row>
    <row r="3866" spans="1:4">
      <c r="A3866" t="s">
        <v>8712</v>
      </c>
      <c r="B3866" t="s">
        <v>8713</v>
      </c>
      <c r="C3866" t="s">
        <v>8712</v>
      </c>
      <c r="D3866">
        <v>3312</v>
      </c>
    </row>
    <row r="3867" spans="1:4">
      <c r="A3867" t="s">
        <v>8714</v>
      </c>
      <c r="B3867" t="s">
        <v>8715</v>
      </c>
      <c r="C3867" t="s">
        <v>8714</v>
      </c>
      <c r="D3867">
        <v>8200</v>
      </c>
    </row>
    <row r="3868" spans="1:4">
      <c r="A3868" t="s">
        <v>8716</v>
      </c>
      <c r="B3868" t="s">
        <v>8717</v>
      </c>
      <c r="C3868" t="s">
        <v>8716</v>
      </c>
      <c r="D3868">
        <v>2834</v>
      </c>
    </row>
    <row r="3869" spans="1:4">
      <c r="A3869" t="s">
        <v>8718</v>
      </c>
      <c r="B3869" t="s">
        <v>8719</v>
      </c>
      <c r="C3869" t="s">
        <v>8718</v>
      </c>
      <c r="D3869">
        <v>6022</v>
      </c>
    </row>
    <row r="3870" spans="1:4">
      <c r="A3870" t="s">
        <v>8720</v>
      </c>
      <c r="B3870" t="s">
        <v>8721</v>
      </c>
      <c r="C3870" t="s">
        <v>8720</v>
      </c>
      <c r="D3870">
        <v>3510</v>
      </c>
    </row>
    <row r="3871" spans="1:4">
      <c r="A3871" t="s">
        <v>8722</v>
      </c>
      <c r="B3871" t="s">
        <v>8723</v>
      </c>
      <c r="C3871" t="s">
        <v>8722</v>
      </c>
      <c r="D3871">
        <v>6321</v>
      </c>
    </row>
    <row r="3872" spans="1:4">
      <c r="A3872" t="s">
        <v>8724</v>
      </c>
      <c r="B3872" t="s">
        <v>8725</v>
      </c>
      <c r="C3872" t="s">
        <v>8724</v>
      </c>
      <c r="D3872">
        <v>6211</v>
      </c>
    </row>
    <row r="3873" spans="1:4">
      <c r="A3873" t="s">
        <v>8726</v>
      </c>
      <c r="B3873" t="s">
        <v>8727</v>
      </c>
      <c r="C3873" t="s">
        <v>8726</v>
      </c>
      <c r="D3873">
        <v>8000</v>
      </c>
    </row>
    <row r="3874" spans="1:4">
      <c r="A3874" t="s">
        <v>8728</v>
      </c>
      <c r="B3874" t="s">
        <v>8729</v>
      </c>
      <c r="C3874" t="s">
        <v>8728</v>
      </c>
      <c r="D3874">
        <v>7372</v>
      </c>
    </row>
    <row r="3875" spans="1:4">
      <c r="A3875" t="s">
        <v>8730</v>
      </c>
      <c r="B3875" t="s">
        <v>8731</v>
      </c>
      <c r="C3875" t="s">
        <v>8730</v>
      </c>
      <c r="D3875">
        <v>6199</v>
      </c>
    </row>
    <row r="3876" spans="1:4">
      <c r="A3876" t="s">
        <v>8732</v>
      </c>
      <c r="B3876" t="s">
        <v>8733</v>
      </c>
      <c r="C3876" t="s">
        <v>8732</v>
      </c>
      <c r="D3876">
        <v>7374</v>
      </c>
    </row>
    <row r="3877" spans="1:4">
      <c r="A3877" t="s">
        <v>8734</v>
      </c>
      <c r="B3877" t="s">
        <v>8735</v>
      </c>
      <c r="C3877" t="s">
        <v>8734</v>
      </c>
      <c r="D3877">
        <v>1040</v>
      </c>
    </row>
    <row r="3878" spans="1:4">
      <c r="A3878" t="s">
        <v>8736</v>
      </c>
      <c r="B3878" t="s">
        <v>8737</v>
      </c>
      <c r="C3878" t="s">
        <v>8736</v>
      </c>
      <c r="D3878">
        <v>6500</v>
      </c>
    </row>
    <row r="3879" spans="1:4">
      <c r="A3879" t="s">
        <v>8738</v>
      </c>
      <c r="B3879" t="s">
        <v>8739</v>
      </c>
      <c r="C3879" t="s">
        <v>8738</v>
      </c>
      <c r="D3879">
        <v>4832</v>
      </c>
    </row>
    <row r="3880" spans="1:4">
      <c r="A3880" t="s">
        <v>8740</v>
      </c>
      <c r="B3880" t="s">
        <v>8741</v>
      </c>
      <c r="C3880" t="s">
        <v>8740</v>
      </c>
      <c r="D3880">
        <v>5651</v>
      </c>
    </row>
    <row r="3881" spans="1:4">
      <c r="A3881" t="s">
        <v>8742</v>
      </c>
      <c r="B3881" t="s">
        <v>8743</v>
      </c>
      <c r="C3881" t="s">
        <v>8742</v>
      </c>
      <c r="D3881">
        <v>2834</v>
      </c>
    </row>
    <row r="3882" spans="1:4">
      <c r="A3882" t="s">
        <v>8744</v>
      </c>
      <c r="B3882" t="s">
        <v>8745</v>
      </c>
      <c r="C3882" t="s">
        <v>8744</v>
      </c>
      <c r="D3882">
        <v>6798</v>
      </c>
    </row>
    <row r="3883" spans="1:4">
      <c r="A3883" t="s">
        <v>8746</v>
      </c>
      <c r="B3883" t="s">
        <v>8747</v>
      </c>
      <c r="C3883" t="s">
        <v>8746</v>
      </c>
      <c r="D3883">
        <v>6021</v>
      </c>
    </row>
    <row r="3884" spans="1:4">
      <c r="A3884" t="s">
        <v>8748</v>
      </c>
      <c r="B3884" t="s">
        <v>8749</v>
      </c>
      <c r="C3884" t="s">
        <v>8748</v>
      </c>
      <c r="D3884">
        <v>1311</v>
      </c>
    </row>
    <row r="3885" spans="1:4">
      <c r="A3885" t="s">
        <v>8750</v>
      </c>
      <c r="B3885" t="s">
        <v>8751</v>
      </c>
      <c r="C3885" t="s">
        <v>8750</v>
      </c>
      <c r="D3885">
        <v>5140</v>
      </c>
    </row>
    <row r="3886" spans="1:4">
      <c r="A3886" t="s">
        <v>8752</v>
      </c>
      <c r="B3886" t="s">
        <v>8753</v>
      </c>
      <c r="C3886" t="s">
        <v>8752</v>
      </c>
      <c r="D3886">
        <v>4213</v>
      </c>
    </row>
    <row r="3887" spans="1:4">
      <c r="A3887" t="s">
        <v>8754</v>
      </c>
      <c r="B3887" t="s">
        <v>8755</v>
      </c>
      <c r="C3887" t="s">
        <v>8754</v>
      </c>
      <c r="D3887">
        <v>4922</v>
      </c>
    </row>
    <row r="3888" spans="1:4">
      <c r="A3888" t="s">
        <v>8756</v>
      </c>
      <c r="B3888" t="s">
        <v>8757</v>
      </c>
      <c r="C3888" t="s">
        <v>8756</v>
      </c>
      <c r="D3888">
        <v>4213</v>
      </c>
    </row>
    <row r="3889" spans="1:4">
      <c r="A3889" t="s">
        <v>8758</v>
      </c>
      <c r="B3889" t="s">
        <v>8759</v>
      </c>
      <c r="C3889" t="s">
        <v>8758</v>
      </c>
      <c r="D3889">
        <v>2833</v>
      </c>
    </row>
    <row r="3890" spans="1:4">
      <c r="A3890" t="s">
        <v>8760</v>
      </c>
      <c r="B3890" t="s">
        <v>8761</v>
      </c>
      <c r="C3890" t="s">
        <v>8760</v>
      </c>
      <c r="D3890">
        <v>6022</v>
      </c>
    </row>
    <row r="3891" spans="1:4">
      <c r="A3891" t="s">
        <v>8762</v>
      </c>
      <c r="B3891" t="s">
        <v>8763</v>
      </c>
      <c r="C3891" t="s">
        <v>8762</v>
      </c>
      <c r="D3891">
        <v>4013</v>
      </c>
    </row>
    <row r="3892" spans="1:4">
      <c r="A3892" t="s">
        <v>8764</v>
      </c>
      <c r="B3892" t="s">
        <v>8765</v>
      </c>
      <c r="C3892" t="s">
        <v>8764</v>
      </c>
      <c r="D3892">
        <v>6099</v>
      </c>
    </row>
    <row r="3893" spans="1:4">
      <c r="A3893" t="s">
        <v>8766</v>
      </c>
      <c r="B3893" t="s">
        <v>8767</v>
      </c>
      <c r="C3893" t="s">
        <v>8766</v>
      </c>
      <c r="D3893">
        <v>3841</v>
      </c>
    </row>
    <row r="3894" spans="1:4">
      <c r="A3894" t="s">
        <v>8768</v>
      </c>
      <c r="B3894" t="s">
        <v>8769</v>
      </c>
      <c r="C3894" t="s">
        <v>8768</v>
      </c>
      <c r="D3894">
        <v>6311</v>
      </c>
    </row>
    <row r="3895" spans="1:4">
      <c r="A3895" t="s">
        <v>8770</v>
      </c>
      <c r="B3895" t="s">
        <v>8771</v>
      </c>
      <c r="C3895" t="s">
        <v>8770</v>
      </c>
      <c r="D3895">
        <v>3669</v>
      </c>
    </row>
    <row r="3896" spans="1:4">
      <c r="A3896" t="s">
        <v>8772</v>
      </c>
      <c r="B3896" t="s">
        <v>8773</v>
      </c>
      <c r="C3896" t="s">
        <v>8772</v>
      </c>
      <c r="D3896">
        <v>6022</v>
      </c>
    </row>
    <row r="3897" spans="1:4">
      <c r="A3897" t="s">
        <v>8774</v>
      </c>
      <c r="B3897" t="s">
        <v>8775</v>
      </c>
      <c r="C3897" t="s">
        <v>8774</v>
      </c>
      <c r="D3897">
        <v>6162</v>
      </c>
    </row>
    <row r="3898" spans="1:4">
      <c r="A3898" t="s">
        <v>8776</v>
      </c>
      <c r="B3898" t="s">
        <v>8777</v>
      </c>
      <c r="C3898" t="s">
        <v>8776</v>
      </c>
      <c r="D3898">
        <v>2320</v>
      </c>
    </row>
    <row r="3899" spans="1:4">
      <c r="A3899" t="s">
        <v>8778</v>
      </c>
      <c r="B3899" t="s">
        <v>8779</v>
      </c>
      <c r="C3899" t="s">
        <v>8778</v>
      </c>
      <c r="D3899">
        <v>1311</v>
      </c>
    </row>
    <row r="3900" spans="1:4">
      <c r="A3900" t="s">
        <v>8780</v>
      </c>
      <c r="B3900" t="s">
        <v>8781</v>
      </c>
      <c r="C3900" t="s">
        <v>8780</v>
      </c>
      <c r="D3900">
        <v>7340</v>
      </c>
    </row>
    <row r="3901" spans="1:4">
      <c r="A3901" t="s">
        <v>8782</v>
      </c>
      <c r="B3901" t="s">
        <v>8783</v>
      </c>
      <c r="C3901" t="s">
        <v>8782</v>
      </c>
      <c r="D3901">
        <v>2834</v>
      </c>
    </row>
    <row r="3902" spans="1:4">
      <c r="A3902" t="s">
        <v>8784</v>
      </c>
      <c r="B3902" t="s">
        <v>8785</v>
      </c>
      <c r="C3902" t="s">
        <v>8784</v>
      </c>
      <c r="D3902">
        <v>7990</v>
      </c>
    </row>
    <row r="3903" spans="1:4">
      <c r="A3903" t="s">
        <v>8786</v>
      </c>
      <c r="B3903" t="s">
        <v>8787</v>
      </c>
      <c r="C3903" t="s">
        <v>8786</v>
      </c>
      <c r="D3903">
        <v>1381</v>
      </c>
    </row>
    <row r="3904" spans="1:4">
      <c r="A3904" t="s">
        <v>8788</v>
      </c>
      <c r="B3904" t="s">
        <v>8789</v>
      </c>
      <c r="C3904" t="s">
        <v>8788</v>
      </c>
      <c r="D3904">
        <v>3674</v>
      </c>
    </row>
    <row r="3905" spans="1:4">
      <c r="A3905" t="s">
        <v>8790</v>
      </c>
      <c r="B3905" t="s">
        <v>8791</v>
      </c>
      <c r="C3905" t="s">
        <v>8790</v>
      </c>
      <c r="D3905">
        <v>2911</v>
      </c>
    </row>
    <row r="3906" spans="1:4">
      <c r="A3906" t="s">
        <v>8792</v>
      </c>
      <c r="B3906" t="s">
        <v>8793</v>
      </c>
      <c r="C3906" t="s">
        <v>8792</v>
      </c>
      <c r="D3906">
        <v>2810</v>
      </c>
    </row>
    <row r="3907" spans="1:4">
      <c r="A3907" t="s">
        <v>8794</v>
      </c>
      <c r="B3907" t="s">
        <v>8795</v>
      </c>
      <c r="C3907" t="s">
        <v>8794</v>
      </c>
      <c r="D3907">
        <v>6021</v>
      </c>
    </row>
    <row r="3908" spans="1:4">
      <c r="A3908" t="s">
        <v>8796</v>
      </c>
      <c r="B3908" t="s">
        <v>8797</v>
      </c>
      <c r="C3908" t="s">
        <v>8796</v>
      </c>
      <c r="D3908">
        <v>3440</v>
      </c>
    </row>
    <row r="3909" spans="1:4">
      <c r="A3909" t="s">
        <v>8798</v>
      </c>
      <c r="B3909" t="s">
        <v>8799</v>
      </c>
      <c r="C3909" t="s">
        <v>8798</v>
      </c>
      <c r="D3909">
        <v>6282</v>
      </c>
    </row>
    <row r="3910" spans="1:4">
      <c r="A3910" t="s">
        <v>8800</v>
      </c>
      <c r="B3910" t="s">
        <v>8801</v>
      </c>
      <c r="C3910" t="s">
        <v>8800</v>
      </c>
      <c r="D3910">
        <v>2990</v>
      </c>
    </row>
    <row r="3911" spans="1:4">
      <c r="A3911" t="s">
        <v>8802</v>
      </c>
      <c r="B3911" t="s">
        <v>8803</v>
      </c>
      <c r="C3911" t="s">
        <v>8802</v>
      </c>
      <c r="D3911">
        <v>2834</v>
      </c>
    </row>
    <row r="3912" spans="1:4">
      <c r="A3912" t="s">
        <v>8804</v>
      </c>
      <c r="B3912" t="s">
        <v>8805</v>
      </c>
      <c r="C3912" t="s">
        <v>8804</v>
      </c>
      <c r="D3912">
        <v>1381</v>
      </c>
    </row>
    <row r="3913" spans="1:4">
      <c r="A3913" t="s">
        <v>8806</v>
      </c>
      <c r="B3913" t="s">
        <v>8807</v>
      </c>
      <c r="C3913" t="s">
        <v>8806</v>
      </c>
      <c r="D3913">
        <v>3841</v>
      </c>
    </row>
    <row r="3914" spans="1:4">
      <c r="A3914" t="s">
        <v>8808</v>
      </c>
      <c r="B3914" t="s">
        <v>8809</v>
      </c>
      <c r="C3914" t="s">
        <v>8808</v>
      </c>
      <c r="D3914">
        <v>3679</v>
      </c>
    </row>
    <row r="3915" spans="1:4">
      <c r="A3915" t="s">
        <v>8810</v>
      </c>
      <c r="B3915" t="s">
        <v>8811</v>
      </c>
      <c r="C3915" t="s">
        <v>8810</v>
      </c>
      <c r="D3915">
        <v>7372</v>
      </c>
    </row>
    <row r="3916" spans="1:4">
      <c r="A3916" t="s">
        <v>8812</v>
      </c>
      <c r="B3916" t="s">
        <v>8813</v>
      </c>
      <c r="C3916" t="s">
        <v>8812</v>
      </c>
      <c r="D3916">
        <v>2834</v>
      </c>
    </row>
    <row r="3917" spans="1:4">
      <c r="A3917" t="s">
        <v>8814</v>
      </c>
      <c r="B3917" t="s">
        <v>8815</v>
      </c>
      <c r="C3917" t="s">
        <v>8814</v>
      </c>
      <c r="D3917">
        <v>3845</v>
      </c>
    </row>
    <row r="3918" spans="1:4">
      <c r="A3918" t="s">
        <v>8816</v>
      </c>
      <c r="B3918" t="s">
        <v>8817</v>
      </c>
      <c r="C3918" t="s">
        <v>8816</v>
      </c>
      <c r="D3918">
        <v>2836</v>
      </c>
    </row>
    <row r="3919" spans="1:4">
      <c r="A3919" t="s">
        <v>8818</v>
      </c>
      <c r="B3919" t="s">
        <v>8819</v>
      </c>
      <c r="C3919" t="s">
        <v>8818</v>
      </c>
      <c r="D3919">
        <v>2834</v>
      </c>
    </row>
    <row r="3920" spans="1:4">
      <c r="A3920" t="s">
        <v>8820</v>
      </c>
      <c r="B3920" t="s">
        <v>8821</v>
      </c>
      <c r="C3920" t="s">
        <v>8820</v>
      </c>
      <c r="D3920">
        <v>2834</v>
      </c>
    </row>
    <row r="3921" spans="1:4">
      <c r="A3921" t="s">
        <v>8822</v>
      </c>
      <c r="B3921" t="s">
        <v>8823</v>
      </c>
      <c r="C3921" t="s">
        <v>8822</v>
      </c>
      <c r="D3921">
        <v>2111</v>
      </c>
    </row>
    <row r="3922" spans="1:4">
      <c r="A3922" t="s">
        <v>8824</v>
      </c>
      <c r="B3922" t="s">
        <v>8825</v>
      </c>
      <c r="C3922" t="s">
        <v>8824</v>
      </c>
      <c r="D3922">
        <v>8744</v>
      </c>
    </row>
    <row r="3923" spans="1:4">
      <c r="A3923" t="s">
        <v>8826</v>
      </c>
      <c r="B3923" t="s">
        <v>8827</v>
      </c>
      <c r="C3923" t="s">
        <v>8826</v>
      </c>
      <c r="D3923">
        <v>3559</v>
      </c>
    </row>
    <row r="3924" spans="1:4">
      <c r="A3924" t="s">
        <v>8828</v>
      </c>
      <c r="B3924" t="s">
        <v>8829</v>
      </c>
      <c r="C3924" t="s">
        <v>8828</v>
      </c>
      <c r="D3924">
        <v>7372</v>
      </c>
    </row>
    <row r="3925" spans="1:4">
      <c r="A3925" t="s">
        <v>8830</v>
      </c>
      <c r="B3925" t="s">
        <v>8831</v>
      </c>
      <c r="C3925" t="s">
        <v>8830</v>
      </c>
      <c r="D3925">
        <v>3559</v>
      </c>
    </row>
    <row r="3926" spans="1:4">
      <c r="A3926" t="s">
        <v>8832</v>
      </c>
      <c r="B3926" t="s">
        <v>8833</v>
      </c>
      <c r="C3926" t="s">
        <v>8832</v>
      </c>
      <c r="D3926">
        <v>6199</v>
      </c>
    </row>
    <row r="3927" spans="1:4">
      <c r="A3927" t="s">
        <v>8834</v>
      </c>
      <c r="B3927" t="s">
        <v>8835</v>
      </c>
      <c r="C3927" t="s">
        <v>8834</v>
      </c>
      <c r="D3927">
        <v>3569</v>
      </c>
    </row>
    <row r="3928" spans="1:4">
      <c r="A3928" t="s">
        <v>8836</v>
      </c>
      <c r="B3928" t="s">
        <v>8837</v>
      </c>
      <c r="C3928" t="s">
        <v>8836</v>
      </c>
      <c r="D3928">
        <v>2810</v>
      </c>
    </row>
    <row r="3929" spans="1:4">
      <c r="A3929" t="s">
        <v>8838</v>
      </c>
      <c r="B3929" t="s">
        <v>8839</v>
      </c>
      <c r="C3929" t="s">
        <v>8838</v>
      </c>
      <c r="D3929">
        <v>6798</v>
      </c>
    </row>
    <row r="3930" spans="1:4">
      <c r="A3930" t="s">
        <v>8840</v>
      </c>
      <c r="B3930" t="s">
        <v>8841</v>
      </c>
      <c r="C3930" t="s">
        <v>8840</v>
      </c>
      <c r="D3930">
        <v>3841</v>
      </c>
    </row>
    <row r="3931" spans="1:4">
      <c r="A3931" t="s">
        <v>8842</v>
      </c>
      <c r="B3931" t="s">
        <v>8843</v>
      </c>
      <c r="C3931" t="s">
        <v>8842</v>
      </c>
      <c r="D3931">
        <v>3100</v>
      </c>
    </row>
    <row r="3932" spans="1:4">
      <c r="A3932" t="s">
        <v>8844</v>
      </c>
      <c r="B3932" t="s">
        <v>8845</v>
      </c>
      <c r="C3932" t="s">
        <v>8844</v>
      </c>
      <c r="D3932">
        <v>8071</v>
      </c>
    </row>
    <row r="3933" spans="1:4">
      <c r="A3933" t="s">
        <v>8846</v>
      </c>
      <c r="B3933" t="s">
        <v>8847</v>
      </c>
      <c r="C3933" t="s">
        <v>8846</v>
      </c>
      <c r="D3933">
        <v>2834</v>
      </c>
    </row>
    <row r="3934" spans="1:4">
      <c r="A3934" t="s">
        <v>8848</v>
      </c>
      <c r="B3934" t="s">
        <v>8849</v>
      </c>
      <c r="C3934" t="s">
        <v>8848</v>
      </c>
      <c r="D3934">
        <v>7200</v>
      </c>
    </row>
    <row r="3935" spans="1:4">
      <c r="A3935" t="s">
        <v>8850</v>
      </c>
      <c r="B3935" t="s">
        <v>8851</v>
      </c>
      <c r="C3935" t="s">
        <v>8850</v>
      </c>
      <c r="D3935">
        <v>2836</v>
      </c>
    </row>
    <row r="3936" spans="1:4">
      <c r="A3936" t="s">
        <v>8852</v>
      </c>
      <c r="B3936" t="s">
        <v>8853</v>
      </c>
      <c r="C3936" t="s">
        <v>8852</v>
      </c>
      <c r="D3936">
        <v>6311</v>
      </c>
    </row>
    <row r="3937" spans="1:4">
      <c r="A3937" t="s">
        <v>8854</v>
      </c>
      <c r="B3937" t="s">
        <v>8855</v>
      </c>
      <c r="C3937" t="s">
        <v>8854</v>
      </c>
      <c r="D3937">
        <v>7373</v>
      </c>
    </row>
    <row r="3938" spans="1:4">
      <c r="A3938" t="s">
        <v>8856</v>
      </c>
      <c r="B3938" t="s">
        <v>8857</v>
      </c>
      <c r="C3938" t="s">
        <v>8856</v>
      </c>
      <c r="D3938">
        <v>6798</v>
      </c>
    </row>
    <row r="3939" spans="1:4">
      <c r="A3939" t="s">
        <v>8858</v>
      </c>
      <c r="B3939" t="s">
        <v>8859</v>
      </c>
      <c r="C3939" t="s">
        <v>8858</v>
      </c>
      <c r="D3939">
        <v>7371</v>
      </c>
    </row>
    <row r="3940" spans="1:4">
      <c r="A3940" t="s">
        <v>8860</v>
      </c>
      <c r="B3940" t="s">
        <v>8861</v>
      </c>
      <c r="C3940" t="s">
        <v>8860</v>
      </c>
      <c r="D3940">
        <v>7374</v>
      </c>
    </row>
    <row r="3941" spans="1:4">
      <c r="A3941" t="s">
        <v>8862</v>
      </c>
      <c r="B3941" t="s">
        <v>8863</v>
      </c>
      <c r="C3941" t="s">
        <v>8862</v>
      </c>
      <c r="D3941">
        <v>6022</v>
      </c>
    </row>
    <row r="3942" spans="1:4">
      <c r="A3942" t="s">
        <v>8864</v>
      </c>
      <c r="B3942" t="s">
        <v>8865</v>
      </c>
      <c r="C3942" t="s">
        <v>8864</v>
      </c>
      <c r="D3942">
        <v>5110</v>
      </c>
    </row>
    <row r="3943" spans="1:4">
      <c r="A3943" t="s">
        <v>8866</v>
      </c>
      <c r="B3943" t="s">
        <v>8867</v>
      </c>
      <c r="C3943" t="s">
        <v>8866</v>
      </c>
      <c r="D3943">
        <v>7374</v>
      </c>
    </row>
    <row r="3944" spans="1:4">
      <c r="A3944" t="s">
        <v>8868</v>
      </c>
      <c r="B3944" t="s">
        <v>8869</v>
      </c>
      <c r="C3944" t="s">
        <v>8868</v>
      </c>
      <c r="D3944">
        <v>4813</v>
      </c>
    </row>
    <row r="3945" spans="1:4">
      <c r="A3945" t="s">
        <v>8870</v>
      </c>
      <c r="B3945" t="s">
        <v>8871</v>
      </c>
      <c r="C3945" t="s">
        <v>8870</v>
      </c>
      <c r="D3945">
        <v>4700</v>
      </c>
    </row>
    <row r="3946" spans="1:4">
      <c r="A3946" t="s">
        <v>8872</v>
      </c>
      <c r="B3946" t="s">
        <v>8873</v>
      </c>
      <c r="C3946" t="s">
        <v>8872</v>
      </c>
      <c r="D3946">
        <v>2911</v>
      </c>
    </row>
    <row r="3947" spans="1:4">
      <c r="A3947" t="s">
        <v>8874</v>
      </c>
      <c r="B3947" t="s">
        <v>8875</v>
      </c>
      <c r="C3947" t="s">
        <v>8874</v>
      </c>
      <c r="D3947">
        <v>2834</v>
      </c>
    </row>
    <row r="3948" spans="1:4">
      <c r="A3948" t="s">
        <v>8876</v>
      </c>
      <c r="B3948" t="s">
        <v>8877</v>
      </c>
      <c r="C3948" t="s">
        <v>8876</v>
      </c>
      <c r="D3948">
        <v>7372</v>
      </c>
    </row>
    <row r="3949" spans="1:4">
      <c r="A3949" t="s">
        <v>8878</v>
      </c>
      <c r="B3949" t="s">
        <v>8879</v>
      </c>
      <c r="C3949" t="s">
        <v>8878</v>
      </c>
      <c r="D3949">
        <v>3679</v>
      </c>
    </row>
    <row r="3950" spans="1:4">
      <c r="A3950" t="s">
        <v>8880</v>
      </c>
      <c r="B3950" t="s">
        <v>8881</v>
      </c>
      <c r="C3950" t="s">
        <v>8880</v>
      </c>
      <c r="D3950">
        <v>2834</v>
      </c>
    </row>
    <row r="3951" spans="1:4">
      <c r="A3951" t="s">
        <v>8882</v>
      </c>
      <c r="B3951" t="s">
        <v>8883</v>
      </c>
      <c r="C3951" t="s">
        <v>8882</v>
      </c>
      <c r="D3951">
        <v>4931</v>
      </c>
    </row>
    <row r="3952" spans="1:4">
      <c r="A3952" t="s">
        <v>8884</v>
      </c>
      <c r="B3952" t="s">
        <v>8885</v>
      </c>
      <c r="C3952" t="s">
        <v>8884</v>
      </c>
      <c r="D3952">
        <v>7389</v>
      </c>
    </row>
    <row r="3953" spans="1:4">
      <c r="A3953" t="s">
        <v>8886</v>
      </c>
      <c r="B3953" t="s">
        <v>8887</v>
      </c>
      <c r="C3953" t="s">
        <v>8886</v>
      </c>
      <c r="D3953">
        <v>7370</v>
      </c>
    </row>
    <row r="3954" spans="1:4">
      <c r="A3954" t="s">
        <v>8888</v>
      </c>
      <c r="B3954" t="s">
        <v>8889</v>
      </c>
      <c r="C3954" t="s">
        <v>8888</v>
      </c>
      <c r="D3954">
        <v>3663</v>
      </c>
    </row>
    <row r="3955" spans="1:4">
      <c r="A3955" t="s">
        <v>8890</v>
      </c>
      <c r="B3955" t="s">
        <v>8891</v>
      </c>
      <c r="C3955" t="s">
        <v>8890</v>
      </c>
      <c r="D3955">
        <v>2834</v>
      </c>
    </row>
    <row r="3956" spans="1:4">
      <c r="A3956" t="s">
        <v>8892</v>
      </c>
      <c r="B3956" t="s">
        <v>8893</v>
      </c>
      <c r="C3956" t="s">
        <v>8892</v>
      </c>
      <c r="D3956">
        <v>3674</v>
      </c>
    </row>
    <row r="3957" spans="1:4">
      <c r="A3957" t="s">
        <v>8894</v>
      </c>
      <c r="B3957" t="s">
        <v>8895</v>
      </c>
      <c r="C3957" t="s">
        <v>8894</v>
      </c>
      <c r="D3957">
        <v>6798</v>
      </c>
    </row>
    <row r="3958" spans="1:4">
      <c r="A3958" t="s">
        <v>8896</v>
      </c>
      <c r="B3958" t="s">
        <v>8897</v>
      </c>
      <c r="C3958" t="s">
        <v>8896</v>
      </c>
      <c r="D3958">
        <v>3679</v>
      </c>
    </row>
    <row r="3959" spans="1:4">
      <c r="A3959" t="s">
        <v>8898</v>
      </c>
      <c r="B3959" t="s">
        <v>8899</v>
      </c>
      <c r="C3959" t="s">
        <v>8898</v>
      </c>
      <c r="D3959">
        <v>5621</v>
      </c>
    </row>
    <row r="3960" spans="1:4">
      <c r="A3960" t="s">
        <v>8900</v>
      </c>
      <c r="B3960" t="s">
        <v>8901</v>
      </c>
      <c r="C3960" t="s">
        <v>8900</v>
      </c>
      <c r="D3960">
        <v>6282</v>
      </c>
    </row>
    <row r="3961" spans="1:4">
      <c r="A3961" t="s">
        <v>8902</v>
      </c>
      <c r="B3961" t="s">
        <v>8903</v>
      </c>
      <c r="C3961" t="s">
        <v>8902</v>
      </c>
      <c r="D3961">
        <v>8090</v>
      </c>
    </row>
    <row r="3962" spans="1:4">
      <c r="A3962" t="s">
        <v>8904</v>
      </c>
      <c r="B3962" t="s">
        <v>8905</v>
      </c>
      <c r="C3962" t="s">
        <v>8904</v>
      </c>
      <c r="D3962">
        <v>3211</v>
      </c>
    </row>
    <row r="3963" spans="1:4">
      <c r="A3963" t="s">
        <v>8906</v>
      </c>
      <c r="B3963" t="s">
        <v>8907</v>
      </c>
      <c r="C3963" t="s">
        <v>8906</v>
      </c>
      <c r="D3963">
        <v>3845</v>
      </c>
    </row>
    <row r="3964" spans="1:4">
      <c r="A3964" t="s">
        <v>8908</v>
      </c>
      <c r="B3964" t="s">
        <v>8909</v>
      </c>
      <c r="C3964" t="s">
        <v>8908</v>
      </c>
      <c r="D3964">
        <v>1311</v>
      </c>
    </row>
    <row r="3965" spans="1:4">
      <c r="A3965" t="s">
        <v>8910</v>
      </c>
      <c r="B3965" t="s">
        <v>8911</v>
      </c>
      <c r="C3965" t="s">
        <v>8910</v>
      </c>
      <c r="D3965">
        <v>6022</v>
      </c>
    </row>
    <row r="3966" spans="1:4">
      <c r="A3966" t="s">
        <v>8912</v>
      </c>
      <c r="B3966" t="s">
        <v>8913</v>
      </c>
      <c r="C3966" t="s">
        <v>8912</v>
      </c>
      <c r="D3966">
        <v>100</v>
      </c>
    </row>
    <row r="3967" spans="1:4">
      <c r="A3967" t="s">
        <v>8914</v>
      </c>
      <c r="B3967" t="s">
        <v>8915</v>
      </c>
      <c r="C3967" t="s">
        <v>8914</v>
      </c>
      <c r="D3967">
        <v>5411</v>
      </c>
    </row>
    <row r="3968" spans="1:4">
      <c r="A3968" t="s">
        <v>8916</v>
      </c>
      <c r="B3968" t="s">
        <v>8917</v>
      </c>
      <c r="C3968" t="s">
        <v>8916</v>
      </c>
      <c r="D3968">
        <v>7370</v>
      </c>
    </row>
    <row r="3969" spans="1:4">
      <c r="A3969" t="s">
        <v>8918</v>
      </c>
      <c r="B3969" t="s">
        <v>8919</v>
      </c>
      <c r="C3969" t="s">
        <v>8918</v>
      </c>
      <c r="D3969">
        <v>5600</v>
      </c>
    </row>
    <row r="3970" spans="1:4">
      <c r="A3970" t="s">
        <v>8920</v>
      </c>
      <c r="B3970" t="s">
        <v>8921</v>
      </c>
      <c r="C3970" t="s">
        <v>8920</v>
      </c>
      <c r="D3970">
        <v>3944</v>
      </c>
    </row>
    <row r="3971" spans="1:4">
      <c r="A3971" t="s">
        <v>8922</v>
      </c>
      <c r="B3971" t="s">
        <v>8923</v>
      </c>
      <c r="C3971" t="s">
        <v>8922</v>
      </c>
      <c r="D3971">
        <v>2080</v>
      </c>
    </row>
    <row r="3972" spans="1:4">
      <c r="A3972" t="s">
        <v>8924</v>
      </c>
      <c r="B3972" t="s">
        <v>8925</v>
      </c>
      <c r="C3972" t="s">
        <v>8924</v>
      </c>
      <c r="D3972">
        <v>3630</v>
      </c>
    </row>
    <row r="3973" spans="1:4">
      <c r="A3973" t="s">
        <v>8926</v>
      </c>
      <c r="B3973" t="s">
        <v>8927</v>
      </c>
      <c r="C3973" t="s">
        <v>8926</v>
      </c>
      <c r="D3973">
        <v>1311</v>
      </c>
    </row>
    <row r="3974" spans="1:4">
      <c r="A3974" t="s">
        <v>8928</v>
      </c>
      <c r="B3974" t="s">
        <v>8929</v>
      </c>
      <c r="C3974" t="s">
        <v>8928</v>
      </c>
      <c r="D3974">
        <v>5961</v>
      </c>
    </row>
    <row r="3975" spans="1:4">
      <c r="A3975" t="s">
        <v>8930</v>
      </c>
      <c r="B3975" t="s">
        <v>8931</v>
      </c>
      <c r="C3975" t="s">
        <v>8930</v>
      </c>
      <c r="D3975">
        <v>2836</v>
      </c>
    </row>
    <row r="3976" spans="1:4">
      <c r="A3976" t="s">
        <v>8932</v>
      </c>
      <c r="B3976" t="s">
        <v>8933</v>
      </c>
      <c r="C3976" t="s">
        <v>8932</v>
      </c>
      <c r="D3976">
        <v>2531</v>
      </c>
    </row>
    <row r="3977" spans="1:4">
      <c r="A3977" t="s">
        <v>8934</v>
      </c>
      <c r="B3977" t="s">
        <v>8935</v>
      </c>
      <c r="C3977" t="s">
        <v>8934</v>
      </c>
      <c r="D3977">
        <v>4700</v>
      </c>
    </row>
    <row r="3978" spans="1:4">
      <c r="A3978" t="s">
        <v>8936</v>
      </c>
      <c r="B3978" t="s">
        <v>8937</v>
      </c>
      <c r="C3978" t="s">
        <v>8936</v>
      </c>
      <c r="D3978">
        <v>3812</v>
      </c>
    </row>
    <row r="3979" spans="1:4">
      <c r="A3979" t="s">
        <v>8938</v>
      </c>
      <c r="B3979" t="s">
        <v>8939</v>
      </c>
      <c r="C3979" t="s">
        <v>8938</v>
      </c>
      <c r="D3979">
        <v>6021</v>
      </c>
    </row>
    <row r="3980" spans="1:4">
      <c r="A3980" t="s">
        <v>8940</v>
      </c>
      <c r="B3980" t="s">
        <v>8941</v>
      </c>
      <c r="C3980" t="s">
        <v>8940</v>
      </c>
      <c r="D3980">
        <v>8071</v>
      </c>
    </row>
    <row r="3981" spans="1:4">
      <c r="A3981" t="s">
        <v>8942</v>
      </c>
      <c r="B3981" t="s">
        <v>8943</v>
      </c>
      <c r="C3981" t="s">
        <v>8942</v>
      </c>
      <c r="D3981">
        <v>6794</v>
      </c>
    </row>
    <row r="3982" spans="1:4">
      <c r="A3982" t="s">
        <v>8944</v>
      </c>
      <c r="B3982" t="s">
        <v>8945</v>
      </c>
      <c r="C3982" t="s">
        <v>8944</v>
      </c>
      <c r="D3982">
        <v>3990</v>
      </c>
    </row>
    <row r="3983" spans="1:4">
      <c r="A3983" t="s">
        <v>8946</v>
      </c>
      <c r="B3983" t="s">
        <v>8947</v>
      </c>
      <c r="C3983" t="s">
        <v>8946</v>
      </c>
      <c r="D3983">
        <v>6211</v>
      </c>
    </row>
    <row r="3984" spans="1:4">
      <c r="A3984" t="s">
        <v>8948</v>
      </c>
      <c r="B3984" t="s">
        <v>8949</v>
      </c>
      <c r="C3984" t="s">
        <v>8948</v>
      </c>
      <c r="D3984">
        <v>6282</v>
      </c>
    </row>
    <row r="3985" spans="1:4">
      <c r="A3985" t="s">
        <v>8950</v>
      </c>
      <c r="B3985" t="s">
        <v>8951</v>
      </c>
      <c r="C3985" t="s">
        <v>8950</v>
      </c>
      <c r="D3985">
        <v>3670</v>
      </c>
    </row>
    <row r="3986" spans="1:4">
      <c r="A3986" t="s">
        <v>8952</v>
      </c>
      <c r="B3986" t="s">
        <v>8953</v>
      </c>
      <c r="C3986" t="s">
        <v>8952</v>
      </c>
      <c r="D3986">
        <v>3670</v>
      </c>
    </row>
    <row r="3987" spans="1:4">
      <c r="A3987" t="s">
        <v>8954</v>
      </c>
      <c r="B3987" t="s">
        <v>8955</v>
      </c>
      <c r="C3987" t="s">
        <v>8954</v>
      </c>
      <c r="D3987">
        <v>3669</v>
      </c>
    </row>
    <row r="3988" spans="1:4">
      <c r="A3988" t="s">
        <v>8956</v>
      </c>
      <c r="B3988" t="s">
        <v>8957</v>
      </c>
      <c r="C3988" t="s">
        <v>8956</v>
      </c>
      <c r="D3988">
        <v>3480</v>
      </c>
    </row>
    <row r="3989" spans="1:4">
      <c r="A3989" t="s">
        <v>8958</v>
      </c>
      <c r="B3989" t="s">
        <v>8959</v>
      </c>
      <c r="C3989" t="s">
        <v>8958</v>
      </c>
      <c r="D3989">
        <v>2834</v>
      </c>
    </row>
    <row r="3990" spans="1:4">
      <c r="A3990" t="s">
        <v>8960</v>
      </c>
      <c r="B3990" t="s">
        <v>8961</v>
      </c>
      <c r="C3990" t="s">
        <v>8960</v>
      </c>
      <c r="D3990">
        <v>3714</v>
      </c>
    </row>
    <row r="3991" spans="1:4">
      <c r="A3991" t="s">
        <v>8962</v>
      </c>
      <c r="B3991" t="s">
        <v>8963</v>
      </c>
      <c r="C3991" t="s">
        <v>8962</v>
      </c>
      <c r="D3991">
        <v>4911</v>
      </c>
    </row>
    <row r="3992" spans="1:4">
      <c r="A3992" t="s">
        <v>8964</v>
      </c>
      <c r="B3992" t="s">
        <v>8965</v>
      </c>
      <c r="C3992" t="s">
        <v>8964</v>
      </c>
      <c r="D3992">
        <v>2080</v>
      </c>
    </row>
    <row r="3993" spans="1:4">
      <c r="A3993" t="s">
        <v>8966</v>
      </c>
      <c r="B3993" t="s">
        <v>8967</v>
      </c>
      <c r="C3993" t="s">
        <v>8966</v>
      </c>
      <c r="D3993">
        <v>2000</v>
      </c>
    </row>
    <row r="3994" spans="1:4">
      <c r="A3994" t="s">
        <v>8968</v>
      </c>
      <c r="B3994" t="s">
        <v>8969</v>
      </c>
      <c r="C3994" t="s">
        <v>8968</v>
      </c>
      <c r="D3994">
        <v>4953</v>
      </c>
    </row>
    <row r="3995" spans="1:4">
      <c r="A3995" t="s">
        <v>8970</v>
      </c>
      <c r="B3995" t="s">
        <v>8971</v>
      </c>
      <c r="C3995" t="s">
        <v>8970</v>
      </c>
      <c r="D3995">
        <v>7381</v>
      </c>
    </row>
    <row r="3996" spans="1:4">
      <c r="A3996" t="s">
        <v>8972</v>
      </c>
      <c r="B3996" t="s">
        <v>8973</v>
      </c>
      <c r="C3996" t="s">
        <v>8972</v>
      </c>
      <c r="D3996">
        <v>3841</v>
      </c>
    </row>
    <row r="3997" spans="1:4">
      <c r="A3997" t="s">
        <v>8974</v>
      </c>
      <c r="B3997" t="s">
        <v>8975</v>
      </c>
      <c r="C3997" t="s">
        <v>8974</v>
      </c>
      <c r="D3997">
        <v>3651</v>
      </c>
    </row>
    <row r="3998" spans="1:4">
      <c r="A3998" t="s">
        <v>8976</v>
      </c>
      <c r="B3998" t="s">
        <v>8977</v>
      </c>
      <c r="C3998" t="s">
        <v>8976</v>
      </c>
      <c r="D3998">
        <v>7372</v>
      </c>
    </row>
    <row r="3999" spans="1:4">
      <c r="A3999" t="s">
        <v>8978</v>
      </c>
      <c r="B3999" t="s">
        <v>8979</v>
      </c>
      <c r="C3999" t="s">
        <v>8978</v>
      </c>
      <c r="D3999">
        <v>3790</v>
      </c>
    </row>
    <row r="4000" spans="1:4">
      <c r="A4000" t="s">
        <v>8980</v>
      </c>
      <c r="B4000" t="s">
        <v>8981</v>
      </c>
      <c r="C4000" t="s">
        <v>8980</v>
      </c>
      <c r="D4000">
        <v>4813</v>
      </c>
    </row>
    <row r="4001" spans="1:4">
      <c r="A4001" t="s">
        <v>8982</v>
      </c>
      <c r="B4001" t="s">
        <v>8983</v>
      </c>
      <c r="C4001" t="s">
        <v>8982</v>
      </c>
      <c r="D4001">
        <v>3824</v>
      </c>
    </row>
    <row r="4002" spans="1:4">
      <c r="A4002" t="s">
        <v>8984</v>
      </c>
      <c r="B4002" t="s">
        <v>8985</v>
      </c>
      <c r="C4002" t="s">
        <v>8984</v>
      </c>
      <c r="D4002">
        <v>6798</v>
      </c>
    </row>
    <row r="4003" spans="1:4">
      <c r="A4003" t="s">
        <v>8986</v>
      </c>
      <c r="B4003" t="s">
        <v>8987</v>
      </c>
      <c r="C4003" t="s">
        <v>8986</v>
      </c>
      <c r="D4003">
        <v>5065</v>
      </c>
    </row>
    <row r="4004" spans="1:4">
      <c r="A4004" t="s">
        <v>8988</v>
      </c>
      <c r="B4004" t="s">
        <v>8989</v>
      </c>
      <c r="C4004" t="s">
        <v>8988</v>
      </c>
      <c r="D4004">
        <v>6311</v>
      </c>
    </row>
    <row r="4005" spans="1:4">
      <c r="A4005" t="s">
        <v>8990</v>
      </c>
      <c r="B4005" t="s">
        <v>8991</v>
      </c>
      <c r="C4005" t="s">
        <v>8990</v>
      </c>
      <c r="D4005">
        <v>2836</v>
      </c>
    </row>
    <row r="4006" spans="1:4">
      <c r="A4006" t="s">
        <v>8992</v>
      </c>
      <c r="B4006" t="s">
        <v>8993</v>
      </c>
      <c r="C4006" t="s">
        <v>8992</v>
      </c>
      <c r="D4006">
        <v>5500</v>
      </c>
    </row>
    <row r="4007" spans="1:4">
      <c r="A4007" t="s">
        <v>8994</v>
      </c>
      <c r="B4007" t="s">
        <v>8995</v>
      </c>
      <c r="C4007" t="s">
        <v>8994</v>
      </c>
      <c r="D4007">
        <v>8711</v>
      </c>
    </row>
    <row r="4008" spans="1:4">
      <c r="A4008" t="s">
        <v>8996</v>
      </c>
      <c r="B4008" t="s">
        <v>8997</v>
      </c>
      <c r="C4008" t="s">
        <v>8996</v>
      </c>
      <c r="D4008">
        <v>2834</v>
      </c>
    </row>
    <row r="4009" spans="1:4">
      <c r="A4009" t="s">
        <v>8998</v>
      </c>
      <c r="B4009" t="s">
        <v>8999</v>
      </c>
      <c r="C4009" t="s">
        <v>8998</v>
      </c>
      <c r="D4009">
        <v>1400</v>
      </c>
    </row>
    <row r="4010" spans="1:4">
      <c r="A4010" t="s">
        <v>9000</v>
      </c>
      <c r="B4010" t="s">
        <v>9001</v>
      </c>
      <c r="C4010" t="s">
        <v>9000</v>
      </c>
      <c r="D4010">
        <v>3663</v>
      </c>
    </row>
    <row r="4011" spans="1:4">
      <c r="A4011" t="s">
        <v>9002</v>
      </c>
      <c r="B4011" t="s">
        <v>9003</v>
      </c>
      <c r="C4011" t="s">
        <v>9002</v>
      </c>
      <c r="D4011">
        <v>2834</v>
      </c>
    </row>
    <row r="4012" spans="1:4">
      <c r="A4012" t="s">
        <v>9004</v>
      </c>
      <c r="B4012" t="s">
        <v>9005</v>
      </c>
      <c r="C4012" t="s">
        <v>9004</v>
      </c>
      <c r="D4012">
        <v>1311</v>
      </c>
    </row>
    <row r="4013" spans="1:4">
      <c r="A4013" t="s">
        <v>9006</v>
      </c>
      <c r="B4013" t="s">
        <v>9007</v>
      </c>
      <c r="C4013" t="s">
        <v>9006</v>
      </c>
      <c r="D4013">
        <v>6798</v>
      </c>
    </row>
    <row r="4014" spans="1:4">
      <c r="A4014" t="s">
        <v>9008</v>
      </c>
      <c r="B4014" t="s">
        <v>9009</v>
      </c>
      <c r="C4014" t="s">
        <v>9008</v>
      </c>
      <c r="D4014">
        <v>5000</v>
      </c>
    </row>
    <row r="4015" spans="1:4">
      <c r="A4015" t="s">
        <v>9010</v>
      </c>
      <c r="B4015" t="s">
        <v>9011</v>
      </c>
      <c r="C4015" t="s">
        <v>9010</v>
      </c>
      <c r="D4015">
        <v>3715</v>
      </c>
    </row>
    <row r="4016" spans="1:4">
      <c r="A4016" t="s">
        <v>9012</v>
      </c>
      <c r="B4016" t="s">
        <v>9013</v>
      </c>
      <c r="C4016" t="s">
        <v>9012</v>
      </c>
      <c r="D4016">
        <v>8200</v>
      </c>
    </row>
    <row r="4017" spans="1:4">
      <c r="A4017" t="s">
        <v>9014</v>
      </c>
      <c r="B4017" t="s">
        <v>9015</v>
      </c>
      <c r="C4017" t="s">
        <v>9014</v>
      </c>
      <c r="D4017">
        <v>7389</v>
      </c>
    </row>
    <row r="4018" spans="1:4">
      <c r="A4018" t="s">
        <v>9016</v>
      </c>
      <c r="B4018" t="s">
        <v>9017</v>
      </c>
      <c r="C4018" t="s">
        <v>9016</v>
      </c>
      <c r="D4018">
        <v>5912</v>
      </c>
    </row>
    <row r="4019" spans="1:4">
      <c r="A4019" t="s">
        <v>9018</v>
      </c>
      <c r="B4019" t="s">
        <v>9019</v>
      </c>
      <c r="C4019" t="s">
        <v>9018</v>
      </c>
      <c r="D4019">
        <v>6199</v>
      </c>
    </row>
    <row r="4020" spans="1:4">
      <c r="A4020" t="s">
        <v>9020</v>
      </c>
      <c r="B4020" t="s">
        <v>9021</v>
      </c>
      <c r="C4020" t="s">
        <v>9020</v>
      </c>
      <c r="D4020">
        <v>7372</v>
      </c>
    </row>
    <row r="4021" spans="1:4">
      <c r="A4021" t="s">
        <v>9022</v>
      </c>
      <c r="B4021" t="s">
        <v>496</v>
      </c>
      <c r="C4021" t="s">
        <v>9022</v>
      </c>
      <c r="D4021">
        <v>5331</v>
      </c>
    </row>
    <row r="4022" spans="1:4">
      <c r="A4022" t="s">
        <v>9023</v>
      </c>
      <c r="B4022" t="s">
        <v>9024</v>
      </c>
      <c r="C4022" t="s">
        <v>9023</v>
      </c>
      <c r="D4022">
        <v>7990</v>
      </c>
    </row>
    <row r="4023" spans="1:4">
      <c r="A4023" t="s">
        <v>9025</v>
      </c>
      <c r="B4023" t="s">
        <v>9026</v>
      </c>
      <c r="C4023" t="s">
        <v>9025</v>
      </c>
      <c r="D4023">
        <v>3851</v>
      </c>
    </row>
    <row r="4024" spans="1:4">
      <c r="A4024" t="s">
        <v>9027</v>
      </c>
      <c r="B4024" t="s">
        <v>9028</v>
      </c>
      <c r="C4024" t="s">
        <v>9027</v>
      </c>
      <c r="D4024">
        <v>7900</v>
      </c>
    </row>
    <row r="4025" spans="1:4">
      <c r="A4025" t="s">
        <v>9029</v>
      </c>
      <c r="B4025" t="s">
        <v>9030</v>
      </c>
      <c r="C4025" t="s">
        <v>9029</v>
      </c>
      <c r="D4025">
        <v>1220</v>
      </c>
    </row>
    <row r="4026" spans="1:4">
      <c r="A4026" t="s">
        <v>9031</v>
      </c>
      <c r="B4026" t="s">
        <v>9032</v>
      </c>
      <c r="C4026" t="s">
        <v>9031</v>
      </c>
      <c r="D4026">
        <v>6021</v>
      </c>
    </row>
    <row r="4027" spans="1:4">
      <c r="A4027" t="s">
        <v>9033</v>
      </c>
      <c r="B4027" t="s">
        <v>9034</v>
      </c>
      <c r="C4027" t="s">
        <v>9033</v>
      </c>
      <c r="D4027">
        <v>6798</v>
      </c>
    </row>
    <row r="4028" spans="1:4">
      <c r="A4028" t="s">
        <v>9035</v>
      </c>
      <c r="B4028" t="s">
        <v>9036</v>
      </c>
      <c r="C4028" t="s">
        <v>9035</v>
      </c>
      <c r="D4028">
        <v>6022</v>
      </c>
    </row>
    <row r="4029" spans="1:4">
      <c r="A4029" t="s">
        <v>9037</v>
      </c>
      <c r="B4029" t="s">
        <v>9038</v>
      </c>
      <c r="C4029" t="s">
        <v>9037</v>
      </c>
      <c r="D4029">
        <v>4953</v>
      </c>
    </row>
    <row r="4030" spans="1:4">
      <c r="A4030" t="s">
        <v>9039</v>
      </c>
      <c r="B4030" t="s">
        <v>9040</v>
      </c>
      <c r="C4030" t="s">
        <v>9039</v>
      </c>
      <c r="D4030">
        <v>4953</v>
      </c>
    </row>
    <row r="4031" spans="1:4">
      <c r="A4031" t="s">
        <v>9041</v>
      </c>
      <c r="B4031" t="s">
        <v>9042</v>
      </c>
      <c r="C4031" t="s">
        <v>9041</v>
      </c>
      <c r="D4031">
        <v>6798</v>
      </c>
    </row>
    <row r="4032" spans="1:4">
      <c r="A4032" t="s">
        <v>9043</v>
      </c>
      <c r="B4032" t="s">
        <v>9044</v>
      </c>
      <c r="C4032" t="s">
        <v>9043</v>
      </c>
      <c r="D4032">
        <v>3826</v>
      </c>
    </row>
    <row r="4033" spans="1:4">
      <c r="A4033" t="s">
        <v>9045</v>
      </c>
      <c r="B4033" t="s">
        <v>9046</v>
      </c>
      <c r="C4033" t="s">
        <v>9045</v>
      </c>
      <c r="D4033">
        <v>6035</v>
      </c>
    </row>
    <row r="4034" spans="1:4">
      <c r="A4034" t="s">
        <v>9047</v>
      </c>
      <c r="B4034" t="s">
        <v>9048</v>
      </c>
      <c r="C4034" t="s">
        <v>9047</v>
      </c>
      <c r="D4034">
        <v>5070</v>
      </c>
    </row>
    <row r="4035" spans="1:4">
      <c r="A4035" t="s">
        <v>9049</v>
      </c>
      <c r="B4035" t="s">
        <v>9050</v>
      </c>
      <c r="C4035" t="s">
        <v>9049</v>
      </c>
      <c r="D4035">
        <v>3490</v>
      </c>
    </row>
    <row r="4036" spans="1:4">
      <c r="A4036" t="s">
        <v>9051</v>
      </c>
      <c r="B4036" t="s">
        <v>9052</v>
      </c>
      <c r="C4036" t="s">
        <v>9051</v>
      </c>
      <c r="D4036">
        <v>2834</v>
      </c>
    </row>
    <row r="4037" spans="1:4">
      <c r="A4037" t="s">
        <v>9053</v>
      </c>
      <c r="B4037" t="s">
        <v>9054</v>
      </c>
      <c r="C4037" t="s">
        <v>9053</v>
      </c>
      <c r="D4037">
        <v>5961</v>
      </c>
    </row>
    <row r="4038" spans="1:4">
      <c r="A4038" t="s">
        <v>9055</v>
      </c>
      <c r="B4038" t="s">
        <v>9056</v>
      </c>
      <c r="C4038" t="s">
        <v>9055</v>
      </c>
      <c r="D4038">
        <v>5045</v>
      </c>
    </row>
    <row r="4039" spans="1:4">
      <c r="A4039" t="s">
        <v>9057</v>
      </c>
      <c r="B4039" t="s">
        <v>9058</v>
      </c>
      <c r="C4039" t="s">
        <v>9057</v>
      </c>
      <c r="D4039">
        <v>2890</v>
      </c>
    </row>
    <row r="4040" spans="1:4">
      <c r="A4040" t="s">
        <v>9059</v>
      </c>
      <c r="B4040" t="s">
        <v>9060</v>
      </c>
      <c r="C4040" t="s">
        <v>9059</v>
      </c>
      <c r="D4040">
        <v>3533</v>
      </c>
    </row>
    <row r="4041" spans="1:4">
      <c r="A4041" t="s">
        <v>9061</v>
      </c>
      <c r="B4041" t="s">
        <v>9062</v>
      </c>
      <c r="C4041" t="s">
        <v>9061</v>
      </c>
      <c r="D4041">
        <v>7372</v>
      </c>
    </row>
    <row r="4042" spans="1:4">
      <c r="A4042" t="s">
        <v>9063</v>
      </c>
      <c r="B4042" t="s">
        <v>9064</v>
      </c>
      <c r="C4042" t="s">
        <v>9063</v>
      </c>
      <c r="D4042">
        <v>3630</v>
      </c>
    </row>
    <row r="4043" spans="1:4">
      <c r="A4043" t="s">
        <v>9065</v>
      </c>
      <c r="B4043" t="s">
        <v>9066</v>
      </c>
      <c r="C4043" t="s">
        <v>9065</v>
      </c>
      <c r="D4043">
        <v>6021</v>
      </c>
    </row>
    <row r="4044" spans="1:4">
      <c r="A4044" t="s">
        <v>9067</v>
      </c>
      <c r="B4044" t="s">
        <v>9068</v>
      </c>
      <c r="C4044" t="s">
        <v>9067</v>
      </c>
      <c r="D4044">
        <v>4931</v>
      </c>
    </row>
    <row r="4045" spans="1:4">
      <c r="A4045" t="s">
        <v>9069</v>
      </c>
      <c r="B4045" t="s">
        <v>9070</v>
      </c>
      <c r="C4045" t="s">
        <v>9069</v>
      </c>
      <c r="D4045">
        <v>7370</v>
      </c>
    </row>
    <row r="4046" spans="1:4">
      <c r="A4046" t="s">
        <v>9071</v>
      </c>
      <c r="B4046" t="s">
        <v>9072</v>
      </c>
      <c r="C4046" t="s">
        <v>9071</v>
      </c>
      <c r="D4046">
        <v>5411</v>
      </c>
    </row>
    <row r="4047" spans="1:4">
      <c r="A4047" t="s">
        <v>9073</v>
      </c>
      <c r="B4047" t="s">
        <v>9074</v>
      </c>
      <c r="C4047" t="s">
        <v>9073</v>
      </c>
      <c r="D4047">
        <v>7374</v>
      </c>
    </row>
    <row r="4048" spans="1:4">
      <c r="A4048" t="s">
        <v>9075</v>
      </c>
      <c r="B4048" t="s">
        <v>9076</v>
      </c>
      <c r="C4048" t="s">
        <v>9075</v>
      </c>
      <c r="D4048">
        <v>3580</v>
      </c>
    </row>
    <row r="4049" spans="1:4">
      <c r="A4049" t="s">
        <v>9077</v>
      </c>
      <c r="B4049" t="s">
        <v>9078</v>
      </c>
      <c r="C4049" t="s">
        <v>9077</v>
      </c>
      <c r="D4049">
        <v>6021</v>
      </c>
    </row>
    <row r="4050" spans="1:4">
      <c r="A4050" t="s">
        <v>9079</v>
      </c>
      <c r="B4050" t="s">
        <v>9080</v>
      </c>
      <c r="C4050" t="s">
        <v>9079</v>
      </c>
      <c r="D4050">
        <v>6798</v>
      </c>
    </row>
    <row r="4051" spans="1:4">
      <c r="A4051" t="s">
        <v>9081</v>
      </c>
      <c r="B4051" t="s">
        <v>9082</v>
      </c>
      <c r="C4051" t="s">
        <v>9081</v>
      </c>
      <c r="D4051">
        <v>5810</v>
      </c>
    </row>
    <row r="4052" spans="1:4">
      <c r="A4052" t="s">
        <v>9083</v>
      </c>
      <c r="B4052" t="s">
        <v>9084</v>
      </c>
      <c r="C4052" t="s">
        <v>9083</v>
      </c>
      <c r="D4052">
        <v>4213</v>
      </c>
    </row>
    <row r="4053" spans="1:4">
      <c r="A4053" t="s">
        <v>9085</v>
      </c>
      <c r="B4053" t="s">
        <v>9086</v>
      </c>
      <c r="C4053" t="s">
        <v>9085</v>
      </c>
      <c r="D4053">
        <v>6021</v>
      </c>
    </row>
    <row r="4054" spans="1:4">
      <c r="A4054" t="s">
        <v>9087</v>
      </c>
      <c r="B4054" t="s">
        <v>9088</v>
      </c>
      <c r="C4054" t="s">
        <v>9087</v>
      </c>
      <c r="D4054">
        <v>5063</v>
      </c>
    </row>
    <row r="4055" spans="1:4">
      <c r="A4055" t="s">
        <v>9089</v>
      </c>
      <c r="B4055" t="s">
        <v>9090</v>
      </c>
      <c r="C4055" t="s">
        <v>9089</v>
      </c>
      <c r="D4055">
        <v>6022</v>
      </c>
    </row>
    <row r="4056" spans="1:4">
      <c r="A4056" t="s">
        <v>9091</v>
      </c>
      <c r="B4056" t="s">
        <v>9092</v>
      </c>
      <c r="C4056" t="s">
        <v>9091</v>
      </c>
      <c r="D4056">
        <v>3060</v>
      </c>
    </row>
    <row r="4057" spans="1:4">
      <c r="A4057" t="s">
        <v>9093</v>
      </c>
      <c r="B4057" t="s">
        <v>9094</v>
      </c>
      <c r="C4057" t="s">
        <v>9093</v>
      </c>
      <c r="D4057">
        <v>6021</v>
      </c>
    </row>
    <row r="4058" spans="1:4">
      <c r="A4058" t="s">
        <v>9095</v>
      </c>
      <c r="B4058" t="s">
        <v>9096</v>
      </c>
      <c r="C4058" t="s">
        <v>9095</v>
      </c>
      <c r="D4058">
        <v>6022</v>
      </c>
    </row>
    <row r="4059" spans="1:4">
      <c r="A4059" t="s">
        <v>9097</v>
      </c>
      <c r="B4059" t="s">
        <v>9098</v>
      </c>
      <c r="C4059" t="s">
        <v>9097</v>
      </c>
      <c r="D4059">
        <v>6798</v>
      </c>
    </row>
    <row r="4060" spans="1:4">
      <c r="A4060" t="s">
        <v>9099</v>
      </c>
      <c r="B4060" t="s">
        <v>9100</v>
      </c>
      <c r="C4060" t="s">
        <v>9099</v>
      </c>
      <c r="D4060">
        <v>5900</v>
      </c>
    </row>
    <row r="4061" spans="1:4">
      <c r="A4061" t="s">
        <v>9101</v>
      </c>
      <c r="B4061" t="s">
        <v>9102</v>
      </c>
      <c r="C4061" t="s">
        <v>9101</v>
      </c>
      <c r="D4061">
        <v>3572</v>
      </c>
    </row>
    <row r="4062" spans="1:4">
      <c r="A4062" t="s">
        <v>9103</v>
      </c>
      <c r="B4062" t="s">
        <v>9104</v>
      </c>
      <c r="C4062" t="s">
        <v>9103</v>
      </c>
      <c r="D4062">
        <v>4922</v>
      </c>
    </row>
    <row r="4063" spans="1:4">
      <c r="A4063" t="s">
        <v>9105</v>
      </c>
      <c r="B4063" t="s">
        <v>9106</v>
      </c>
      <c r="C4063" t="s">
        <v>9105</v>
      </c>
      <c r="D4063">
        <v>6035</v>
      </c>
    </row>
    <row r="4064" spans="1:4">
      <c r="A4064" t="s">
        <v>9107</v>
      </c>
      <c r="B4064" t="s">
        <v>9108</v>
      </c>
      <c r="C4064" t="s">
        <v>9107</v>
      </c>
      <c r="D4064">
        <v>7389</v>
      </c>
    </row>
    <row r="4065" spans="1:4">
      <c r="A4065" t="s">
        <v>9109</v>
      </c>
      <c r="B4065" t="s">
        <v>9110</v>
      </c>
      <c r="C4065" t="s">
        <v>9109</v>
      </c>
      <c r="D4065">
        <v>1090</v>
      </c>
    </row>
    <row r="4066" spans="1:4">
      <c r="A4066" t="s">
        <v>9111</v>
      </c>
      <c r="B4066" t="s">
        <v>9112</v>
      </c>
      <c r="C4066" t="s">
        <v>9111</v>
      </c>
      <c r="D4066">
        <v>3743</v>
      </c>
    </row>
    <row r="4067" spans="1:4">
      <c r="A4067" t="s">
        <v>9113</v>
      </c>
      <c r="B4067" t="s">
        <v>9114</v>
      </c>
      <c r="C4067" t="s">
        <v>9113</v>
      </c>
      <c r="D4067">
        <v>2860</v>
      </c>
    </row>
    <row r="4068" spans="1:4">
      <c r="A4068" t="s">
        <v>9115</v>
      </c>
      <c r="B4068" t="s">
        <v>9116</v>
      </c>
      <c r="C4068" t="s">
        <v>9115</v>
      </c>
      <c r="D4068">
        <v>2860</v>
      </c>
    </row>
    <row r="4069" spans="1:4">
      <c r="A4069" t="s">
        <v>9117</v>
      </c>
      <c r="B4069" t="s">
        <v>9118</v>
      </c>
      <c r="C4069" t="s">
        <v>9117</v>
      </c>
      <c r="D4069">
        <v>3510</v>
      </c>
    </row>
    <row r="4070" spans="1:4">
      <c r="A4070" t="s">
        <v>9119</v>
      </c>
      <c r="B4070" t="s">
        <v>9120</v>
      </c>
      <c r="C4070" t="s">
        <v>9119</v>
      </c>
      <c r="D4070">
        <v>2650</v>
      </c>
    </row>
    <row r="4071" spans="1:4">
      <c r="A4071" t="s">
        <v>9121</v>
      </c>
      <c r="B4071" t="s">
        <v>9122</v>
      </c>
      <c r="C4071" t="s">
        <v>9121</v>
      </c>
      <c r="D4071">
        <v>6282</v>
      </c>
    </row>
    <row r="4072" spans="1:4">
      <c r="A4072" t="s">
        <v>9123</v>
      </c>
      <c r="B4072" t="s">
        <v>9124</v>
      </c>
      <c r="C4072" t="s">
        <v>9123</v>
      </c>
      <c r="D4072">
        <v>7374</v>
      </c>
    </row>
    <row r="4073" spans="1:4">
      <c r="A4073" t="s">
        <v>9125</v>
      </c>
      <c r="B4073" t="s">
        <v>9126</v>
      </c>
      <c r="C4073" t="s">
        <v>9125</v>
      </c>
      <c r="D4073">
        <v>6770</v>
      </c>
    </row>
    <row r="4074" spans="1:4">
      <c r="A4074" t="s">
        <v>9127</v>
      </c>
      <c r="B4074" t="s">
        <v>9128</v>
      </c>
      <c r="C4074" t="s">
        <v>9127</v>
      </c>
      <c r="D4074">
        <v>7389</v>
      </c>
    </row>
    <row r="4075" spans="1:4">
      <c r="A4075" t="s">
        <v>9129</v>
      </c>
      <c r="B4075" t="s">
        <v>9130</v>
      </c>
      <c r="C4075" t="s">
        <v>9129</v>
      </c>
      <c r="D4075">
        <v>5130</v>
      </c>
    </row>
    <row r="4076" spans="1:4">
      <c r="A4076" t="s">
        <v>9131</v>
      </c>
      <c r="B4076" t="s">
        <v>9132</v>
      </c>
      <c r="C4076" t="s">
        <v>9131</v>
      </c>
      <c r="D4076">
        <v>6798</v>
      </c>
    </row>
    <row r="4077" spans="1:4">
      <c r="A4077" t="s">
        <v>9133</v>
      </c>
      <c r="B4077" t="s">
        <v>9134</v>
      </c>
      <c r="C4077" t="s">
        <v>9133</v>
      </c>
      <c r="D4077">
        <v>6798</v>
      </c>
    </row>
    <row r="4078" spans="1:4">
      <c r="A4078" t="s">
        <v>9135</v>
      </c>
      <c r="B4078" t="s">
        <v>9136</v>
      </c>
      <c r="C4078" t="s">
        <v>9135</v>
      </c>
      <c r="D4078">
        <v>4522</v>
      </c>
    </row>
    <row r="4079" spans="1:4">
      <c r="A4079" t="s">
        <v>9137</v>
      </c>
      <c r="B4079" t="s">
        <v>9138</v>
      </c>
      <c r="C4079" t="s">
        <v>9137</v>
      </c>
      <c r="D4079">
        <v>7372</v>
      </c>
    </row>
    <row r="4080" spans="1:4">
      <c r="A4080" t="s">
        <v>9139</v>
      </c>
      <c r="B4080" t="s">
        <v>9140</v>
      </c>
      <c r="C4080" t="s">
        <v>9139</v>
      </c>
      <c r="D4080">
        <v>3630</v>
      </c>
    </row>
    <row r="4081" spans="1:4">
      <c r="A4081" t="s">
        <v>9141</v>
      </c>
      <c r="B4081" t="s">
        <v>9142</v>
      </c>
      <c r="C4081" t="s">
        <v>9141</v>
      </c>
      <c r="D4081">
        <v>6331</v>
      </c>
    </row>
    <row r="4082" spans="1:4">
      <c r="A4082" t="s">
        <v>9143</v>
      </c>
      <c r="B4082" t="s">
        <v>9144</v>
      </c>
      <c r="C4082" t="s">
        <v>9143</v>
      </c>
      <c r="D4082">
        <v>6798</v>
      </c>
    </row>
    <row r="4083" spans="1:4">
      <c r="A4083" t="s">
        <v>9145</v>
      </c>
      <c r="B4083" t="s">
        <v>9146</v>
      </c>
      <c r="C4083" t="s">
        <v>9145</v>
      </c>
      <c r="D4083">
        <v>4841</v>
      </c>
    </row>
    <row r="4084" spans="1:4">
      <c r="A4084" t="s">
        <v>9147</v>
      </c>
      <c r="B4084" t="s">
        <v>9148</v>
      </c>
      <c r="C4084" t="s">
        <v>9147</v>
      </c>
      <c r="D4084">
        <v>7373</v>
      </c>
    </row>
    <row r="4085" spans="1:4">
      <c r="A4085" t="s">
        <v>9149</v>
      </c>
      <c r="B4085" t="s">
        <v>9150</v>
      </c>
      <c r="C4085" t="s">
        <v>9149</v>
      </c>
      <c r="D4085">
        <v>8742</v>
      </c>
    </row>
    <row r="4086" spans="1:4">
      <c r="A4086" t="s">
        <v>9151</v>
      </c>
      <c r="B4086" t="s">
        <v>9152</v>
      </c>
      <c r="C4086" t="s">
        <v>9151</v>
      </c>
      <c r="D4086">
        <v>2080</v>
      </c>
    </row>
    <row r="4087" spans="1:4">
      <c r="A4087" t="s">
        <v>9153</v>
      </c>
      <c r="B4087" t="s">
        <v>9154</v>
      </c>
      <c r="C4087" t="s">
        <v>9153</v>
      </c>
      <c r="D4087">
        <v>8711</v>
      </c>
    </row>
    <row r="4088" spans="1:4">
      <c r="A4088" t="s">
        <v>9155</v>
      </c>
      <c r="B4088" t="s">
        <v>9156</v>
      </c>
      <c r="C4088" t="s">
        <v>9155</v>
      </c>
      <c r="D4088">
        <v>6036</v>
      </c>
    </row>
    <row r="4089" spans="1:4">
      <c r="A4089" t="s">
        <v>9157</v>
      </c>
      <c r="B4089" t="s">
        <v>9158</v>
      </c>
      <c r="C4089" t="s">
        <v>9157</v>
      </c>
      <c r="D4089">
        <v>4922</v>
      </c>
    </row>
    <row r="4090" spans="1:4">
      <c r="A4090" t="s">
        <v>9159</v>
      </c>
      <c r="B4090" t="s">
        <v>9160</v>
      </c>
      <c r="C4090" t="s">
        <v>9159</v>
      </c>
      <c r="D4090">
        <v>1600</v>
      </c>
    </row>
    <row r="4091" spans="1:4">
      <c r="A4091" t="s">
        <v>9161</v>
      </c>
      <c r="B4091" t="s">
        <v>9162</v>
      </c>
      <c r="C4091" t="s">
        <v>9161</v>
      </c>
      <c r="D4091">
        <v>5700</v>
      </c>
    </row>
    <row r="4092" spans="1:4">
      <c r="A4092" t="s">
        <v>9163</v>
      </c>
      <c r="B4092" t="s">
        <v>9164</v>
      </c>
      <c r="C4092" t="s">
        <v>9163</v>
      </c>
      <c r="D4092">
        <v>5080</v>
      </c>
    </row>
    <row r="4093" spans="1:4">
      <c r="A4093" t="s">
        <v>9165</v>
      </c>
      <c r="B4093" t="s">
        <v>9166</v>
      </c>
      <c r="C4093" t="s">
        <v>9165</v>
      </c>
      <c r="D4093">
        <v>7350</v>
      </c>
    </row>
    <row r="4094" spans="1:4">
      <c r="A4094" t="s">
        <v>9167</v>
      </c>
      <c r="B4094" t="s">
        <v>9168</v>
      </c>
      <c r="C4094" t="s">
        <v>9167</v>
      </c>
      <c r="D4094">
        <v>7372</v>
      </c>
    </row>
    <row r="4095" spans="1:4">
      <c r="A4095" t="s">
        <v>9169</v>
      </c>
      <c r="B4095" t="s">
        <v>9170</v>
      </c>
      <c r="C4095" t="s">
        <v>9169</v>
      </c>
      <c r="D4095">
        <v>5900</v>
      </c>
    </row>
    <row r="4096" spans="1:4">
      <c r="A4096" t="s">
        <v>9171</v>
      </c>
      <c r="B4096" t="s">
        <v>9172</v>
      </c>
      <c r="C4096" t="s">
        <v>9171</v>
      </c>
      <c r="D4096">
        <v>5812</v>
      </c>
    </row>
    <row r="4097" spans="1:4">
      <c r="A4097" t="s">
        <v>9173</v>
      </c>
      <c r="B4097" t="s">
        <v>9174</v>
      </c>
      <c r="C4097" t="s">
        <v>9173</v>
      </c>
      <c r="D4097">
        <v>5900</v>
      </c>
    </row>
    <row r="4098" spans="1:4">
      <c r="A4098" t="s">
        <v>9175</v>
      </c>
      <c r="B4098" t="s">
        <v>9176</v>
      </c>
      <c r="C4098" t="s">
        <v>9175</v>
      </c>
      <c r="D4098">
        <v>3716</v>
      </c>
    </row>
    <row r="4099" spans="1:4">
      <c r="A4099" t="s">
        <v>9177</v>
      </c>
      <c r="B4099" t="s">
        <v>9178</v>
      </c>
      <c r="C4099" t="s">
        <v>9177</v>
      </c>
      <c r="D4099">
        <v>6022</v>
      </c>
    </row>
    <row r="4100" spans="1:4">
      <c r="A4100" t="s">
        <v>9179</v>
      </c>
      <c r="B4100" t="s">
        <v>9180</v>
      </c>
      <c r="C4100" t="s">
        <v>9179</v>
      </c>
      <c r="D4100">
        <v>3669</v>
      </c>
    </row>
    <row r="4101" spans="1:4">
      <c r="A4101" t="s">
        <v>9181</v>
      </c>
      <c r="B4101" t="s">
        <v>9182</v>
      </c>
      <c r="C4101" t="s">
        <v>9181</v>
      </c>
      <c r="D4101">
        <v>7374</v>
      </c>
    </row>
    <row r="4102" spans="1:4">
      <c r="A4102" t="s">
        <v>9183</v>
      </c>
      <c r="B4102" t="s">
        <v>9184</v>
      </c>
      <c r="C4102" t="s">
        <v>9183</v>
      </c>
      <c r="D4102">
        <v>7370</v>
      </c>
    </row>
    <row r="4103" spans="1:4">
      <c r="A4103" t="s">
        <v>9185</v>
      </c>
      <c r="B4103" t="s">
        <v>9186</v>
      </c>
      <c r="C4103" t="s">
        <v>9185</v>
      </c>
      <c r="D4103">
        <v>7372</v>
      </c>
    </row>
    <row r="4104" spans="1:4">
      <c r="A4104" t="s">
        <v>9187</v>
      </c>
      <c r="B4104" t="s">
        <v>9188</v>
      </c>
      <c r="C4104" t="s">
        <v>9187</v>
      </c>
      <c r="D4104">
        <v>3140</v>
      </c>
    </row>
    <row r="4105" spans="1:4">
      <c r="A4105" t="s">
        <v>9189</v>
      </c>
      <c r="B4105" t="s">
        <v>9190</v>
      </c>
      <c r="C4105" t="s">
        <v>9189</v>
      </c>
      <c r="D4105">
        <v>3620</v>
      </c>
    </row>
    <row r="4106" spans="1:4">
      <c r="A4106" t="s">
        <v>9191</v>
      </c>
      <c r="B4106" t="s">
        <v>9192</v>
      </c>
      <c r="C4106" t="s">
        <v>9191</v>
      </c>
      <c r="D4106">
        <v>7374</v>
      </c>
    </row>
    <row r="4107" spans="1:4">
      <c r="A4107" t="s">
        <v>9193</v>
      </c>
      <c r="B4107" t="s">
        <v>9194</v>
      </c>
      <c r="C4107" t="s">
        <v>9193</v>
      </c>
      <c r="D4107">
        <v>3711</v>
      </c>
    </row>
    <row r="4108" spans="1:4">
      <c r="A4108" t="s">
        <v>9195</v>
      </c>
      <c r="B4108" t="s">
        <v>9196</v>
      </c>
      <c r="C4108" t="s">
        <v>9195</v>
      </c>
      <c r="D4108">
        <v>7372</v>
      </c>
    </row>
    <row r="4109" spans="1:4">
      <c r="A4109" t="s">
        <v>9197</v>
      </c>
      <c r="B4109" t="s">
        <v>9198</v>
      </c>
      <c r="C4109" t="s">
        <v>9197</v>
      </c>
      <c r="D4109">
        <v>6141</v>
      </c>
    </row>
    <row r="4110" spans="1:4">
      <c r="A4110" t="s">
        <v>9199</v>
      </c>
      <c r="B4110" t="s">
        <v>9200</v>
      </c>
      <c r="C4110" t="s">
        <v>9199</v>
      </c>
      <c r="D4110">
        <v>5172</v>
      </c>
    </row>
    <row r="4111" spans="1:4">
      <c r="A4111" t="s">
        <v>9201</v>
      </c>
      <c r="B4111" t="s">
        <v>9202</v>
      </c>
      <c r="C4111" t="s">
        <v>9201</v>
      </c>
      <c r="D4111">
        <v>7812</v>
      </c>
    </row>
    <row r="4112" spans="1:4">
      <c r="A4112" t="s">
        <v>9203</v>
      </c>
      <c r="B4112" t="s">
        <v>9204</v>
      </c>
      <c r="C4112" t="s">
        <v>9203</v>
      </c>
      <c r="D4112">
        <v>3310</v>
      </c>
    </row>
    <row r="4113" spans="1:4">
      <c r="A4113" t="s">
        <v>9205</v>
      </c>
      <c r="B4113" t="s">
        <v>9206</v>
      </c>
      <c r="C4113" t="s">
        <v>9205</v>
      </c>
      <c r="D4113">
        <v>3480</v>
      </c>
    </row>
    <row r="4114" spans="1:4">
      <c r="A4114" t="s">
        <v>9207</v>
      </c>
      <c r="B4114" t="s">
        <v>9208</v>
      </c>
      <c r="C4114" t="s">
        <v>9207</v>
      </c>
      <c r="D4114">
        <v>6021</v>
      </c>
    </row>
    <row r="4115" spans="1:4">
      <c r="A4115" t="s">
        <v>9209</v>
      </c>
      <c r="B4115" t="s">
        <v>9210</v>
      </c>
      <c r="C4115" t="s">
        <v>9209</v>
      </c>
      <c r="D4115">
        <v>7200</v>
      </c>
    </row>
    <row r="4116" spans="1:4">
      <c r="A4116" t="s">
        <v>9211</v>
      </c>
      <c r="B4116" t="s">
        <v>9212</v>
      </c>
      <c r="C4116" t="s">
        <v>9211</v>
      </c>
      <c r="D4116">
        <v>7011</v>
      </c>
    </row>
    <row r="4117" spans="1:4">
      <c r="A4117" t="s">
        <v>9213</v>
      </c>
      <c r="B4117" t="s">
        <v>9214</v>
      </c>
      <c r="C4117" t="s">
        <v>9213</v>
      </c>
      <c r="D4117">
        <v>7011</v>
      </c>
    </row>
    <row r="4118" spans="1:4">
      <c r="A4118" t="s">
        <v>9215</v>
      </c>
      <c r="B4118" t="s">
        <v>9216</v>
      </c>
      <c r="C4118" t="s">
        <v>9215</v>
      </c>
      <c r="D4118">
        <v>6199</v>
      </c>
    </row>
    <row r="4119" spans="1:4">
      <c r="A4119" t="s">
        <v>9217</v>
      </c>
      <c r="B4119" t="s">
        <v>9218</v>
      </c>
      <c r="C4119" t="s">
        <v>9217</v>
      </c>
      <c r="D4119">
        <v>2834</v>
      </c>
    </row>
    <row r="4120" spans="1:4">
      <c r="A4120" t="s">
        <v>9219</v>
      </c>
      <c r="B4120" t="s">
        <v>9220</v>
      </c>
      <c r="C4120" t="s">
        <v>9219</v>
      </c>
      <c r="D4120">
        <v>6794</v>
      </c>
    </row>
    <row r="4121" spans="1:4">
      <c r="A4121" t="s">
        <v>9221</v>
      </c>
      <c r="B4121" t="s">
        <v>9222</v>
      </c>
      <c r="C4121" t="s">
        <v>9221</v>
      </c>
      <c r="D4121">
        <v>4931</v>
      </c>
    </row>
    <row r="4122" spans="1:4">
      <c r="A4122" t="s">
        <v>9223</v>
      </c>
      <c r="B4122" t="s">
        <v>9224</v>
      </c>
      <c r="C4122" t="s">
        <v>9223</v>
      </c>
      <c r="D4122">
        <v>2834</v>
      </c>
    </row>
    <row r="4123" spans="1:4">
      <c r="A4123" t="s">
        <v>9225</v>
      </c>
      <c r="B4123" t="s">
        <v>9226</v>
      </c>
      <c r="C4123" t="s">
        <v>9225</v>
      </c>
      <c r="D4123">
        <v>7011</v>
      </c>
    </row>
    <row r="4124" spans="1:4">
      <c r="A4124" t="s">
        <v>9227</v>
      </c>
      <c r="B4124" t="s">
        <v>9228</v>
      </c>
      <c r="C4124" t="s">
        <v>9227</v>
      </c>
      <c r="D4124">
        <v>2834</v>
      </c>
    </row>
    <row r="4125" spans="1:4">
      <c r="A4125" t="s">
        <v>9229</v>
      </c>
      <c r="B4125" t="s">
        <v>9230</v>
      </c>
      <c r="C4125" t="s">
        <v>9229</v>
      </c>
      <c r="D4125">
        <v>2834</v>
      </c>
    </row>
    <row r="4126" spans="1:4">
      <c r="A4126" t="s">
        <v>9231</v>
      </c>
      <c r="B4126" t="s">
        <v>9232</v>
      </c>
      <c r="C4126" t="s">
        <v>9231</v>
      </c>
      <c r="D4126">
        <v>3577</v>
      </c>
    </row>
    <row r="4127" spans="1:4">
      <c r="A4127" t="s">
        <v>9233</v>
      </c>
      <c r="B4127" t="s">
        <v>9234</v>
      </c>
      <c r="C4127" t="s">
        <v>9233</v>
      </c>
      <c r="D4127">
        <v>6172</v>
      </c>
    </row>
    <row r="4128" spans="1:4">
      <c r="A4128" t="s">
        <v>9235</v>
      </c>
      <c r="B4128" t="s">
        <v>9236</v>
      </c>
      <c r="C4128" t="s">
        <v>9235</v>
      </c>
      <c r="D4128">
        <v>1520</v>
      </c>
    </row>
    <row r="4129" spans="1:4">
      <c r="A4129" t="s">
        <v>9237</v>
      </c>
      <c r="B4129" t="s">
        <v>9238</v>
      </c>
      <c r="C4129" t="s">
        <v>9237</v>
      </c>
      <c r="D4129">
        <v>3714</v>
      </c>
    </row>
    <row r="4130" spans="1:4">
      <c r="A4130" t="s">
        <v>9239</v>
      </c>
      <c r="B4130" t="s">
        <v>9240</v>
      </c>
      <c r="C4130" t="s">
        <v>9239</v>
      </c>
      <c r="D4130">
        <v>2834</v>
      </c>
    </row>
    <row r="4131" spans="1:4">
      <c r="A4131" t="s">
        <v>9241</v>
      </c>
      <c r="B4131" t="s">
        <v>9242</v>
      </c>
      <c r="C4131" t="s">
        <v>9241</v>
      </c>
      <c r="D4131">
        <v>7389</v>
      </c>
    </row>
    <row r="4132" spans="1:4">
      <c r="A4132" t="s">
        <v>9243</v>
      </c>
      <c r="B4132" t="s">
        <v>9244</v>
      </c>
      <c r="C4132" t="s">
        <v>9243</v>
      </c>
      <c r="D4132">
        <v>3714</v>
      </c>
    </row>
    <row r="4133" spans="1:4">
      <c r="A4133" t="s">
        <v>9245</v>
      </c>
      <c r="B4133" t="s">
        <v>9246</v>
      </c>
      <c r="C4133" t="s">
        <v>9245</v>
      </c>
      <c r="D4133">
        <v>3470</v>
      </c>
    </row>
    <row r="4134" spans="1:4">
      <c r="A4134" t="s">
        <v>9247</v>
      </c>
      <c r="B4134" t="s">
        <v>9248</v>
      </c>
      <c r="C4134" t="s">
        <v>9247</v>
      </c>
      <c r="D4134">
        <v>3674</v>
      </c>
    </row>
    <row r="4135" spans="1:4">
      <c r="A4135" t="s">
        <v>9249</v>
      </c>
      <c r="B4135" t="s">
        <v>9250</v>
      </c>
      <c r="C4135" t="s">
        <v>9249</v>
      </c>
      <c r="D4135">
        <v>4700</v>
      </c>
    </row>
    <row r="4136" spans="1:4">
      <c r="A4136" t="s">
        <v>9251</v>
      </c>
      <c r="B4136" t="s">
        <v>9252</v>
      </c>
      <c r="C4136" t="s">
        <v>9251</v>
      </c>
      <c r="D4136">
        <v>7990</v>
      </c>
    </row>
    <row r="4137" spans="1:4">
      <c r="A4137" t="s">
        <v>9253</v>
      </c>
      <c r="B4137" t="s">
        <v>9254</v>
      </c>
      <c r="C4137" t="s">
        <v>9253</v>
      </c>
      <c r="D4137">
        <v>7200</v>
      </c>
    </row>
    <row r="4138" spans="1:4">
      <c r="A4138" t="s">
        <v>9255</v>
      </c>
      <c r="B4138" t="s">
        <v>9256</v>
      </c>
      <c r="C4138" t="s">
        <v>9255</v>
      </c>
      <c r="D4138">
        <v>2836</v>
      </c>
    </row>
    <row r="4139" spans="1:4">
      <c r="A4139" t="s">
        <v>9257</v>
      </c>
      <c r="B4139" t="s">
        <v>9258</v>
      </c>
      <c r="C4139" t="s">
        <v>9257</v>
      </c>
      <c r="D4139">
        <v>7372</v>
      </c>
    </row>
    <row r="4140" spans="1:4">
      <c r="A4140" t="s">
        <v>9259</v>
      </c>
      <c r="B4140" t="s">
        <v>9260</v>
      </c>
      <c r="C4140" t="s">
        <v>9259</v>
      </c>
      <c r="D4140">
        <v>3561</v>
      </c>
    </row>
    <row r="4141" spans="1:4">
      <c r="A4141" t="s">
        <v>9261</v>
      </c>
      <c r="B4141" t="s">
        <v>9262</v>
      </c>
      <c r="C4141" t="s">
        <v>9261</v>
      </c>
      <c r="D4141">
        <v>2834</v>
      </c>
    </row>
    <row r="4142" spans="1:4">
      <c r="A4142" t="s">
        <v>9263</v>
      </c>
      <c r="B4142" t="s">
        <v>9264</v>
      </c>
      <c r="C4142" t="s">
        <v>9263</v>
      </c>
      <c r="D4142">
        <v>7370</v>
      </c>
    </row>
    <row r="4143" spans="1:4">
      <c r="A4143" t="s">
        <v>9265</v>
      </c>
      <c r="B4143" t="s">
        <v>9266</v>
      </c>
      <c r="C4143" t="s">
        <v>9265</v>
      </c>
      <c r="D4143">
        <v>7370</v>
      </c>
    </row>
    <row r="4144" spans="1:4">
      <c r="A4144" t="s">
        <v>9267</v>
      </c>
      <c r="B4144" t="s">
        <v>9268</v>
      </c>
      <c r="C4144" t="s">
        <v>9267</v>
      </c>
      <c r="D4144">
        <v>2844</v>
      </c>
    </row>
    <row r="4145" spans="1:4">
      <c r="A4145" t="s">
        <v>9269</v>
      </c>
      <c r="B4145" t="s">
        <v>9270</v>
      </c>
      <c r="C4145" t="s">
        <v>9269</v>
      </c>
      <c r="D4145">
        <v>4213</v>
      </c>
    </row>
    <row r="4146" spans="1:4">
      <c r="A4146" t="s">
        <v>9271</v>
      </c>
      <c r="B4146" t="s">
        <v>9272</v>
      </c>
      <c r="C4146" t="s">
        <v>9271</v>
      </c>
      <c r="D4146">
        <v>7200</v>
      </c>
    </row>
    <row r="4147" spans="1:4">
      <c r="A4147" t="s">
        <v>9273</v>
      </c>
      <c r="B4147" t="s">
        <v>9274</v>
      </c>
      <c r="C4147" t="s">
        <v>9273</v>
      </c>
      <c r="D4147">
        <v>3949</v>
      </c>
    </row>
    <row r="4148" spans="1:4">
      <c r="A4148" t="s">
        <v>9275</v>
      </c>
      <c r="B4148" t="s">
        <v>9276</v>
      </c>
      <c r="C4148" t="s">
        <v>9275</v>
      </c>
      <c r="D4148">
        <v>7374</v>
      </c>
    </row>
    <row r="4149" spans="1:4">
      <c r="A4149" t="s">
        <v>9277</v>
      </c>
      <c r="B4149" t="s">
        <v>9278</v>
      </c>
      <c r="C4149" t="s">
        <v>9277</v>
      </c>
      <c r="D4149">
        <v>3080</v>
      </c>
    </row>
    <row r="4150" spans="1:4">
      <c r="A4150" t="s">
        <v>9279</v>
      </c>
      <c r="B4150" t="s">
        <v>9280</v>
      </c>
      <c r="C4150" t="s">
        <v>9279</v>
      </c>
      <c r="D4150">
        <v>6199</v>
      </c>
    </row>
    <row r="4151" spans="1:4">
      <c r="A4151" t="s">
        <v>9281</v>
      </c>
      <c r="B4151" t="s">
        <v>9282</v>
      </c>
      <c r="C4151" t="s">
        <v>9281</v>
      </c>
      <c r="D4151">
        <v>4941</v>
      </c>
    </row>
    <row r="4152" spans="1:4">
      <c r="A4152" t="s">
        <v>9283</v>
      </c>
      <c r="B4152" t="s">
        <v>9284</v>
      </c>
      <c r="C4152" t="s">
        <v>9283</v>
      </c>
      <c r="D4152">
        <v>8200</v>
      </c>
    </row>
    <row r="4153" spans="1:4">
      <c r="A4153" t="s">
        <v>9285</v>
      </c>
      <c r="B4153" t="s">
        <v>9286</v>
      </c>
      <c r="C4153" t="s">
        <v>9285</v>
      </c>
      <c r="D4153">
        <v>5812</v>
      </c>
    </row>
    <row r="4154" spans="1:4">
      <c r="A4154" t="s">
        <v>9287</v>
      </c>
      <c r="B4154" t="s">
        <v>9288</v>
      </c>
      <c r="C4154" t="s">
        <v>9287</v>
      </c>
      <c r="D4154">
        <v>5812</v>
      </c>
    </row>
    <row r="4155" spans="1:4">
      <c r="A4155" t="s">
        <v>9289</v>
      </c>
      <c r="B4155" t="s">
        <v>9290</v>
      </c>
      <c r="C4155" t="s">
        <v>9289</v>
      </c>
      <c r="D4155">
        <v>2834</v>
      </c>
    </row>
    <row r="4156" spans="1:4">
      <c r="A4156" t="s">
        <v>9291</v>
      </c>
      <c r="B4156" t="s">
        <v>9292</v>
      </c>
      <c r="C4156" t="s">
        <v>9291</v>
      </c>
      <c r="D4156">
        <v>5990</v>
      </c>
    </row>
    <row r="4157" spans="1:4">
      <c r="A4157" t="s">
        <v>9293</v>
      </c>
      <c r="B4157" t="s">
        <v>9294</v>
      </c>
      <c r="C4157" t="s">
        <v>9293</v>
      </c>
      <c r="D4157">
        <v>2834</v>
      </c>
    </row>
    <row r="4158" spans="1:4">
      <c r="A4158" t="s">
        <v>9295</v>
      </c>
      <c r="B4158" t="s">
        <v>9296</v>
      </c>
      <c r="C4158" t="s">
        <v>9295</v>
      </c>
      <c r="D4158">
        <v>3560</v>
      </c>
    </row>
    <row r="4159" spans="1:4">
      <c r="A4159" t="s">
        <v>9297</v>
      </c>
      <c r="B4159" t="s">
        <v>9298</v>
      </c>
      <c r="C4159" t="s">
        <v>9297</v>
      </c>
      <c r="D4159">
        <v>7372</v>
      </c>
    </row>
    <row r="4160" spans="1:4">
      <c r="A4160" t="s">
        <v>9299</v>
      </c>
      <c r="B4160" t="s">
        <v>9300</v>
      </c>
      <c r="C4160" t="s">
        <v>9299</v>
      </c>
      <c r="D4160">
        <v>7374</v>
      </c>
    </row>
    <row r="4161" spans="1:4">
      <c r="A4161" t="s">
        <v>9301</v>
      </c>
      <c r="B4161" t="s">
        <v>9302</v>
      </c>
      <c r="C4161" t="s">
        <v>9301</v>
      </c>
      <c r="D4161">
        <v>3571</v>
      </c>
    </row>
    <row r="4162" spans="1:4">
      <c r="A4162" t="s">
        <v>9303</v>
      </c>
      <c r="B4162" t="s">
        <v>9304</v>
      </c>
      <c r="C4162" t="s">
        <v>9303</v>
      </c>
      <c r="D4162">
        <v>7372</v>
      </c>
    </row>
    <row r="4163" spans="1:4">
      <c r="A4163" t="s">
        <v>9305</v>
      </c>
      <c r="B4163" t="s">
        <v>9306</v>
      </c>
      <c r="C4163" t="s">
        <v>9305</v>
      </c>
      <c r="D4163">
        <v>2086</v>
      </c>
    </row>
    <row r="4164" spans="1:4">
      <c r="A4164" t="s">
        <v>9307</v>
      </c>
      <c r="B4164" t="s">
        <v>9308</v>
      </c>
      <c r="C4164" t="s">
        <v>9307</v>
      </c>
      <c r="D4164">
        <v>8200</v>
      </c>
    </row>
    <row r="4165" spans="1:4">
      <c r="A4165" t="s">
        <v>9309</v>
      </c>
      <c r="B4165" t="s">
        <v>9310</v>
      </c>
      <c r="C4165" t="s">
        <v>9309</v>
      </c>
      <c r="D4165">
        <v>4822</v>
      </c>
    </row>
    <row r="4166" spans="1:4">
      <c r="A4166" t="s">
        <v>9311</v>
      </c>
      <c r="B4166" t="s">
        <v>9312</v>
      </c>
      <c r="C4166" t="s">
        <v>9311</v>
      </c>
      <c r="D4166">
        <v>7389</v>
      </c>
    </row>
    <row r="4167" spans="1:4">
      <c r="A4167" t="s">
        <v>9313</v>
      </c>
      <c r="B4167" t="s">
        <v>9314</v>
      </c>
      <c r="C4167" t="s">
        <v>9313</v>
      </c>
      <c r="D4167">
        <v>3842</v>
      </c>
    </row>
    <row r="4168" spans="1:4">
      <c r="A4168" t="s">
        <v>9315</v>
      </c>
      <c r="B4168" t="s">
        <v>9316</v>
      </c>
      <c r="C4168" t="s">
        <v>9315</v>
      </c>
      <c r="D4168">
        <v>1382</v>
      </c>
    </row>
    <row r="4169" spans="1:4">
      <c r="A4169" t="s">
        <v>9317</v>
      </c>
      <c r="B4169" t="s">
        <v>9318</v>
      </c>
      <c r="C4169" t="s">
        <v>9317</v>
      </c>
      <c r="D4169">
        <v>6021</v>
      </c>
    </row>
    <row r="4170" spans="1:4">
      <c r="A4170" t="s">
        <v>9319</v>
      </c>
      <c r="B4170" t="s">
        <v>9320</v>
      </c>
      <c r="C4170" t="s">
        <v>9319</v>
      </c>
      <c r="D4170">
        <v>7370</v>
      </c>
    </row>
    <row r="4171" spans="1:4">
      <c r="A4171" t="s">
        <v>9321</v>
      </c>
      <c r="B4171" t="s">
        <v>9322</v>
      </c>
      <c r="C4171" t="s">
        <v>9321</v>
      </c>
      <c r="D4171">
        <v>3490</v>
      </c>
    </row>
    <row r="4172" spans="1:4">
      <c r="A4172" t="s">
        <v>9323</v>
      </c>
      <c r="B4172" t="s">
        <v>9324</v>
      </c>
      <c r="C4172" t="s">
        <v>9323</v>
      </c>
      <c r="D4172">
        <v>2834</v>
      </c>
    </row>
    <row r="4173" spans="1:4">
      <c r="A4173" t="s">
        <v>9325</v>
      </c>
      <c r="B4173" t="s">
        <v>9326</v>
      </c>
      <c r="C4173" t="s">
        <v>9325</v>
      </c>
      <c r="D4173">
        <v>7370</v>
      </c>
    </row>
    <row r="4174" spans="1:4">
      <c r="A4174" t="s">
        <v>9327</v>
      </c>
      <c r="B4174" t="s">
        <v>9328</v>
      </c>
      <c r="C4174" t="s">
        <v>9327</v>
      </c>
      <c r="D4174">
        <v>7372</v>
      </c>
    </row>
    <row r="4175" spans="1:4">
      <c r="A4175" t="s">
        <v>9329</v>
      </c>
      <c r="B4175" t="s">
        <v>9330</v>
      </c>
      <c r="C4175" t="s">
        <v>9329</v>
      </c>
      <c r="D4175">
        <v>8200</v>
      </c>
    </row>
    <row r="4176" spans="1:4">
      <c r="A4176" t="s">
        <v>9331</v>
      </c>
      <c r="B4176" t="s">
        <v>9332</v>
      </c>
      <c r="C4176" t="s">
        <v>9331</v>
      </c>
      <c r="D4176">
        <v>7371</v>
      </c>
    </row>
    <row r="4177" spans="1:4">
      <c r="A4177" t="s">
        <v>9333</v>
      </c>
      <c r="B4177" t="s">
        <v>9334</v>
      </c>
      <c r="C4177" t="s">
        <v>9333</v>
      </c>
      <c r="D4177">
        <v>4210</v>
      </c>
    </row>
    <row r="4178" spans="1:4">
      <c r="A4178" t="s">
        <v>9335</v>
      </c>
      <c r="B4178" t="s">
        <v>9336</v>
      </c>
      <c r="C4178" t="s">
        <v>9335</v>
      </c>
      <c r="D4178">
        <v>5600</v>
      </c>
    </row>
    <row r="4179" spans="1:4">
      <c r="A4179" t="s">
        <v>9337</v>
      </c>
      <c r="B4179" t="s">
        <v>9338</v>
      </c>
      <c r="C4179" t="s">
        <v>9337</v>
      </c>
      <c r="D4179">
        <v>7372</v>
      </c>
    </row>
    <row r="4180" spans="1:4">
      <c r="A4180" t="s">
        <v>9339</v>
      </c>
      <c r="B4180" t="s">
        <v>9340</v>
      </c>
      <c r="C4180" t="s">
        <v>9339</v>
      </c>
      <c r="D4180">
        <v>3560</v>
      </c>
    </row>
    <row r="4181" spans="1:4">
      <c r="A4181" t="s">
        <v>9341</v>
      </c>
      <c r="B4181" t="s">
        <v>9342</v>
      </c>
      <c r="C4181" t="s">
        <v>9341</v>
      </c>
      <c r="D4181">
        <v>7370</v>
      </c>
    </row>
    <row r="4182" spans="1:4">
      <c r="A4182" t="s">
        <v>9343</v>
      </c>
      <c r="B4182" t="s">
        <v>9344</v>
      </c>
      <c r="C4182" t="s">
        <v>9343</v>
      </c>
      <c r="D4182">
        <v>8731</v>
      </c>
    </row>
    <row r="4183" spans="1:4">
      <c r="A4183" t="s">
        <v>9345</v>
      </c>
      <c r="B4183" t="s">
        <v>9346</v>
      </c>
      <c r="C4183" t="s">
        <v>9345</v>
      </c>
      <c r="D4183">
        <v>2834</v>
      </c>
    </row>
    <row r="4184" spans="1:4">
      <c r="A4184" t="s">
        <v>9347</v>
      </c>
      <c r="B4184" t="s">
        <v>9348</v>
      </c>
      <c r="C4184" t="s">
        <v>9347</v>
      </c>
      <c r="D4184">
        <v>3845</v>
      </c>
    </row>
    <row r="4185" spans="1:3">
      <c r="A4185" s="6"/>
      <c r="B4185" s="6"/>
      <c r="C4185" s="6"/>
    </row>
    <row r="4186" spans="1:3">
      <c r="A4186" s="6"/>
      <c r="B4186" s="6"/>
      <c r="C4186" s="6"/>
    </row>
    <row r="4187" spans="1:3">
      <c r="A4187" s="6"/>
      <c r="B4187" s="6"/>
      <c r="C4187" s="6"/>
    </row>
    <row r="4188" spans="1:3">
      <c r="A4188" s="6"/>
      <c r="B4188" s="6"/>
      <c r="C4188" s="6"/>
    </row>
    <row r="4189" spans="1:3">
      <c r="A4189" s="6"/>
      <c r="B4189" s="6"/>
      <c r="C4189" s="6"/>
    </row>
    <row r="4190" spans="1:3">
      <c r="A4190" s="6"/>
      <c r="B4190" s="6"/>
      <c r="C4190" s="6"/>
    </row>
    <row r="4191" spans="1:3">
      <c r="A4191" s="6"/>
      <c r="B4191" s="6"/>
      <c r="C4191" s="6"/>
    </row>
    <row r="4192" spans="1:3">
      <c r="A4192" s="6"/>
      <c r="B4192" s="6"/>
      <c r="C4192" s="6"/>
    </row>
    <row r="4193" spans="1:3">
      <c r="A4193" s="6"/>
      <c r="B4193" s="6"/>
      <c r="C4193" s="6"/>
    </row>
    <row r="4194" spans="1:3">
      <c r="A4194" s="6"/>
      <c r="B4194" s="6"/>
      <c r="C4194" s="6"/>
    </row>
    <row r="4195" spans="1:3">
      <c r="A4195" s="6"/>
      <c r="B4195" s="6"/>
      <c r="C4195" s="6"/>
    </row>
    <row r="4196" spans="1:3">
      <c r="A4196" s="6"/>
      <c r="B4196" s="6"/>
      <c r="C4196" s="6"/>
    </row>
    <row r="4197" spans="1:3">
      <c r="A4197" s="6"/>
      <c r="B4197" s="6"/>
      <c r="C4197" s="6"/>
    </row>
    <row r="4198" spans="1:3">
      <c r="A4198" s="6"/>
      <c r="B4198" s="6"/>
      <c r="C4198" s="6"/>
    </row>
    <row r="4199" spans="1:3">
      <c r="A4199" s="6"/>
      <c r="B4199" s="6"/>
      <c r="C4199" s="6"/>
    </row>
    <row r="4200" spans="1:3">
      <c r="A4200" s="6"/>
      <c r="B4200" s="6"/>
      <c r="C4200" s="6"/>
    </row>
    <row r="4201" spans="1:3">
      <c r="A4201" s="6"/>
      <c r="B4201" s="6"/>
      <c r="C4201" s="6"/>
    </row>
    <row r="4202" spans="1:3">
      <c r="A4202" s="6"/>
      <c r="B4202" s="6"/>
      <c r="C4202" s="6"/>
    </row>
    <row r="4203" spans="1:3">
      <c r="A4203" s="6"/>
      <c r="B4203" s="6"/>
      <c r="C4203" s="6"/>
    </row>
    <row r="4204" spans="1:3">
      <c r="A4204" s="6"/>
      <c r="B4204" s="6"/>
      <c r="C4204" s="6"/>
    </row>
    <row r="4205" spans="1:3">
      <c r="A4205" s="6"/>
      <c r="B4205" s="6"/>
      <c r="C4205" s="6"/>
    </row>
    <row r="4206" spans="1:3">
      <c r="A4206" s="6"/>
      <c r="B4206" s="6"/>
      <c r="C4206" s="6"/>
    </row>
    <row r="4207" spans="1:3">
      <c r="A4207" s="6"/>
      <c r="B4207" s="6"/>
      <c r="C4207" s="6"/>
    </row>
    <row r="4208" spans="1:3">
      <c r="A4208" s="6"/>
      <c r="B4208" s="6"/>
      <c r="C4208" s="6"/>
    </row>
    <row r="4209" spans="1:3">
      <c r="A4209" s="6"/>
      <c r="B4209" s="6"/>
      <c r="C4209" s="6"/>
    </row>
    <row r="4210" spans="1:3">
      <c r="A4210" s="6"/>
      <c r="B4210" s="6"/>
      <c r="C4210" s="6"/>
    </row>
    <row r="4211" spans="1:3">
      <c r="A4211" s="6"/>
      <c r="B4211" s="6"/>
      <c r="C4211" s="6"/>
    </row>
    <row r="4212" spans="1:3">
      <c r="A4212" s="6"/>
      <c r="B4212" s="6"/>
      <c r="C4212" s="6"/>
    </row>
    <row r="4213" spans="1:3">
      <c r="A4213" s="6"/>
      <c r="B4213" s="6"/>
      <c r="C4213" s="6"/>
    </row>
    <row r="4214" spans="1:3">
      <c r="A4214" s="6"/>
      <c r="B4214" s="6"/>
      <c r="C4214" s="6"/>
    </row>
    <row r="4215" spans="1:3">
      <c r="A4215" s="6"/>
      <c r="B4215" s="6"/>
      <c r="C4215" s="6"/>
    </row>
    <row r="4216" spans="1:3">
      <c r="A4216" s="6"/>
      <c r="B4216" s="6"/>
      <c r="C4216" s="6"/>
    </row>
    <row r="4217" spans="1:3">
      <c r="A4217" s="6"/>
      <c r="B4217" s="6"/>
      <c r="C4217" s="6"/>
    </row>
    <row r="4218" spans="1:3">
      <c r="A4218" s="6"/>
      <c r="B4218" s="6"/>
      <c r="C4218" s="6"/>
    </row>
    <row r="4219" spans="1:3">
      <c r="A4219" s="6"/>
      <c r="B4219" s="6"/>
      <c r="C4219" s="6"/>
    </row>
    <row r="4220" spans="1:3">
      <c r="A4220" s="6"/>
      <c r="B4220" s="6"/>
      <c r="C4220" s="6"/>
    </row>
    <row r="4221" spans="1:3">
      <c r="A4221" s="6"/>
      <c r="B4221" s="6"/>
      <c r="C4221" s="6"/>
    </row>
    <row r="4222" spans="1:3">
      <c r="A4222" s="6"/>
      <c r="B4222" s="6"/>
      <c r="C4222" s="6"/>
    </row>
    <row r="4223" spans="1:3">
      <c r="A4223" s="6"/>
      <c r="B4223" s="6"/>
      <c r="C4223" s="6"/>
    </row>
    <row r="4224" spans="1:3">
      <c r="A4224" s="6"/>
      <c r="B4224" s="6"/>
      <c r="C4224" s="6"/>
    </row>
    <row r="4225" spans="1:3">
      <c r="A4225" s="6"/>
      <c r="B4225" s="6"/>
      <c r="C4225" s="6"/>
    </row>
    <row r="4226" spans="1:3">
      <c r="A4226" s="6"/>
      <c r="B4226" s="6"/>
      <c r="C4226" s="6"/>
    </row>
    <row r="4227" spans="1:3">
      <c r="A4227" s="6"/>
      <c r="B4227" s="6"/>
      <c r="C4227" s="6"/>
    </row>
    <row r="4228" spans="1:3">
      <c r="A4228" s="6"/>
      <c r="B4228" s="6"/>
      <c r="C4228" s="6"/>
    </row>
    <row r="4229" spans="1:3">
      <c r="A4229" s="6"/>
      <c r="B4229" s="6"/>
      <c r="C4229" s="6"/>
    </row>
    <row r="4230" spans="1:3">
      <c r="A4230" s="6"/>
      <c r="B4230" s="6"/>
      <c r="C4230" s="6"/>
    </row>
    <row r="4231" spans="1:3">
      <c r="A4231" s="6"/>
      <c r="B4231" s="6"/>
      <c r="C4231" s="6"/>
    </row>
    <row r="4232" spans="1:3">
      <c r="A4232" s="6"/>
      <c r="B4232" s="6"/>
      <c r="C4232" s="6"/>
    </row>
    <row r="4233" spans="1:3">
      <c r="A4233" s="6"/>
      <c r="B4233" s="6"/>
      <c r="C4233" s="6"/>
    </row>
    <row r="4234" spans="1:3">
      <c r="A4234" s="6"/>
      <c r="B4234" s="6"/>
      <c r="C4234" s="6"/>
    </row>
    <row r="4235" spans="1:3">
      <c r="A4235" s="6"/>
      <c r="B4235" s="6"/>
      <c r="C4235" s="6"/>
    </row>
    <row r="4236" spans="1:3">
      <c r="A4236" s="6"/>
      <c r="B4236" s="6"/>
      <c r="C4236" s="6"/>
    </row>
    <row r="4237" spans="1:3">
      <c r="A4237" s="6"/>
      <c r="B4237" s="6"/>
      <c r="C4237" s="6"/>
    </row>
    <row r="4238" spans="1:3">
      <c r="A4238" s="6"/>
      <c r="B4238" s="6"/>
      <c r="C4238" s="6"/>
    </row>
    <row r="4239" spans="1:3">
      <c r="A4239" s="6"/>
      <c r="B4239" s="6"/>
      <c r="C4239" s="6"/>
    </row>
    <row r="4240" spans="1:3">
      <c r="A4240" s="6"/>
      <c r="B4240" s="6"/>
      <c r="C4240" s="6"/>
    </row>
    <row r="4241" spans="1:3">
      <c r="A4241" s="6"/>
      <c r="B4241" s="6"/>
      <c r="C4241" s="6"/>
    </row>
    <row r="4242" spans="1:3">
      <c r="A4242" s="6"/>
      <c r="B4242" s="6"/>
      <c r="C4242" s="6"/>
    </row>
    <row r="4243" spans="1:3">
      <c r="A4243" s="6"/>
      <c r="B4243" s="6"/>
      <c r="C4243" s="6"/>
    </row>
    <row r="4244" spans="1:3">
      <c r="A4244" s="6"/>
      <c r="B4244" s="6"/>
      <c r="C4244" s="6"/>
    </row>
    <row r="4245" spans="1:3">
      <c r="A4245" s="6"/>
      <c r="B4245" s="6"/>
      <c r="C4245" s="6"/>
    </row>
    <row r="4246" spans="1:3">
      <c r="A4246" s="6"/>
      <c r="B4246" s="6"/>
      <c r="C4246" s="6"/>
    </row>
    <row r="4247" spans="1:3">
      <c r="A4247" s="6"/>
      <c r="B4247" s="6"/>
      <c r="C4247" s="6"/>
    </row>
    <row r="4248" spans="1:3">
      <c r="A4248" s="6"/>
      <c r="B4248" s="6"/>
      <c r="C4248" s="6"/>
    </row>
    <row r="4249" spans="1:3">
      <c r="A4249" s="6"/>
      <c r="B4249" s="6"/>
      <c r="C4249" s="6"/>
    </row>
    <row r="4250" spans="1:3">
      <c r="A4250" s="6"/>
      <c r="B4250" s="6"/>
      <c r="C4250" s="6"/>
    </row>
    <row r="4251" spans="1:3">
      <c r="A4251" s="6"/>
      <c r="B4251" s="6"/>
      <c r="C4251" s="6"/>
    </row>
    <row r="4252" spans="1:3">
      <c r="A4252" s="6"/>
      <c r="B4252" s="6"/>
      <c r="C4252" s="6"/>
    </row>
    <row r="4253" spans="1:3">
      <c r="A4253" s="6"/>
      <c r="B4253" s="6"/>
      <c r="C4253" s="6"/>
    </row>
    <row r="4254" spans="1:3">
      <c r="A4254" s="6"/>
      <c r="B4254" s="6"/>
      <c r="C4254" s="6"/>
    </row>
    <row r="4255" spans="1:3">
      <c r="A4255" s="6"/>
      <c r="B4255" s="6"/>
      <c r="C4255" s="6"/>
    </row>
    <row r="4256" spans="1:3">
      <c r="A4256" s="6"/>
      <c r="B4256" s="6"/>
      <c r="C4256" s="6"/>
    </row>
    <row r="4257" spans="1:3">
      <c r="A4257" s="6"/>
      <c r="B4257" s="6"/>
      <c r="C4257" s="6"/>
    </row>
    <row r="4258" spans="1:3">
      <c r="A4258" s="6"/>
      <c r="B4258" s="6"/>
      <c r="C4258" s="6"/>
    </row>
    <row r="4259" spans="1:3">
      <c r="A4259" s="6"/>
      <c r="B4259" s="6"/>
      <c r="C4259" s="6"/>
    </row>
    <row r="4260" spans="1:3">
      <c r="A4260" s="6"/>
      <c r="B4260" s="6"/>
      <c r="C4260" s="6"/>
    </row>
    <row r="4261" spans="1:3">
      <c r="A4261" s="6"/>
      <c r="B4261" s="6"/>
      <c r="C4261" s="6"/>
    </row>
    <row r="4262" spans="1:3">
      <c r="A4262" s="6"/>
      <c r="B4262" s="6"/>
      <c r="C4262" s="6"/>
    </row>
    <row r="4263" spans="1:3">
      <c r="A4263" s="6"/>
      <c r="B4263" s="6"/>
      <c r="C4263" s="6"/>
    </row>
    <row r="4264" spans="1:3">
      <c r="A4264" s="6"/>
      <c r="B4264" s="6"/>
      <c r="C4264" s="6"/>
    </row>
    <row r="4265" spans="1:3">
      <c r="A4265" s="6"/>
      <c r="B4265" s="6"/>
      <c r="C4265" s="6"/>
    </row>
    <row r="4266" spans="1:3">
      <c r="A4266" s="6"/>
      <c r="B4266" s="6"/>
      <c r="C4266" s="6"/>
    </row>
    <row r="4267" spans="1:3">
      <c r="A4267" s="6"/>
      <c r="B4267" s="6"/>
      <c r="C4267" s="6"/>
    </row>
    <row r="4268" spans="1:3">
      <c r="A4268" s="6"/>
      <c r="B4268" s="6"/>
      <c r="C4268" s="6"/>
    </row>
    <row r="4269" spans="1:3">
      <c r="A4269" s="6"/>
      <c r="B4269" s="6"/>
      <c r="C4269" s="6"/>
    </row>
    <row r="4270" spans="1:3">
      <c r="A4270" s="6"/>
      <c r="B4270" s="6"/>
      <c r="C4270" s="6"/>
    </row>
    <row r="4271" spans="1:3">
      <c r="A4271" s="6"/>
      <c r="B4271" s="6"/>
      <c r="C4271" s="6"/>
    </row>
    <row r="4272" spans="1:3">
      <c r="A4272" s="6"/>
      <c r="B4272" s="6"/>
      <c r="C4272" s="6"/>
    </row>
    <row r="4273" spans="1:3">
      <c r="A4273" s="6"/>
      <c r="B4273" s="6"/>
      <c r="C4273" s="6"/>
    </row>
    <row r="4274" spans="1:3">
      <c r="A4274" s="6"/>
      <c r="B4274" s="6"/>
      <c r="C4274" s="6"/>
    </row>
    <row r="4275" spans="1:3">
      <c r="A4275" s="6"/>
      <c r="B4275" s="6"/>
      <c r="C4275" s="6"/>
    </row>
    <row r="4276" spans="1:3">
      <c r="A4276" s="6"/>
      <c r="B4276" s="6"/>
      <c r="C4276" s="6"/>
    </row>
    <row r="4277" spans="1:3">
      <c r="A4277" s="6"/>
      <c r="B4277" s="6"/>
      <c r="C4277" s="6"/>
    </row>
    <row r="4278" spans="1:3">
      <c r="A4278" s="6"/>
      <c r="B4278" s="6"/>
      <c r="C4278" s="6"/>
    </row>
    <row r="4279" spans="1:3">
      <c r="A4279" s="6"/>
      <c r="B4279" s="6"/>
      <c r="C4279" s="6"/>
    </row>
    <row r="4280" spans="1:3">
      <c r="A4280" s="6"/>
      <c r="B4280" s="6"/>
      <c r="C4280" s="6"/>
    </row>
    <row r="4281" spans="1:3">
      <c r="A4281" s="6"/>
      <c r="B4281" s="6"/>
      <c r="C4281" s="6"/>
    </row>
    <row r="4282" spans="1:3">
      <c r="A4282" s="6"/>
      <c r="B4282" s="6"/>
      <c r="C4282" s="6"/>
    </row>
    <row r="4283" spans="1:3">
      <c r="A4283" s="6"/>
      <c r="B4283" s="6"/>
      <c r="C4283" s="6"/>
    </row>
    <row r="4284" spans="1:3">
      <c r="A4284" s="6"/>
      <c r="B4284" s="6"/>
      <c r="C4284" s="6"/>
    </row>
    <row r="4285" spans="1:3">
      <c r="A4285" s="6"/>
      <c r="B4285" s="6"/>
      <c r="C4285" s="6"/>
    </row>
    <row r="4286" spans="1:3">
      <c r="A4286" s="6"/>
      <c r="B4286" s="6"/>
      <c r="C4286" s="6"/>
    </row>
    <row r="4287" spans="1:3">
      <c r="A4287" s="6"/>
      <c r="B4287" s="6"/>
      <c r="C4287" s="6"/>
    </row>
    <row r="4288" spans="1:3">
      <c r="A4288" s="6"/>
      <c r="B4288" s="6"/>
      <c r="C4288" s="6"/>
    </row>
    <row r="4289" spans="1:3">
      <c r="A4289" s="6"/>
      <c r="B4289" s="6"/>
      <c r="C4289" s="6"/>
    </row>
    <row r="4290" spans="1:3">
      <c r="A4290" s="6"/>
      <c r="B4290" s="6"/>
      <c r="C4290" s="6"/>
    </row>
    <row r="4291" spans="1:3">
      <c r="A4291" s="6"/>
      <c r="B4291" s="6"/>
      <c r="C4291" s="6"/>
    </row>
    <row r="4292" spans="1:3">
      <c r="A4292" s="6"/>
      <c r="B4292" s="6"/>
      <c r="C4292" s="6"/>
    </row>
    <row r="4293" spans="1:3">
      <c r="A4293" s="6"/>
      <c r="B4293" s="6"/>
      <c r="C4293" s="6"/>
    </row>
    <row r="4294" spans="1:3">
      <c r="A4294" s="6"/>
      <c r="B4294" s="6"/>
      <c r="C4294" s="6"/>
    </row>
    <row r="4295" spans="1:3">
      <c r="A4295" s="6"/>
      <c r="B4295" s="6"/>
      <c r="C4295" s="6"/>
    </row>
    <row r="4296" spans="1:3">
      <c r="A4296" s="6"/>
      <c r="B4296" s="6"/>
      <c r="C4296" s="6"/>
    </row>
    <row r="4297" spans="1:3">
      <c r="A4297" s="6"/>
      <c r="B4297" s="6"/>
      <c r="C4297" s="6"/>
    </row>
    <row r="4298" spans="1:3">
      <c r="A4298" s="6"/>
      <c r="B4298" s="6"/>
      <c r="C4298" s="6"/>
    </row>
    <row r="4299" spans="1:3">
      <c r="A4299" s="6"/>
      <c r="B4299" s="6"/>
      <c r="C4299" s="6"/>
    </row>
    <row r="4300" spans="1:3">
      <c r="A4300" s="6"/>
      <c r="B4300" s="6"/>
      <c r="C4300" s="6"/>
    </row>
    <row r="4301" spans="1:3">
      <c r="A4301" s="6"/>
      <c r="B4301" s="6"/>
      <c r="C4301" s="6"/>
    </row>
    <row r="4302" spans="1:3">
      <c r="A4302" s="6"/>
      <c r="B4302" s="6"/>
      <c r="C4302" s="6"/>
    </row>
    <row r="4303" spans="1:3">
      <c r="A4303" s="6"/>
      <c r="B4303" s="6"/>
      <c r="C4303" s="6"/>
    </row>
    <row r="4304" spans="1:3">
      <c r="A4304" s="6"/>
      <c r="B4304" s="6"/>
      <c r="C4304" s="6"/>
    </row>
    <row r="4305" spans="1:3">
      <c r="A4305" s="6"/>
      <c r="B4305" s="6"/>
      <c r="C4305" s="6"/>
    </row>
    <row r="4306" spans="1:3">
      <c r="A4306" s="6"/>
      <c r="B4306" s="6"/>
      <c r="C4306" s="6"/>
    </row>
    <row r="4307" spans="1:3">
      <c r="A4307" s="6"/>
      <c r="B4307" s="6"/>
      <c r="C4307" s="6"/>
    </row>
    <row r="4308" spans="1:3">
      <c r="A4308" s="6"/>
      <c r="B4308" s="6"/>
      <c r="C4308" s="6"/>
    </row>
    <row r="4309" spans="1:3">
      <c r="A4309" s="6"/>
      <c r="B4309" s="6"/>
      <c r="C4309" s="6"/>
    </row>
    <row r="4310" spans="1:3">
      <c r="A4310" s="6"/>
      <c r="B4310" s="6"/>
      <c r="C4310" s="6"/>
    </row>
    <row r="4311" spans="1:3">
      <c r="A4311" s="6"/>
      <c r="B4311" s="6"/>
      <c r="C4311" s="6"/>
    </row>
    <row r="4312" spans="1:3">
      <c r="A4312" s="6"/>
      <c r="B4312" s="6"/>
      <c r="C4312" s="6"/>
    </row>
    <row r="4313" spans="1:3">
      <c r="A4313" s="6"/>
      <c r="B4313" s="6"/>
      <c r="C4313" s="6"/>
    </row>
    <row r="4314" spans="1:3">
      <c r="A4314" s="6"/>
      <c r="B4314" s="6"/>
      <c r="C4314" s="6"/>
    </row>
    <row r="4315" spans="1:3">
      <c r="A4315" s="6"/>
      <c r="B4315" s="6"/>
      <c r="C4315" s="6"/>
    </row>
    <row r="4316" spans="1:3">
      <c r="A4316" s="6"/>
      <c r="B4316" s="6"/>
      <c r="C4316" s="6"/>
    </row>
    <row r="4317" spans="1:3">
      <c r="A4317" s="6"/>
      <c r="B4317" s="6"/>
      <c r="C4317" s="6"/>
    </row>
    <row r="4318" spans="1:3">
      <c r="A4318" s="6"/>
      <c r="B4318" s="6"/>
      <c r="C4318" s="6"/>
    </row>
    <row r="4319" spans="1:3">
      <c r="A4319" s="6"/>
      <c r="B4319" s="6"/>
      <c r="C4319" s="6"/>
    </row>
    <row r="4320" spans="1:3">
      <c r="A4320" s="6"/>
      <c r="B4320" s="6"/>
      <c r="C4320" s="6"/>
    </row>
    <row r="4321" spans="1:3">
      <c r="A4321" s="6"/>
      <c r="B4321" s="6"/>
      <c r="C4321" s="6"/>
    </row>
    <row r="4322" spans="1:3">
      <c r="A4322" s="6"/>
      <c r="B4322" s="6"/>
      <c r="C4322" s="6"/>
    </row>
    <row r="4323" spans="1:3">
      <c r="A4323" s="6"/>
      <c r="B4323" s="6"/>
      <c r="C4323" s="6"/>
    </row>
    <row r="4324" spans="1:3">
      <c r="A4324" s="6"/>
      <c r="B4324" s="6"/>
      <c r="C4324" s="6"/>
    </row>
    <row r="4325" spans="1:3">
      <c r="A4325" s="6"/>
      <c r="B4325" s="6"/>
      <c r="C4325" s="6"/>
    </row>
    <row r="4326" spans="1:3">
      <c r="A4326" s="6"/>
      <c r="B4326" s="6"/>
      <c r="C4326" s="6"/>
    </row>
    <row r="4327" spans="1:3">
      <c r="A4327" s="6"/>
      <c r="B4327" s="6"/>
      <c r="C4327" s="6"/>
    </row>
    <row r="4328" spans="1:3">
      <c r="A4328" s="6"/>
      <c r="B4328" s="6"/>
      <c r="C4328" s="6"/>
    </row>
    <row r="4329" spans="1:3">
      <c r="A4329" s="6"/>
      <c r="B4329" s="6"/>
      <c r="C4329" s="6"/>
    </row>
    <row r="4330" spans="1:3">
      <c r="A4330" s="6"/>
      <c r="B4330" s="6"/>
      <c r="C4330" s="6"/>
    </row>
    <row r="4331" spans="1:3">
      <c r="A4331" s="6"/>
      <c r="B4331" s="6"/>
      <c r="C4331" s="6"/>
    </row>
    <row r="4332" spans="1:3">
      <c r="A4332" s="6"/>
      <c r="B4332" s="6"/>
      <c r="C4332" s="6"/>
    </row>
    <row r="4333" spans="1:3">
      <c r="A4333" s="6"/>
      <c r="B4333" s="6"/>
      <c r="C4333" s="6"/>
    </row>
    <row r="4334" spans="1:3">
      <c r="A4334" s="6"/>
      <c r="B4334" s="6"/>
      <c r="C4334" s="6"/>
    </row>
    <row r="4335" spans="1:3">
      <c r="A4335" s="6"/>
      <c r="B4335" s="6"/>
      <c r="C4335" s="6"/>
    </row>
    <row r="4336" spans="1:3">
      <c r="A4336" s="6"/>
      <c r="B4336" s="6"/>
      <c r="C4336" s="6"/>
    </row>
    <row r="4337" spans="1:3">
      <c r="A4337" s="6"/>
      <c r="B4337" s="6"/>
      <c r="C4337" s="6"/>
    </row>
    <row r="4338" spans="1:3">
      <c r="A4338" s="6"/>
      <c r="B4338" s="6"/>
      <c r="C4338" s="6"/>
    </row>
    <row r="4339" spans="1:3">
      <c r="A4339" s="6"/>
      <c r="B4339" s="6"/>
      <c r="C4339" s="6"/>
    </row>
    <row r="4340" spans="1:3">
      <c r="A4340" s="6"/>
      <c r="B4340" s="6"/>
      <c r="C4340" s="6"/>
    </row>
    <row r="4341" spans="1:3">
      <c r="A4341" s="6"/>
      <c r="B4341" s="6"/>
      <c r="C4341" s="6"/>
    </row>
    <row r="4342" spans="1:3">
      <c r="A4342" s="6"/>
      <c r="B4342" s="6"/>
      <c r="C4342" s="6"/>
    </row>
    <row r="4343" spans="1:3">
      <c r="A4343" s="6"/>
      <c r="B4343" s="6"/>
      <c r="C4343" s="6"/>
    </row>
    <row r="4344" spans="1:3">
      <c r="A4344" s="6"/>
      <c r="B4344" s="6"/>
      <c r="C4344" s="6"/>
    </row>
    <row r="4345" spans="1:3">
      <c r="A4345" s="6"/>
      <c r="B4345" s="6"/>
      <c r="C4345" s="6"/>
    </row>
    <row r="4346" spans="1:3">
      <c r="A4346" s="6"/>
      <c r="B4346" s="6"/>
      <c r="C4346" s="6"/>
    </row>
    <row r="4347" spans="1:3">
      <c r="A4347" s="6"/>
      <c r="B4347" s="6"/>
      <c r="C4347" s="6"/>
    </row>
    <row r="4348" spans="1:3">
      <c r="A4348" s="6"/>
      <c r="B4348" s="6"/>
      <c r="C4348" s="6"/>
    </row>
    <row r="4349" spans="1:3">
      <c r="A4349" s="6"/>
      <c r="B4349" s="6"/>
      <c r="C4349" s="6"/>
    </row>
    <row r="4350" spans="1:3">
      <c r="A4350" s="6"/>
      <c r="B4350" s="6"/>
      <c r="C4350" s="6"/>
    </row>
    <row r="4351" spans="1:3">
      <c r="A4351" s="6"/>
      <c r="B4351" s="6"/>
      <c r="C4351" s="6"/>
    </row>
    <row r="4352" spans="1:3">
      <c r="A4352" s="6"/>
      <c r="B4352" s="6"/>
      <c r="C4352" s="6"/>
    </row>
    <row r="4353" spans="1:3">
      <c r="A4353" s="6"/>
      <c r="B4353" s="6"/>
      <c r="C4353" s="6"/>
    </row>
    <row r="4354" spans="1:3">
      <c r="A4354" s="6"/>
      <c r="B4354" s="6"/>
      <c r="C4354" s="6"/>
    </row>
    <row r="4355" spans="1:3">
      <c r="A4355" s="6"/>
      <c r="B4355" s="6"/>
      <c r="C4355" s="6"/>
    </row>
    <row r="4356" spans="1:3">
      <c r="A4356" s="6"/>
      <c r="B4356" s="6"/>
      <c r="C4356" s="6"/>
    </row>
    <row r="4357" spans="1:3">
      <c r="A4357" s="6"/>
      <c r="B4357" s="6"/>
      <c r="C4357" s="6"/>
    </row>
    <row r="4358" spans="1:3">
      <c r="A4358" s="6"/>
      <c r="B4358" s="6"/>
      <c r="C4358" s="6"/>
    </row>
    <row r="4359" spans="1:3">
      <c r="A4359" s="6"/>
      <c r="B4359" s="6"/>
      <c r="C4359" s="6"/>
    </row>
    <row r="4360" spans="1:3">
      <c r="A4360" s="6"/>
      <c r="B4360" s="6"/>
      <c r="C4360" s="6"/>
    </row>
    <row r="4361" spans="1:3">
      <c r="A4361" s="6"/>
      <c r="B4361" s="6"/>
      <c r="C4361" s="6"/>
    </row>
    <row r="4362" spans="1:3">
      <c r="A4362" s="6"/>
      <c r="B4362" s="6"/>
      <c r="C4362" s="6"/>
    </row>
    <row r="4363" spans="1:3">
      <c r="A4363" s="6"/>
      <c r="B4363" s="6"/>
      <c r="C4363" s="6"/>
    </row>
    <row r="4364" spans="1:3">
      <c r="A4364" s="6"/>
      <c r="B4364" s="6"/>
      <c r="C4364" s="6"/>
    </row>
    <row r="4365" spans="1:3">
      <c r="A4365" s="6"/>
      <c r="B4365" s="6"/>
      <c r="C4365" s="6"/>
    </row>
    <row r="4366" spans="1:3">
      <c r="A4366" s="6"/>
      <c r="B4366" s="6"/>
      <c r="C4366" s="6"/>
    </row>
    <row r="4367" spans="1:3">
      <c r="A4367" s="6"/>
      <c r="B4367" s="6"/>
      <c r="C4367" s="6"/>
    </row>
    <row r="4368" spans="1:3">
      <c r="A4368" s="6"/>
      <c r="B4368" s="6"/>
      <c r="C4368" s="6"/>
    </row>
    <row r="4369" spans="1:3">
      <c r="A4369" s="6"/>
      <c r="B4369" s="6"/>
      <c r="C4369" s="6"/>
    </row>
    <row r="4370" spans="1:3">
      <c r="A4370" s="6"/>
      <c r="B4370" s="6"/>
      <c r="C4370" s="6"/>
    </row>
    <row r="4371" spans="1:3">
      <c r="A4371" s="6"/>
      <c r="B4371" s="6"/>
      <c r="C4371" s="6"/>
    </row>
    <row r="4372" spans="1:3">
      <c r="A4372" s="6"/>
      <c r="B4372" s="6"/>
      <c r="C4372" s="6"/>
    </row>
    <row r="4373" spans="1:3">
      <c r="A4373" s="6"/>
      <c r="B4373" s="6"/>
      <c r="C4373" s="6"/>
    </row>
    <row r="4374" spans="1:3">
      <c r="A4374" s="6"/>
      <c r="B4374" s="6"/>
      <c r="C4374" s="6"/>
    </row>
    <row r="4375" spans="1:3">
      <c r="A4375" s="6"/>
      <c r="B4375" s="6"/>
      <c r="C4375" s="6"/>
    </row>
    <row r="4376" spans="1:3">
      <c r="A4376" s="6"/>
      <c r="B4376" s="6"/>
      <c r="C4376" s="6"/>
    </row>
    <row r="4377" spans="1:3">
      <c r="A4377" s="6"/>
      <c r="B4377" s="6"/>
      <c r="C4377" s="6"/>
    </row>
    <row r="4378" spans="1:3">
      <c r="A4378" s="6"/>
      <c r="B4378" s="6"/>
      <c r="C4378" s="6"/>
    </row>
    <row r="4379" spans="1:3">
      <c r="A4379" s="6"/>
      <c r="B4379" s="6"/>
      <c r="C4379" s="6"/>
    </row>
    <row r="4380" spans="1:3">
      <c r="A4380" s="6"/>
      <c r="B4380" s="6"/>
      <c r="C4380" s="6"/>
    </row>
    <row r="4381" spans="1:3">
      <c r="A4381" s="6"/>
      <c r="B4381" s="6"/>
      <c r="C4381" s="6"/>
    </row>
    <row r="4382" spans="1:3">
      <c r="A4382" s="6"/>
      <c r="B4382" s="6"/>
      <c r="C4382" s="6"/>
    </row>
    <row r="4383" spans="1:3">
      <c r="A4383" s="6"/>
      <c r="B4383" s="6"/>
      <c r="C4383" s="6"/>
    </row>
    <row r="4384" spans="1:3">
      <c r="A4384" s="6"/>
      <c r="B4384" s="6"/>
      <c r="C4384" s="6"/>
    </row>
    <row r="4385" spans="1:3">
      <c r="A4385" s="6"/>
      <c r="B4385" s="6"/>
      <c r="C4385" s="6"/>
    </row>
    <row r="4386" spans="1:3">
      <c r="A4386" s="6"/>
      <c r="B4386" s="6"/>
      <c r="C4386" s="6"/>
    </row>
    <row r="4387" spans="1:3">
      <c r="A4387" s="6"/>
      <c r="B4387" s="6"/>
      <c r="C4387" s="6"/>
    </row>
    <row r="4388" spans="1:3">
      <c r="A4388" s="6"/>
      <c r="B4388" s="6"/>
      <c r="C4388" s="6"/>
    </row>
    <row r="4389" spans="1:3">
      <c r="A4389" s="6"/>
      <c r="B4389" s="6"/>
      <c r="C4389" s="6"/>
    </row>
    <row r="4390" spans="1:3">
      <c r="A4390" s="6"/>
      <c r="B4390" s="6"/>
      <c r="C4390" s="6"/>
    </row>
    <row r="4391" spans="1:3">
      <c r="A4391" s="6"/>
      <c r="B4391" s="6"/>
      <c r="C4391" s="6"/>
    </row>
    <row r="4392" spans="1:3">
      <c r="A4392" s="6"/>
      <c r="B4392" s="6"/>
      <c r="C4392" s="6"/>
    </row>
    <row r="4393" spans="1:3">
      <c r="A4393" s="6"/>
      <c r="B4393" s="6"/>
      <c r="C4393" s="6"/>
    </row>
    <row r="4394" spans="1:3">
      <c r="A4394" s="6"/>
      <c r="B4394" s="6"/>
      <c r="C4394" s="6"/>
    </row>
    <row r="4395" spans="1:3">
      <c r="A4395" s="6"/>
      <c r="B4395" s="6"/>
      <c r="C4395" s="6"/>
    </row>
    <row r="4396" spans="1:3">
      <c r="A4396" s="6"/>
      <c r="B4396" s="6"/>
      <c r="C4396" s="6"/>
    </row>
    <row r="4397" spans="1:3">
      <c r="A4397" s="6"/>
      <c r="B4397" s="6"/>
      <c r="C4397" s="6"/>
    </row>
    <row r="4398" spans="1:3">
      <c r="A4398" s="6"/>
      <c r="B4398" s="6"/>
      <c r="C4398" s="6"/>
    </row>
    <row r="4399" spans="1:3">
      <c r="A4399" s="6"/>
      <c r="B4399" s="6"/>
      <c r="C4399" s="6"/>
    </row>
    <row r="4400" spans="1:3">
      <c r="A4400" s="6"/>
      <c r="B4400" s="6"/>
      <c r="C4400" s="6"/>
    </row>
    <row r="4401" spans="1:3">
      <c r="A4401" s="6"/>
      <c r="B4401" s="6"/>
      <c r="C4401" s="6"/>
    </row>
    <row r="4402" spans="1:3">
      <c r="A4402" s="6"/>
      <c r="B4402" s="6"/>
      <c r="C4402" s="6"/>
    </row>
    <row r="4403" spans="1:3">
      <c r="A4403" s="6"/>
      <c r="B4403" s="6"/>
      <c r="C4403" s="6"/>
    </row>
    <row r="4404" spans="1:3">
      <c r="A4404" s="6"/>
      <c r="B4404" s="6"/>
      <c r="C4404" s="6"/>
    </row>
    <row r="4405" spans="1:3">
      <c r="A4405" s="6"/>
      <c r="B4405" s="6"/>
      <c r="C4405" s="6"/>
    </row>
    <row r="4406" spans="1:3">
      <c r="A4406" s="6"/>
      <c r="B4406" s="6"/>
      <c r="C4406" s="6"/>
    </row>
    <row r="4407" spans="1:3">
      <c r="A4407" s="6"/>
      <c r="B4407" s="6"/>
      <c r="C4407" s="6"/>
    </row>
    <row r="4408" spans="1:3">
      <c r="A4408" s="6"/>
      <c r="B4408" s="6"/>
      <c r="C4408" s="6"/>
    </row>
    <row r="4409" spans="1:3">
      <c r="A4409" s="6"/>
      <c r="B4409" s="6"/>
      <c r="C4409" s="6"/>
    </row>
    <row r="4410" spans="1:3">
      <c r="A4410" s="6"/>
      <c r="B4410" s="6"/>
      <c r="C4410" s="6"/>
    </row>
    <row r="4411" spans="1:3">
      <c r="A4411" s="6"/>
      <c r="B4411" s="6"/>
      <c r="C4411" s="6"/>
    </row>
    <row r="4412" spans="1:3">
      <c r="A4412" s="6"/>
      <c r="B4412" s="6"/>
      <c r="C4412" s="6"/>
    </row>
    <row r="4413" spans="1:3">
      <c r="A4413" s="6"/>
      <c r="B4413" s="6"/>
      <c r="C4413" s="6"/>
    </row>
    <row r="4414" spans="1:3">
      <c r="A4414" s="6"/>
      <c r="B4414" s="6"/>
      <c r="C4414" s="6"/>
    </row>
    <row r="4415" spans="1:3">
      <c r="A4415" s="6"/>
      <c r="B4415" s="6"/>
      <c r="C4415" s="6"/>
    </row>
    <row r="4416" spans="1:3">
      <c r="A4416" s="6"/>
      <c r="B4416" s="6"/>
      <c r="C4416" s="6"/>
    </row>
    <row r="4417" spans="1:3">
      <c r="A4417" s="6"/>
      <c r="B4417" s="6"/>
      <c r="C4417" s="6"/>
    </row>
    <row r="4418" spans="1:3">
      <c r="A4418" s="6"/>
      <c r="B4418" s="6"/>
      <c r="C4418" s="6"/>
    </row>
    <row r="4419" spans="1:3">
      <c r="A4419" s="6"/>
      <c r="B4419" s="6"/>
      <c r="C4419" s="6"/>
    </row>
    <row r="4420" spans="1:3">
      <c r="A4420" s="6"/>
      <c r="B4420" s="6"/>
      <c r="C4420" s="6"/>
    </row>
    <row r="4421" spans="1:3">
      <c r="A4421" s="6"/>
      <c r="B4421" s="6"/>
      <c r="C4421" s="6"/>
    </row>
    <row r="4422" spans="1:3">
      <c r="A4422" s="6"/>
      <c r="B4422" s="6"/>
      <c r="C4422" s="6"/>
    </row>
    <row r="4423" spans="1:3">
      <c r="A4423" s="6"/>
      <c r="B4423" s="6"/>
      <c r="C4423" s="6"/>
    </row>
    <row r="4424" spans="1:3">
      <c r="A4424" s="6"/>
      <c r="B4424" s="6"/>
      <c r="C4424" s="6"/>
    </row>
    <row r="4425" spans="1:3">
      <c r="A4425" s="6"/>
      <c r="B4425" s="6"/>
      <c r="C4425" s="6"/>
    </row>
    <row r="4426" spans="1:3">
      <c r="A4426" s="6"/>
      <c r="B4426" s="6"/>
      <c r="C4426" s="6"/>
    </row>
    <row r="4427" spans="1:3">
      <c r="A4427" s="6"/>
      <c r="B4427" s="6"/>
      <c r="C4427" s="6"/>
    </row>
    <row r="4428" spans="1:3">
      <c r="A4428" s="6"/>
      <c r="B4428" s="6"/>
      <c r="C4428" s="6"/>
    </row>
    <row r="4429" spans="1:3">
      <c r="A4429" s="6"/>
      <c r="B4429" s="6"/>
      <c r="C4429" s="6"/>
    </row>
    <row r="4430" spans="1:3">
      <c r="A4430" s="6"/>
      <c r="B4430" s="6"/>
      <c r="C4430" s="6"/>
    </row>
    <row r="4431" spans="1:3">
      <c r="A4431" s="6"/>
      <c r="B4431" s="6"/>
      <c r="C4431" s="6"/>
    </row>
    <row r="4432" spans="1:3">
      <c r="A4432" s="6"/>
      <c r="B4432" s="6"/>
      <c r="C4432" s="6"/>
    </row>
    <row r="4433" spans="1:3">
      <c r="A4433" s="6"/>
      <c r="B4433" s="6"/>
      <c r="C4433" s="6"/>
    </row>
    <row r="4434" spans="1:3">
      <c r="A4434" s="6"/>
      <c r="B4434" s="6"/>
      <c r="C4434" s="6"/>
    </row>
    <row r="4435" spans="1:3">
      <c r="A4435" s="6"/>
      <c r="B4435" s="6"/>
      <c r="C4435" s="6"/>
    </row>
    <row r="4436" spans="1:3">
      <c r="A4436" s="6"/>
      <c r="B4436" s="6"/>
      <c r="C4436" s="6"/>
    </row>
    <row r="4437" spans="1:3">
      <c r="A4437" s="6"/>
      <c r="B4437" s="6"/>
      <c r="C4437" s="6"/>
    </row>
    <row r="4438" spans="1:3">
      <c r="A4438" s="6"/>
      <c r="B4438" s="6"/>
      <c r="C4438" s="6"/>
    </row>
    <row r="4439" spans="1:3">
      <c r="A4439" s="6"/>
      <c r="B4439" s="6"/>
      <c r="C4439" s="6"/>
    </row>
    <row r="4440" spans="1:3">
      <c r="A4440" s="6"/>
      <c r="B4440" s="6"/>
      <c r="C4440" s="6"/>
    </row>
    <row r="4441" spans="1:3">
      <c r="A4441" s="6"/>
      <c r="B4441" s="6"/>
      <c r="C4441" s="6"/>
    </row>
    <row r="4442" spans="1:3">
      <c r="A4442" s="6"/>
      <c r="B4442" s="6"/>
      <c r="C4442" s="6"/>
    </row>
    <row r="4443" spans="1:3">
      <c r="A4443" s="6"/>
      <c r="B4443" s="6"/>
      <c r="C4443" s="6"/>
    </row>
    <row r="4444" spans="1:3">
      <c r="A4444" s="6"/>
      <c r="B4444" s="6"/>
      <c r="C4444" s="6"/>
    </row>
    <row r="4445" spans="1:3">
      <c r="A4445" s="6"/>
      <c r="B4445" s="6"/>
      <c r="C4445" s="6"/>
    </row>
    <row r="4446" spans="1:3">
      <c r="A4446" s="6"/>
      <c r="B4446" s="6"/>
      <c r="C4446" s="6"/>
    </row>
    <row r="4447" spans="1:3">
      <c r="A4447" s="6"/>
      <c r="B4447" s="6"/>
      <c r="C4447" s="6"/>
    </row>
    <row r="4448" spans="1:3">
      <c r="A4448" s="6"/>
      <c r="B4448" s="6"/>
      <c r="C4448" s="6"/>
    </row>
    <row r="4449" spans="1:3">
      <c r="A4449" s="6"/>
      <c r="B4449" s="6"/>
      <c r="C4449" s="6"/>
    </row>
    <row r="4450" spans="1:3">
      <c r="A4450" s="6"/>
      <c r="B4450" s="6"/>
      <c r="C4450" s="6"/>
    </row>
    <row r="4451" spans="1:3">
      <c r="A4451" s="6"/>
      <c r="B4451" s="6"/>
      <c r="C4451" s="6"/>
    </row>
    <row r="4452" spans="1:3">
      <c r="A4452" s="6"/>
      <c r="B4452" s="6"/>
      <c r="C4452" s="6"/>
    </row>
    <row r="4453" spans="1:3">
      <c r="A4453" s="6"/>
      <c r="B4453" s="6"/>
      <c r="C4453" s="6"/>
    </row>
    <row r="4454" spans="1:3">
      <c r="A4454" s="6"/>
      <c r="B4454" s="6"/>
      <c r="C4454" s="6"/>
    </row>
    <row r="4455" spans="1:3">
      <c r="A4455" s="6"/>
      <c r="B4455" s="6"/>
      <c r="C4455" s="6"/>
    </row>
    <row r="4456" spans="1:3">
      <c r="A4456" s="6"/>
      <c r="B4456" s="6"/>
      <c r="C4456" s="6"/>
    </row>
    <row r="4457" spans="1:3">
      <c r="A4457" s="6"/>
      <c r="B4457" s="6"/>
      <c r="C4457" s="6"/>
    </row>
    <row r="4458" spans="1:3">
      <c r="A4458" s="6"/>
      <c r="B4458" s="6"/>
      <c r="C4458" s="6"/>
    </row>
    <row r="4459" spans="1:3">
      <c r="A4459" s="6"/>
      <c r="B4459" s="6"/>
      <c r="C4459" s="6"/>
    </row>
    <row r="4460" spans="1:3">
      <c r="A4460" s="6"/>
      <c r="B4460" s="6"/>
      <c r="C4460" s="6"/>
    </row>
    <row r="4461" spans="1:3">
      <c r="A4461" s="6"/>
      <c r="B4461" s="6"/>
      <c r="C4461" s="6"/>
    </row>
    <row r="4462" spans="1:3">
      <c r="A4462" s="6"/>
      <c r="B4462" s="6"/>
      <c r="C4462" s="6"/>
    </row>
    <row r="4463" spans="1:3">
      <c r="A4463" s="6"/>
      <c r="B4463" s="6"/>
      <c r="C4463" s="6"/>
    </row>
    <row r="4464" spans="1:3">
      <c r="A4464" s="6"/>
      <c r="B4464" s="6"/>
      <c r="C4464" s="6"/>
    </row>
    <row r="4465" spans="1:3">
      <c r="A4465" s="6"/>
      <c r="B4465" s="6"/>
      <c r="C4465" s="6"/>
    </row>
    <row r="4466" spans="1:3">
      <c r="A4466" s="6"/>
      <c r="B4466" s="6"/>
      <c r="C4466" s="6"/>
    </row>
    <row r="4467" spans="1:3">
      <c r="A4467" s="6"/>
      <c r="B4467" s="6"/>
      <c r="C4467" s="6"/>
    </row>
    <row r="4468" spans="1:3">
      <c r="A4468" s="6"/>
      <c r="B4468" s="6"/>
      <c r="C4468" s="6"/>
    </row>
    <row r="4469" spans="1:3">
      <c r="A4469" s="6"/>
      <c r="B4469" s="6"/>
      <c r="C4469" s="6"/>
    </row>
    <row r="4470" spans="1:3">
      <c r="A4470" s="6"/>
      <c r="B4470" s="6"/>
      <c r="C4470" s="6"/>
    </row>
    <row r="4471" spans="1:3">
      <c r="A4471" s="6"/>
      <c r="B4471" s="6"/>
      <c r="C4471" s="6"/>
    </row>
    <row r="4472" spans="1:3">
      <c r="A4472" s="6"/>
      <c r="B4472" s="6"/>
      <c r="C4472" s="6"/>
    </row>
    <row r="4473" spans="1:3">
      <c r="A4473" s="6"/>
      <c r="B4473" s="6"/>
      <c r="C4473" s="6"/>
    </row>
    <row r="4474" spans="1:3">
      <c r="A4474" s="6"/>
      <c r="B4474" s="6"/>
      <c r="C4474" s="6"/>
    </row>
    <row r="4475" spans="1:3">
      <c r="A4475" s="6"/>
      <c r="B4475" s="6"/>
      <c r="C4475" s="6"/>
    </row>
    <row r="4476" spans="1:3">
      <c r="A4476" s="6"/>
      <c r="B4476" s="6"/>
      <c r="C4476" s="6"/>
    </row>
    <row r="4477" spans="1:3">
      <c r="A4477" s="6"/>
      <c r="B4477" s="6"/>
      <c r="C4477" s="6"/>
    </row>
    <row r="4478" spans="1:3">
      <c r="A4478" s="6"/>
      <c r="B4478" s="6"/>
      <c r="C4478" s="6"/>
    </row>
    <row r="4479" spans="1:3">
      <c r="A4479" s="6"/>
      <c r="B4479" s="6"/>
      <c r="C4479" s="6"/>
    </row>
    <row r="4480" spans="1:3">
      <c r="A4480" s="6"/>
      <c r="B4480" s="6"/>
      <c r="C4480" s="6"/>
    </row>
    <row r="4481" spans="1:3">
      <c r="A4481" s="6"/>
      <c r="B4481" s="6"/>
      <c r="C4481" s="6"/>
    </row>
    <row r="4482" spans="1:3">
      <c r="A4482" s="6"/>
      <c r="B4482" s="6"/>
      <c r="C4482" s="6"/>
    </row>
    <row r="4483" spans="1:3">
      <c r="A4483" s="6"/>
      <c r="B4483" s="6"/>
      <c r="C4483" s="6"/>
    </row>
    <row r="4484" spans="1:3">
      <c r="A4484" s="6"/>
      <c r="B4484" s="6"/>
      <c r="C4484" s="6"/>
    </row>
    <row r="4485" spans="1:3">
      <c r="A4485" s="6"/>
      <c r="B4485" s="6"/>
      <c r="C4485" s="6"/>
    </row>
    <row r="4486" spans="1:3">
      <c r="A4486" s="6"/>
      <c r="B4486" s="6"/>
      <c r="C4486" s="6"/>
    </row>
    <row r="4487" spans="1:3">
      <c r="A4487" s="6"/>
      <c r="B4487" s="6"/>
      <c r="C4487" s="6"/>
    </row>
    <row r="4488" spans="1:3">
      <c r="A4488" s="6"/>
      <c r="B4488" s="6"/>
      <c r="C4488" s="6"/>
    </row>
    <row r="4489" spans="1:3">
      <c r="A4489" s="6"/>
      <c r="B4489" s="6"/>
      <c r="C4489" s="6"/>
    </row>
    <row r="4490" spans="1:3">
      <c r="A4490" s="6"/>
      <c r="B4490" s="6"/>
      <c r="C4490" s="6"/>
    </row>
    <row r="4491" spans="1:3">
      <c r="A4491" s="6"/>
      <c r="B4491" s="6"/>
      <c r="C4491" s="6"/>
    </row>
    <row r="4492" spans="1:3">
      <c r="A4492" s="6"/>
      <c r="B4492" s="6"/>
      <c r="C4492" s="6"/>
    </row>
    <row r="4493" spans="1:3">
      <c r="A4493" s="6"/>
      <c r="B4493" s="6"/>
      <c r="C4493" s="6"/>
    </row>
    <row r="4494" spans="1:3">
      <c r="A4494" s="6"/>
      <c r="B4494" s="6"/>
      <c r="C4494" s="6"/>
    </row>
    <row r="4495" spans="1:3">
      <c r="A4495" s="6"/>
      <c r="B4495" s="6"/>
      <c r="C4495" s="6"/>
    </row>
    <row r="4496" spans="1:3">
      <c r="A4496" s="6"/>
      <c r="B4496" s="6"/>
      <c r="C4496" s="6"/>
    </row>
    <row r="4497" spans="1:3">
      <c r="A4497" s="6"/>
      <c r="B4497" s="6"/>
      <c r="C4497" s="6"/>
    </row>
    <row r="4498" spans="1:3">
      <c r="A4498" s="6"/>
      <c r="B4498" s="6"/>
      <c r="C4498" s="6"/>
    </row>
    <row r="4499" spans="1:3">
      <c r="A4499" s="6"/>
      <c r="B4499" s="6"/>
      <c r="C4499" s="6"/>
    </row>
    <row r="4500" spans="1:3">
      <c r="A4500" s="6"/>
      <c r="B4500" s="6"/>
      <c r="C4500" s="6"/>
    </row>
    <row r="4501" spans="1:3">
      <c r="A4501" s="6"/>
      <c r="B4501" s="6"/>
      <c r="C4501" s="6"/>
    </row>
    <row r="4502" spans="1:3">
      <c r="A4502" s="6"/>
      <c r="B4502" s="6"/>
      <c r="C4502" s="6"/>
    </row>
    <row r="4503" spans="1:3">
      <c r="A4503" s="6"/>
      <c r="B4503" s="6"/>
      <c r="C4503" s="6"/>
    </row>
    <row r="4504" spans="1:3">
      <c r="A4504" s="6"/>
      <c r="B4504" s="6"/>
      <c r="C4504" s="6"/>
    </row>
    <row r="4505" spans="1:3">
      <c r="A4505" s="6"/>
      <c r="B4505" s="6"/>
      <c r="C4505" s="6"/>
    </row>
    <row r="4506" spans="1:3">
      <c r="A4506" s="6"/>
      <c r="B4506" s="6"/>
      <c r="C4506" s="6"/>
    </row>
    <row r="4507" spans="1:3">
      <c r="A4507" s="6"/>
      <c r="B4507" s="6"/>
      <c r="C4507" s="6"/>
    </row>
    <row r="4508" spans="1:3">
      <c r="A4508" s="6"/>
      <c r="B4508" s="6"/>
      <c r="C4508" s="6"/>
    </row>
    <row r="4509" spans="1:3">
      <c r="A4509" s="6"/>
      <c r="B4509" s="6"/>
      <c r="C4509" s="6"/>
    </row>
    <row r="4510" spans="1:3">
      <c r="A4510" s="6"/>
      <c r="B4510" s="6"/>
      <c r="C4510" s="6"/>
    </row>
    <row r="4511" spans="1:3">
      <c r="A4511" s="6"/>
      <c r="B4511" s="6"/>
      <c r="C4511" s="6"/>
    </row>
    <row r="4512" spans="1:3">
      <c r="A4512" s="6"/>
      <c r="B4512" s="6"/>
      <c r="C4512" s="6"/>
    </row>
    <row r="4513" spans="1:3">
      <c r="A4513" s="6"/>
      <c r="B4513" s="6"/>
      <c r="C4513" s="6"/>
    </row>
    <row r="4514" spans="1:3">
      <c r="A4514" s="6"/>
      <c r="B4514" s="6"/>
      <c r="C4514" s="6"/>
    </row>
    <row r="4515" spans="1:3">
      <c r="A4515" s="6"/>
      <c r="B4515" s="6"/>
      <c r="C4515" s="6"/>
    </row>
    <row r="4516" spans="1:3">
      <c r="A4516" s="6"/>
      <c r="B4516" s="6"/>
      <c r="C4516" s="6"/>
    </row>
    <row r="4517" spans="1:3">
      <c r="A4517" s="6"/>
      <c r="B4517" s="6"/>
      <c r="C4517" s="6"/>
    </row>
    <row r="4518" spans="1:3">
      <c r="A4518" s="6"/>
      <c r="B4518" s="6"/>
      <c r="C4518" s="6"/>
    </row>
    <row r="4519" spans="1:3">
      <c r="A4519" s="6"/>
      <c r="B4519" s="6"/>
      <c r="C4519" s="6"/>
    </row>
    <row r="4520" spans="1:3">
      <c r="A4520" s="6"/>
      <c r="B4520" s="6"/>
      <c r="C4520" s="6"/>
    </row>
    <row r="4521" spans="1:3">
      <c r="A4521" s="6"/>
      <c r="B4521" s="6"/>
      <c r="C4521" s="6"/>
    </row>
    <row r="4522" spans="1:3">
      <c r="A4522" s="6"/>
      <c r="B4522" s="6"/>
      <c r="C4522" s="6"/>
    </row>
    <row r="4523" spans="1:3">
      <c r="A4523" s="6"/>
      <c r="B4523" s="6"/>
      <c r="C4523" s="6"/>
    </row>
    <row r="4524" spans="1:3">
      <c r="A4524" s="6"/>
      <c r="B4524" s="6"/>
      <c r="C4524" s="6"/>
    </row>
    <row r="4525" spans="1:3">
      <c r="A4525" s="6"/>
      <c r="B4525" s="6"/>
      <c r="C4525" s="6"/>
    </row>
    <row r="4526" spans="1:3">
      <c r="A4526" s="6"/>
      <c r="B4526" s="6"/>
      <c r="C4526" s="6"/>
    </row>
    <row r="4527" spans="1:3">
      <c r="A4527" s="6"/>
      <c r="B4527" s="6"/>
      <c r="C4527" s="6"/>
    </row>
    <row r="4528" spans="1:3">
      <c r="A4528" s="6"/>
      <c r="B4528" s="6"/>
      <c r="C4528" s="6"/>
    </row>
    <row r="4529" spans="1:3">
      <c r="A4529" s="6"/>
      <c r="B4529" s="6"/>
      <c r="C4529" s="6"/>
    </row>
    <row r="4530" spans="1:3">
      <c r="A4530" s="6"/>
      <c r="B4530" s="6"/>
      <c r="C4530" s="6"/>
    </row>
    <row r="4531" spans="1:3">
      <c r="A4531" s="6"/>
      <c r="B4531" s="6"/>
      <c r="C4531" s="6"/>
    </row>
    <row r="4532" spans="1:3">
      <c r="A4532" s="6"/>
      <c r="B4532" s="6"/>
      <c r="C4532" s="6"/>
    </row>
    <row r="4533" spans="1:3">
      <c r="A4533" s="6"/>
      <c r="B4533" s="6"/>
      <c r="C4533" s="6"/>
    </row>
    <row r="4534" spans="1:3">
      <c r="A4534" s="6"/>
      <c r="B4534" s="6"/>
      <c r="C4534" s="6"/>
    </row>
    <row r="4535" spans="1:3">
      <c r="A4535" s="6"/>
      <c r="B4535" s="6"/>
      <c r="C4535" s="6"/>
    </row>
    <row r="4536" spans="1:3">
      <c r="A4536" s="6"/>
      <c r="B4536" s="6"/>
      <c r="C4536" s="6"/>
    </row>
    <row r="4537" spans="1:3">
      <c r="A4537" s="6"/>
      <c r="B4537" s="6"/>
      <c r="C4537" s="6"/>
    </row>
    <row r="4538" spans="1:3">
      <c r="A4538" s="6"/>
      <c r="B4538" s="6"/>
      <c r="C4538" s="6"/>
    </row>
    <row r="4539" spans="1:3">
      <c r="A4539" s="6"/>
      <c r="B4539" s="6"/>
      <c r="C4539" s="6"/>
    </row>
    <row r="4540" spans="1:3">
      <c r="A4540" s="6"/>
      <c r="B4540" s="6"/>
      <c r="C4540" s="6"/>
    </row>
    <row r="4541" spans="1:3">
      <c r="A4541" s="6"/>
      <c r="B4541" s="6"/>
      <c r="C4541" s="6"/>
    </row>
    <row r="4542" spans="1:3">
      <c r="A4542" s="6"/>
      <c r="B4542" s="6"/>
      <c r="C4542" s="6"/>
    </row>
    <row r="4543" spans="1:3">
      <c r="A4543" s="6"/>
      <c r="B4543" s="6"/>
      <c r="C4543" s="6"/>
    </row>
    <row r="4544" spans="1:3">
      <c r="A4544" s="6"/>
      <c r="B4544" s="6"/>
      <c r="C4544" s="6"/>
    </row>
    <row r="4545" spans="1:3">
      <c r="A4545" s="6"/>
      <c r="B4545" s="6"/>
      <c r="C4545" s="6"/>
    </row>
    <row r="4546" spans="1:3">
      <c r="A4546" s="6"/>
      <c r="B4546" s="6"/>
      <c r="C4546" s="6"/>
    </row>
    <row r="4547" spans="1:3">
      <c r="A4547" s="6"/>
      <c r="B4547" s="6"/>
      <c r="C4547" s="6"/>
    </row>
    <row r="4548" spans="1:3">
      <c r="A4548" s="6"/>
      <c r="B4548" s="6"/>
      <c r="C4548" s="6"/>
    </row>
    <row r="4549" spans="1:3">
      <c r="A4549" s="6"/>
      <c r="B4549" s="6"/>
      <c r="C4549" s="6"/>
    </row>
    <row r="4550" spans="1:3">
      <c r="A4550" s="6"/>
      <c r="B4550" s="6"/>
      <c r="C4550" s="6"/>
    </row>
    <row r="4551" spans="1:3">
      <c r="A4551" s="6"/>
      <c r="B4551" s="6"/>
      <c r="C4551" s="6"/>
    </row>
    <row r="4552" spans="1:3">
      <c r="A4552" s="6"/>
      <c r="B4552" s="6"/>
      <c r="C4552" s="6"/>
    </row>
    <row r="4553" spans="1:3">
      <c r="A4553" s="6"/>
      <c r="B4553" s="6"/>
      <c r="C4553" s="6"/>
    </row>
    <row r="4554" spans="1:3">
      <c r="A4554" s="6"/>
      <c r="B4554" s="6"/>
      <c r="C4554" s="6"/>
    </row>
    <row r="4555" spans="1:3">
      <c r="A4555" s="6"/>
      <c r="B4555" s="6"/>
      <c r="C4555" s="6"/>
    </row>
    <row r="4556" spans="1:3">
      <c r="A4556" s="6"/>
      <c r="B4556" s="6"/>
      <c r="C4556" s="6"/>
    </row>
    <row r="4557" spans="1:3">
      <c r="A4557" s="6"/>
      <c r="B4557" s="6"/>
      <c r="C4557" s="6"/>
    </row>
    <row r="4558" spans="1:3">
      <c r="A4558" s="6"/>
      <c r="B4558" s="6"/>
      <c r="C4558" s="6"/>
    </row>
    <row r="4559" spans="1:3">
      <c r="A4559" s="6"/>
      <c r="B4559" s="6"/>
      <c r="C4559" s="6"/>
    </row>
    <row r="4560" spans="1:3">
      <c r="A4560" s="6"/>
      <c r="B4560" s="6"/>
      <c r="C4560" s="6"/>
    </row>
    <row r="4561" spans="1:3">
      <c r="A4561" s="6"/>
      <c r="B4561" s="6"/>
      <c r="C4561" s="6"/>
    </row>
    <row r="4562" spans="1:3">
      <c r="A4562" s="6"/>
      <c r="B4562" s="6"/>
      <c r="C4562" s="6"/>
    </row>
    <row r="4563" spans="1:3">
      <c r="A4563" s="6"/>
      <c r="B4563" s="6"/>
      <c r="C4563" s="6"/>
    </row>
    <row r="4564" spans="1:3">
      <c r="A4564" s="6"/>
      <c r="B4564" s="6"/>
      <c r="C4564" s="6"/>
    </row>
    <row r="4565" spans="1:3">
      <c r="A4565" s="6"/>
      <c r="B4565" s="6"/>
      <c r="C4565" s="6"/>
    </row>
    <row r="4566" spans="1:3">
      <c r="A4566" s="6"/>
      <c r="B4566" s="6"/>
      <c r="C4566" s="6"/>
    </row>
    <row r="4567" spans="1:3">
      <c r="A4567" s="6"/>
      <c r="B4567" s="6"/>
      <c r="C4567" s="6"/>
    </row>
    <row r="4568" spans="1:3">
      <c r="A4568" s="6"/>
      <c r="B4568" s="6"/>
      <c r="C4568" s="6"/>
    </row>
    <row r="4569" spans="1:3">
      <c r="A4569" s="6"/>
      <c r="B4569" s="6"/>
      <c r="C4569" s="6"/>
    </row>
    <row r="4570" spans="1:3">
      <c r="A4570" s="6"/>
      <c r="B4570" s="6"/>
      <c r="C4570" s="6"/>
    </row>
    <row r="4571" spans="1:3">
      <c r="A4571" s="6"/>
      <c r="B4571" s="6"/>
      <c r="C4571" s="6"/>
    </row>
    <row r="4572" spans="1:3">
      <c r="A4572" s="6"/>
      <c r="B4572" s="6"/>
      <c r="C4572" s="6"/>
    </row>
    <row r="4573" spans="1:3">
      <c r="A4573" s="6"/>
      <c r="B4573" s="6"/>
      <c r="C4573" s="6"/>
    </row>
    <row r="4574" spans="1:3">
      <c r="A4574" s="6"/>
      <c r="B4574" s="6"/>
      <c r="C4574" s="6"/>
    </row>
    <row r="4575" spans="1:3">
      <c r="A4575" s="6"/>
      <c r="B4575" s="6"/>
      <c r="C4575" s="6"/>
    </row>
    <row r="4576" spans="1:3">
      <c r="A4576" s="6"/>
      <c r="B4576" s="6"/>
      <c r="C4576" s="6"/>
    </row>
    <row r="4577" spans="1:3">
      <c r="A4577" s="6"/>
      <c r="B4577" s="6"/>
      <c r="C4577" s="6"/>
    </row>
    <row r="4578" spans="1:3">
      <c r="A4578" s="6"/>
      <c r="B4578" s="6"/>
      <c r="C4578" s="6"/>
    </row>
    <row r="4579" spans="1:3">
      <c r="A4579" s="6"/>
      <c r="B4579" s="6"/>
      <c r="C4579" s="6"/>
    </row>
    <row r="4580" spans="1:3">
      <c r="A4580" s="6"/>
      <c r="B4580" s="6"/>
      <c r="C4580" s="6"/>
    </row>
    <row r="4581" spans="1:3">
      <c r="A4581" s="6"/>
      <c r="B4581" s="6"/>
      <c r="C4581" s="6"/>
    </row>
    <row r="4582" spans="1:3">
      <c r="A4582" s="6"/>
      <c r="B4582" s="6"/>
      <c r="C4582" s="6"/>
    </row>
    <row r="4583" spans="1:3">
      <c r="A4583" s="6"/>
      <c r="B4583" s="6"/>
      <c r="C4583" s="6"/>
    </row>
    <row r="4584" spans="1:3">
      <c r="A4584" s="6"/>
      <c r="B4584" s="6"/>
      <c r="C4584" s="6"/>
    </row>
    <row r="4585" spans="1:3">
      <c r="A4585" s="6"/>
      <c r="B4585" s="6"/>
      <c r="C4585" s="6"/>
    </row>
    <row r="4586" spans="1:3">
      <c r="A4586" s="6"/>
      <c r="B4586" s="6"/>
      <c r="C4586" s="6"/>
    </row>
    <row r="4587" spans="1:3">
      <c r="A4587" s="6"/>
      <c r="B4587" s="6"/>
      <c r="C4587" s="6"/>
    </row>
    <row r="4588" spans="1:3">
      <c r="A4588" s="6"/>
      <c r="B4588" s="6"/>
      <c r="C4588" s="6"/>
    </row>
    <row r="4589" spans="1:3">
      <c r="A4589" s="6"/>
      <c r="B4589" s="6"/>
      <c r="C4589" s="6"/>
    </row>
    <row r="4590" spans="1:3">
      <c r="A4590" s="6"/>
      <c r="B4590" s="6"/>
      <c r="C4590" s="6"/>
    </row>
    <row r="4591" spans="1:3">
      <c r="A4591" s="6"/>
      <c r="B4591" s="6"/>
      <c r="C4591" s="6"/>
    </row>
    <row r="4592" spans="1:3">
      <c r="A4592" s="6"/>
      <c r="B4592" s="6"/>
      <c r="C4592" s="6"/>
    </row>
    <row r="4593" spans="1:3">
      <c r="A4593" s="6"/>
      <c r="B4593" s="6"/>
      <c r="C4593" s="6"/>
    </row>
    <row r="4594" spans="1:3">
      <c r="A4594" s="6"/>
      <c r="B4594" s="6"/>
      <c r="C4594" s="6"/>
    </row>
    <row r="4595" spans="1:3">
      <c r="A4595" s="6"/>
      <c r="B4595" s="6"/>
      <c r="C4595" s="6"/>
    </row>
    <row r="4596" spans="1:3">
      <c r="A4596" s="6"/>
      <c r="B4596" s="6"/>
      <c r="C4596" s="6"/>
    </row>
    <row r="4597" spans="1:3">
      <c r="A4597" s="6"/>
      <c r="B4597" s="6"/>
      <c r="C4597" s="6"/>
    </row>
    <row r="4598" spans="1:3">
      <c r="A4598" s="6"/>
      <c r="B4598" s="6"/>
      <c r="C4598" s="6"/>
    </row>
    <row r="4599" spans="1:3">
      <c r="A4599" s="6"/>
      <c r="B4599" s="6"/>
      <c r="C4599" s="6"/>
    </row>
    <row r="4600" spans="1:3">
      <c r="A4600" s="6"/>
      <c r="B4600" s="6"/>
      <c r="C4600" s="6"/>
    </row>
    <row r="4601" spans="1:3">
      <c r="A4601" s="6"/>
      <c r="B4601" s="6"/>
      <c r="C4601" s="6"/>
    </row>
    <row r="4602" spans="1:3">
      <c r="A4602" s="6"/>
      <c r="B4602" s="6"/>
      <c r="C4602" s="6"/>
    </row>
    <row r="4603" spans="1:3">
      <c r="A4603" s="6"/>
      <c r="B4603" s="6"/>
      <c r="C4603" s="6"/>
    </row>
    <row r="4604" spans="1:3">
      <c r="A4604" s="6"/>
      <c r="B4604" s="6"/>
      <c r="C4604" s="6"/>
    </row>
    <row r="4605" spans="1:3">
      <c r="A4605" s="6"/>
      <c r="B4605" s="6"/>
      <c r="C4605" s="6"/>
    </row>
    <row r="4606" spans="1:3">
      <c r="A4606" s="6"/>
      <c r="B4606" s="6"/>
      <c r="C4606" s="6"/>
    </row>
    <row r="4607" spans="1:3">
      <c r="A4607" s="6"/>
      <c r="B4607" s="6"/>
      <c r="C4607" s="6"/>
    </row>
    <row r="4608" spans="1:3">
      <c r="A4608" s="6"/>
      <c r="B4608" s="6"/>
      <c r="C4608" s="6"/>
    </row>
    <row r="4609" spans="1:3">
      <c r="A4609" s="6"/>
      <c r="B4609" s="6"/>
      <c r="C4609" s="6"/>
    </row>
    <row r="4610" spans="1:3">
      <c r="A4610" s="6"/>
      <c r="B4610" s="6"/>
      <c r="C4610" s="6"/>
    </row>
    <row r="4611" spans="1:3">
      <c r="A4611" s="6"/>
      <c r="B4611" s="6"/>
      <c r="C4611" s="6"/>
    </row>
    <row r="4612" spans="1:3">
      <c r="A4612" s="6"/>
      <c r="B4612" s="6"/>
      <c r="C4612" s="6"/>
    </row>
    <row r="4613" spans="1:3">
      <c r="A4613" s="6"/>
      <c r="B4613" s="6"/>
      <c r="C4613" s="6"/>
    </row>
    <row r="4614" spans="1:3">
      <c r="A4614" s="6"/>
      <c r="B4614" s="6"/>
      <c r="C4614" s="6"/>
    </row>
    <row r="4615" spans="1:3">
      <c r="A4615" s="6"/>
      <c r="B4615" s="6"/>
      <c r="C4615" s="6"/>
    </row>
    <row r="4616" spans="1:3">
      <c r="A4616" s="6"/>
      <c r="B4616" s="6"/>
      <c r="C4616" s="6"/>
    </row>
    <row r="4617" spans="1:3">
      <c r="A4617" s="6"/>
      <c r="B4617" s="6"/>
      <c r="C4617" s="6"/>
    </row>
    <row r="4618" spans="1:3">
      <c r="A4618" s="6"/>
      <c r="B4618" s="6"/>
      <c r="C4618" s="6"/>
    </row>
    <row r="4619" spans="1:3">
      <c r="A4619" s="6"/>
      <c r="B4619" s="6"/>
      <c r="C4619" s="6"/>
    </row>
    <row r="4620" spans="1:3">
      <c r="A4620" s="6"/>
      <c r="B4620" s="6"/>
      <c r="C4620" s="6"/>
    </row>
    <row r="4621" spans="1:3">
      <c r="A4621" s="6"/>
      <c r="B4621" s="6"/>
      <c r="C4621" s="6"/>
    </row>
    <row r="4622" spans="1:3">
      <c r="A4622" s="6"/>
      <c r="B4622" s="6"/>
      <c r="C4622" s="6"/>
    </row>
    <row r="4623" spans="1:3">
      <c r="A4623" s="6"/>
      <c r="B4623" s="6"/>
      <c r="C4623" s="6"/>
    </row>
    <row r="4624" spans="1:3">
      <c r="A4624" s="6"/>
      <c r="B4624" s="6"/>
      <c r="C4624" s="6"/>
    </row>
    <row r="4625" spans="1:3">
      <c r="A4625" s="6"/>
      <c r="B4625" s="6"/>
      <c r="C4625" s="6"/>
    </row>
    <row r="4626" spans="1:3">
      <c r="A4626" s="6"/>
      <c r="B4626" s="6"/>
      <c r="C4626" s="6"/>
    </row>
    <row r="4627" spans="1:3">
      <c r="A4627" s="6"/>
      <c r="B4627" s="6"/>
      <c r="C4627" s="6"/>
    </row>
    <row r="4628" spans="1:3">
      <c r="A4628" s="6"/>
      <c r="B4628" s="6"/>
      <c r="C4628" s="6"/>
    </row>
    <row r="4629" spans="1:3">
      <c r="A4629" s="6"/>
      <c r="B4629" s="6"/>
      <c r="C4629" s="6"/>
    </row>
    <row r="4630" spans="1:3">
      <c r="A4630" s="6"/>
      <c r="B4630" s="6"/>
      <c r="C4630" s="6"/>
    </row>
    <row r="4631" spans="1:3">
      <c r="A4631" s="6"/>
      <c r="B4631" s="6"/>
      <c r="C4631" s="6"/>
    </row>
    <row r="4632" spans="1:3">
      <c r="A4632" s="6"/>
      <c r="B4632" s="6"/>
      <c r="C4632" s="6"/>
    </row>
    <row r="4633" spans="1:3">
      <c r="A4633" s="6"/>
      <c r="B4633" s="6"/>
      <c r="C4633" s="6"/>
    </row>
    <row r="4634" spans="1:3">
      <c r="A4634" s="6"/>
      <c r="B4634" s="6"/>
      <c r="C4634" s="6"/>
    </row>
    <row r="4635" spans="1:3">
      <c r="A4635" s="6"/>
      <c r="B4635" s="6"/>
      <c r="C4635" s="6"/>
    </row>
    <row r="4636" spans="1:3">
      <c r="A4636" s="6"/>
      <c r="B4636" s="6"/>
      <c r="C4636" s="6"/>
    </row>
    <row r="4637" spans="1:3">
      <c r="A4637" s="6"/>
      <c r="B4637" s="6"/>
      <c r="C4637" s="6"/>
    </row>
    <row r="4638" spans="1:3">
      <c r="A4638" s="6"/>
      <c r="B4638" s="6"/>
      <c r="C4638" s="6"/>
    </row>
    <row r="4639" spans="1:3">
      <c r="A4639" s="6"/>
      <c r="B4639" s="6"/>
      <c r="C4639" s="6"/>
    </row>
    <row r="4640" spans="1:3">
      <c r="A4640" s="6"/>
      <c r="B4640" s="6"/>
      <c r="C4640" s="6"/>
    </row>
    <row r="4641" spans="1:3">
      <c r="A4641" s="6"/>
      <c r="B4641" s="6"/>
      <c r="C4641" s="6"/>
    </row>
    <row r="4642" spans="1:3">
      <c r="A4642" s="6"/>
      <c r="B4642" s="6"/>
      <c r="C4642" s="6"/>
    </row>
    <row r="4643" spans="1:3">
      <c r="A4643" s="6"/>
      <c r="B4643" s="6"/>
      <c r="C4643" s="6"/>
    </row>
    <row r="4644" spans="1:3">
      <c r="A4644" s="6"/>
      <c r="B4644" s="6"/>
      <c r="C4644" s="6"/>
    </row>
    <row r="4645" spans="1:3">
      <c r="A4645" s="6"/>
      <c r="B4645" s="6"/>
      <c r="C4645" s="6"/>
    </row>
    <row r="4646" spans="1:3">
      <c r="A4646" s="6"/>
      <c r="B4646" s="6"/>
      <c r="C4646" s="6"/>
    </row>
    <row r="4647" spans="1:3">
      <c r="A4647" s="6"/>
      <c r="B4647" s="6"/>
      <c r="C4647" s="6"/>
    </row>
    <row r="4648" spans="1:3">
      <c r="A4648" s="6"/>
      <c r="B4648" s="6"/>
      <c r="C4648" s="6"/>
    </row>
    <row r="4649" spans="1:3">
      <c r="A4649" s="6"/>
      <c r="B4649" s="6"/>
      <c r="C4649" s="6"/>
    </row>
    <row r="4650" spans="1:3">
      <c r="A4650" s="6"/>
      <c r="B4650" s="6"/>
      <c r="C4650" s="6"/>
    </row>
    <row r="4651" spans="1:3">
      <c r="A4651" s="6"/>
      <c r="B4651" s="6"/>
      <c r="C4651" s="6"/>
    </row>
    <row r="4652" spans="1:3">
      <c r="A4652" s="6"/>
      <c r="B4652" s="6"/>
      <c r="C4652" s="6"/>
    </row>
    <row r="4653" spans="1:3">
      <c r="A4653" s="6"/>
      <c r="B4653" s="6"/>
      <c r="C4653" s="6"/>
    </row>
    <row r="4654" spans="1:3">
      <c r="A4654" s="6"/>
      <c r="B4654" s="6"/>
      <c r="C4654" s="6"/>
    </row>
    <row r="4655" spans="1:4">
      <c r="A4655" s="7"/>
      <c r="B4655" s="7"/>
      <c r="C4655" s="7"/>
      <c r="D4655" s="7"/>
    </row>
    <row r="4656" spans="1:4">
      <c r="A4656" s="7"/>
      <c r="B4656" s="7"/>
      <c r="C4656" s="7"/>
      <c r="D4656" s="7"/>
    </row>
    <row r="4657" spans="1:4">
      <c r="A4657" s="7"/>
      <c r="B4657" s="7"/>
      <c r="C4657" s="7"/>
      <c r="D4657" s="7"/>
    </row>
    <row r="4658" spans="1:4">
      <c r="A4658" s="7"/>
      <c r="B4658" s="7"/>
      <c r="C4658" s="7"/>
      <c r="D4658" s="7"/>
    </row>
    <row r="4659" spans="1:4">
      <c r="A4659" s="7"/>
      <c r="B4659" s="7"/>
      <c r="C4659" s="7"/>
      <c r="D4659" s="7"/>
    </row>
    <row r="4660" spans="1:4">
      <c r="A4660" s="7"/>
      <c r="B4660" s="7"/>
      <c r="C4660" s="7"/>
      <c r="D4660" s="7"/>
    </row>
    <row r="4661" spans="1:4">
      <c r="A4661" s="7"/>
      <c r="B4661" s="7"/>
      <c r="C4661" s="7"/>
      <c r="D4661" s="7"/>
    </row>
    <row r="4662" spans="1:4">
      <c r="A4662" s="7"/>
      <c r="B4662" s="7"/>
      <c r="C4662" s="7"/>
      <c r="D4662" s="7"/>
    </row>
    <row r="4663" spans="1:4">
      <c r="A4663" s="7"/>
      <c r="B4663" s="7"/>
      <c r="C4663" s="7"/>
      <c r="D4663" s="7"/>
    </row>
    <row r="4664" spans="1:4">
      <c r="A4664" s="7"/>
      <c r="B4664" s="7"/>
      <c r="C4664" s="7"/>
      <c r="D4664" s="7"/>
    </row>
    <row r="4665" spans="1:4">
      <c r="A4665" s="7"/>
      <c r="B4665" s="7"/>
      <c r="C4665" s="7"/>
      <c r="D4665" s="7"/>
    </row>
    <row r="4666" spans="1:4">
      <c r="A4666" s="7"/>
      <c r="B4666" s="7"/>
      <c r="C4666" s="7"/>
      <c r="D4666" s="7"/>
    </row>
    <row r="4667" spans="1:4">
      <c r="A4667" s="7"/>
      <c r="B4667" s="7"/>
      <c r="C4667" s="7"/>
      <c r="D4667" s="7"/>
    </row>
    <row r="4668" spans="1:4">
      <c r="A4668" s="7"/>
      <c r="B4668" s="7"/>
      <c r="C4668" s="7"/>
      <c r="D4668" s="7"/>
    </row>
    <row r="4669" spans="1:4">
      <c r="A4669" s="7"/>
      <c r="B4669" s="7"/>
      <c r="C4669" s="7"/>
      <c r="D4669" s="7"/>
    </row>
    <row r="4670" spans="1:4">
      <c r="A4670" s="7"/>
      <c r="B4670" s="7"/>
      <c r="C4670" s="7"/>
      <c r="D4670" s="7"/>
    </row>
    <row r="4671" spans="1:4">
      <c r="A4671" s="7"/>
      <c r="B4671" s="7"/>
      <c r="C4671" s="7"/>
      <c r="D4671" s="7"/>
    </row>
    <row r="4672" spans="1:4">
      <c r="A4672" s="7"/>
      <c r="B4672" s="7"/>
      <c r="C4672" s="7"/>
      <c r="D4672" s="7"/>
    </row>
    <row r="4673" spans="1:4">
      <c r="A4673" s="7"/>
      <c r="B4673" s="7"/>
      <c r="C4673" s="7"/>
      <c r="D4673" s="7"/>
    </row>
    <row r="4674" spans="1:4">
      <c r="A4674" s="7"/>
      <c r="B4674" s="7"/>
      <c r="C4674" s="7"/>
      <c r="D4674" s="7"/>
    </row>
    <row r="4675" spans="1:4">
      <c r="A4675" s="7"/>
      <c r="B4675" s="7"/>
      <c r="C4675" s="7"/>
      <c r="D4675" s="7"/>
    </row>
    <row r="4676" spans="1:4">
      <c r="A4676" s="7"/>
      <c r="B4676" s="7"/>
      <c r="C4676" s="7"/>
      <c r="D4676" s="7"/>
    </row>
    <row r="4677" spans="1:4">
      <c r="A4677" s="7"/>
      <c r="B4677" s="7"/>
      <c r="C4677" s="7"/>
      <c r="D4677" s="7"/>
    </row>
    <row r="4678" spans="1:4">
      <c r="A4678" s="7"/>
      <c r="B4678" s="7"/>
      <c r="C4678" s="7"/>
      <c r="D4678" s="7"/>
    </row>
    <row r="4679" spans="1:4">
      <c r="A4679" s="7"/>
      <c r="B4679" s="7"/>
      <c r="C4679" s="7"/>
      <c r="D4679" s="7"/>
    </row>
    <row r="4680" spans="1:4">
      <c r="A4680" s="7"/>
      <c r="B4680" s="7"/>
      <c r="C4680" s="7"/>
      <c r="D4680" s="7"/>
    </row>
    <row r="4681" spans="1:4">
      <c r="A4681" s="7"/>
      <c r="B4681" s="7"/>
      <c r="C4681" s="7"/>
      <c r="D4681" s="7"/>
    </row>
    <row r="4682" spans="1:4">
      <c r="A4682" s="7"/>
      <c r="B4682" s="7"/>
      <c r="C4682" s="7"/>
      <c r="D4682" s="7"/>
    </row>
    <row r="4683" spans="1:4">
      <c r="A4683" s="7"/>
      <c r="B4683" s="7"/>
      <c r="C4683" s="7"/>
      <c r="D4683" s="7"/>
    </row>
    <row r="4684" spans="1:4">
      <c r="A4684" s="7"/>
      <c r="B4684" s="7"/>
      <c r="C4684" s="7"/>
      <c r="D4684" s="7"/>
    </row>
    <row r="4685" spans="1:4">
      <c r="A4685" s="7"/>
      <c r="B4685" s="7"/>
      <c r="C4685" s="7"/>
      <c r="D4685" s="7"/>
    </row>
    <row r="4686" spans="1:4">
      <c r="A4686" s="7"/>
      <c r="B4686" s="7"/>
      <c r="C4686" s="7"/>
      <c r="D4686" s="7"/>
    </row>
    <row r="4687" spans="1:4">
      <c r="A4687" s="7"/>
      <c r="B4687" s="7"/>
      <c r="C4687" s="7"/>
      <c r="D4687" s="7"/>
    </row>
    <row r="4688" spans="1:4">
      <c r="A4688" s="7"/>
      <c r="B4688" s="7"/>
      <c r="C4688" s="7"/>
      <c r="D4688" s="7"/>
    </row>
    <row r="4689" spans="1:4">
      <c r="A4689" s="7"/>
      <c r="B4689" s="7"/>
      <c r="C4689" s="7"/>
      <c r="D4689" s="7"/>
    </row>
    <row r="4690" spans="1:4">
      <c r="A4690" s="7"/>
      <c r="B4690" s="7"/>
      <c r="C4690" s="7"/>
      <c r="D4690" s="7"/>
    </row>
    <row r="4691" spans="1:4">
      <c r="A4691" s="7"/>
      <c r="B4691" s="7"/>
      <c r="C4691" s="7"/>
      <c r="D4691" s="7"/>
    </row>
    <row r="4692" spans="1:4">
      <c r="A4692" s="7"/>
      <c r="B4692" s="7"/>
      <c r="C4692" s="7"/>
      <c r="D4692" s="7"/>
    </row>
    <row r="4693" spans="1:4">
      <c r="A4693" s="7"/>
      <c r="B4693" s="7"/>
      <c r="C4693" s="7"/>
      <c r="D4693" s="7"/>
    </row>
    <row r="4694" spans="1:4">
      <c r="A4694" s="7"/>
      <c r="B4694" s="7"/>
      <c r="C4694" s="7"/>
      <c r="D4694" s="7"/>
    </row>
    <row r="4695" spans="1:5">
      <c r="A4695" s="7"/>
      <c r="B4695" s="7"/>
      <c r="C4695" s="7"/>
      <c r="D4695" s="7"/>
      <c r="E4695" s="7"/>
    </row>
    <row r="4696" spans="1:5">
      <c r="A4696" s="7"/>
      <c r="B4696" s="7"/>
      <c r="C4696" s="7"/>
      <c r="D4696" s="7"/>
      <c r="E4696" s="7"/>
    </row>
    <row r="4697" spans="1:5">
      <c r="A4697" s="7"/>
      <c r="B4697" s="7"/>
      <c r="C4697" s="7"/>
      <c r="D4697" s="7"/>
      <c r="E4697" s="7"/>
    </row>
    <row r="4698" spans="1:5">
      <c r="A4698" s="7"/>
      <c r="B4698" s="7"/>
      <c r="C4698" s="7"/>
      <c r="D4698" s="7"/>
      <c r="E4698" s="7"/>
    </row>
    <row r="4699" spans="1:5">
      <c r="A4699" s="7"/>
      <c r="B4699" s="7"/>
      <c r="C4699" s="7"/>
      <c r="D4699" s="7"/>
      <c r="E4699" s="7"/>
    </row>
    <row r="4700" spans="1:5">
      <c r="A4700" s="7"/>
      <c r="B4700" s="7"/>
      <c r="C4700" s="7"/>
      <c r="D4700" s="7"/>
      <c r="E4700" s="7"/>
    </row>
    <row r="4701" spans="1:5">
      <c r="A4701" s="7"/>
      <c r="B4701" s="7"/>
      <c r="C4701" s="7"/>
      <c r="D4701" s="7"/>
      <c r="E4701" s="7"/>
    </row>
    <row r="4702" spans="1:5">
      <c r="A4702" s="7"/>
      <c r="B4702" s="7"/>
      <c r="C4702" s="7"/>
      <c r="D4702" s="7"/>
      <c r="E4702" s="7"/>
    </row>
    <row r="4703" spans="1:5">
      <c r="A4703" s="7"/>
      <c r="B4703" s="7"/>
      <c r="C4703" s="7"/>
      <c r="D4703" s="7"/>
      <c r="E4703" s="7"/>
    </row>
    <row r="4704" spans="1:5">
      <c r="A4704" s="7"/>
      <c r="B4704" s="7"/>
      <c r="C4704" s="7"/>
      <c r="D4704" s="7"/>
      <c r="E4704" s="7"/>
    </row>
    <row r="4705" spans="1:5">
      <c r="A4705" s="7"/>
      <c r="B4705" s="7"/>
      <c r="C4705" s="7"/>
      <c r="D4705" s="7"/>
      <c r="E4705" s="7"/>
    </row>
    <row r="4706" spans="1:5">
      <c r="A4706" s="7"/>
      <c r="B4706" s="7"/>
      <c r="C4706" s="7"/>
      <c r="D4706" s="7"/>
      <c r="E4706" s="7"/>
    </row>
    <row r="4707" spans="1:5">
      <c r="A4707" s="7"/>
      <c r="B4707" s="7"/>
      <c r="C4707" s="7"/>
      <c r="D4707" s="7"/>
      <c r="E4707" s="7"/>
    </row>
    <row r="4708" spans="1:5">
      <c r="A4708" s="7"/>
      <c r="B4708" s="7"/>
      <c r="C4708" s="7"/>
      <c r="D4708" s="7"/>
      <c r="E4708" s="7"/>
    </row>
    <row r="4709" spans="1:5">
      <c r="A4709" s="7"/>
      <c r="B4709" s="7"/>
      <c r="C4709" s="7"/>
      <c r="D4709" s="7"/>
      <c r="E4709" s="7"/>
    </row>
    <row r="4710" spans="1:5">
      <c r="A4710" s="7"/>
      <c r="B4710" s="7"/>
      <c r="C4710" s="7"/>
      <c r="D4710" s="7"/>
      <c r="E4710" s="7"/>
    </row>
    <row r="4711" spans="1:5">
      <c r="A4711" s="7"/>
      <c r="B4711" s="7"/>
      <c r="C4711" s="7"/>
      <c r="D4711" s="7"/>
      <c r="E4711" s="7"/>
    </row>
    <row r="4712" spans="1:5">
      <c r="A4712" s="7"/>
      <c r="B4712" s="7"/>
      <c r="C4712" s="7"/>
      <c r="D4712" s="7"/>
      <c r="E4712" s="7"/>
    </row>
    <row r="4713" spans="1:5">
      <c r="A4713" s="7"/>
      <c r="B4713" s="7"/>
      <c r="C4713" s="7"/>
      <c r="D4713" s="7"/>
      <c r="E4713" s="7"/>
    </row>
    <row r="4714" spans="1:5">
      <c r="A4714" s="7"/>
      <c r="B4714" s="7"/>
      <c r="C4714" s="7"/>
      <c r="D4714" s="7"/>
      <c r="E4714" s="7"/>
    </row>
    <row r="4715" spans="1:5">
      <c r="A4715" s="7"/>
      <c r="B4715" s="7"/>
      <c r="C4715" s="7"/>
      <c r="D4715" s="7"/>
      <c r="E4715" s="7"/>
    </row>
    <row r="4716" spans="1:5">
      <c r="A4716" s="7"/>
      <c r="B4716" s="7"/>
      <c r="C4716" s="7"/>
      <c r="D4716" s="7"/>
      <c r="E4716" s="7"/>
    </row>
    <row r="4717" spans="1:5">
      <c r="A4717" s="7"/>
      <c r="B4717" s="7"/>
      <c r="C4717" s="7"/>
      <c r="D4717" s="7"/>
      <c r="E4717" s="7"/>
    </row>
    <row r="4718" spans="1:5">
      <c r="A4718" s="7"/>
      <c r="B4718" s="7"/>
      <c r="C4718" s="7"/>
      <c r="D4718" s="7"/>
      <c r="E4718" s="7"/>
    </row>
    <row r="4719" spans="1:5">
      <c r="A4719" s="7"/>
      <c r="B4719" s="7"/>
      <c r="C4719" s="7"/>
      <c r="D4719" s="7"/>
      <c r="E4719" s="7"/>
    </row>
    <row r="4720" spans="1:5">
      <c r="A4720" s="7"/>
      <c r="B4720" s="7"/>
      <c r="C4720" s="7"/>
      <c r="D4720" s="7"/>
      <c r="E4720" s="7"/>
    </row>
    <row r="4721" spans="1:5">
      <c r="A4721" s="7"/>
      <c r="B4721" s="7"/>
      <c r="C4721" s="7"/>
      <c r="D4721" s="7"/>
      <c r="E4721" s="7"/>
    </row>
    <row r="4722" spans="1:5">
      <c r="A4722" s="7"/>
      <c r="B4722" s="7"/>
      <c r="C4722" s="7"/>
      <c r="D4722" s="7"/>
      <c r="E4722" s="7"/>
    </row>
    <row r="4723" spans="1:5">
      <c r="A4723" s="7"/>
      <c r="B4723" s="7"/>
      <c r="C4723" s="7"/>
      <c r="D4723" s="7"/>
      <c r="E4723" s="7"/>
    </row>
    <row r="4724" spans="1:5">
      <c r="A4724" s="7"/>
      <c r="B4724" s="7"/>
      <c r="C4724" s="7"/>
      <c r="D4724" s="7"/>
      <c r="E4724" s="7"/>
    </row>
    <row r="4725" spans="1:5">
      <c r="A4725" s="7"/>
      <c r="B4725" s="7"/>
      <c r="C4725" s="7"/>
      <c r="D4725" s="7"/>
      <c r="E4725" s="7"/>
    </row>
    <row r="4726" spans="1:5">
      <c r="A4726" s="7"/>
      <c r="B4726" s="7"/>
      <c r="C4726" s="7"/>
      <c r="D4726" s="7"/>
      <c r="E4726" s="7"/>
    </row>
    <row r="4727" spans="1:5">
      <c r="A4727" s="7"/>
      <c r="B4727" s="7"/>
      <c r="C4727" s="7"/>
      <c r="D4727" s="7"/>
      <c r="E4727" s="7"/>
    </row>
    <row r="4728" spans="1:5">
      <c r="A4728" s="7"/>
      <c r="B4728" s="7"/>
      <c r="C4728" s="7"/>
      <c r="D4728" s="7"/>
      <c r="E4728" s="7"/>
    </row>
    <row r="4729" spans="1:5">
      <c r="A4729" s="7"/>
      <c r="B4729" s="7"/>
      <c r="C4729" s="7"/>
      <c r="D4729" s="7"/>
      <c r="E4729" s="7"/>
    </row>
    <row r="4730" spans="1:5">
      <c r="A4730" s="7"/>
      <c r="B4730" s="7"/>
      <c r="C4730" s="7"/>
      <c r="D4730" s="7"/>
      <c r="E4730" s="7"/>
    </row>
    <row r="4731" spans="1:5">
      <c r="A4731" s="7"/>
      <c r="B4731" s="7"/>
      <c r="C4731" s="7"/>
      <c r="D4731" s="7"/>
      <c r="E4731" s="7"/>
    </row>
    <row r="4732" spans="1:5">
      <c r="A4732" s="7"/>
      <c r="B4732" s="7"/>
      <c r="C4732" s="7"/>
      <c r="D4732" s="7"/>
      <c r="E4732" s="7"/>
    </row>
    <row r="4733" spans="1:5">
      <c r="A4733" s="7"/>
      <c r="B4733" s="7"/>
      <c r="C4733" s="7"/>
      <c r="D4733" s="7"/>
      <c r="E4733" s="7"/>
    </row>
    <row r="4734" spans="1:5">
      <c r="A4734" s="7"/>
      <c r="B4734" s="7"/>
      <c r="C4734" s="7"/>
      <c r="D4734" s="7"/>
      <c r="E4734" s="7"/>
    </row>
    <row r="4735" spans="1:5">
      <c r="A4735" s="7"/>
      <c r="B4735" s="7"/>
      <c r="C4735" s="7"/>
      <c r="D4735" s="7"/>
      <c r="E4735" s="7"/>
    </row>
    <row r="4736" spans="1:5">
      <c r="A4736" s="7"/>
      <c r="B4736" s="7"/>
      <c r="C4736" s="7"/>
      <c r="D4736" s="7"/>
      <c r="E4736" s="7"/>
    </row>
    <row r="4737" spans="1:5">
      <c r="A4737" s="7"/>
      <c r="B4737" s="7"/>
      <c r="C4737" s="7"/>
      <c r="D4737" s="7"/>
      <c r="E4737" s="7"/>
    </row>
    <row r="4738" spans="1:5">
      <c r="A4738" s="7"/>
      <c r="B4738" s="7"/>
      <c r="C4738" s="7"/>
      <c r="D4738" s="7"/>
      <c r="E4738" s="7"/>
    </row>
    <row r="4739" spans="1:5">
      <c r="A4739" s="7"/>
      <c r="B4739" s="7"/>
      <c r="C4739" s="7"/>
      <c r="D4739" s="7"/>
      <c r="E4739" s="7"/>
    </row>
    <row r="4740" spans="1:5">
      <c r="A4740" s="7"/>
      <c r="B4740" s="7"/>
      <c r="C4740" s="7"/>
      <c r="D4740" s="7"/>
      <c r="E4740" s="7"/>
    </row>
    <row r="4741" spans="1:5">
      <c r="A4741" s="7"/>
      <c r="B4741" s="7"/>
      <c r="C4741" s="7"/>
      <c r="D4741" s="7"/>
      <c r="E4741" s="7"/>
    </row>
    <row r="4742" spans="1:5">
      <c r="A4742" s="7"/>
      <c r="B4742" s="7"/>
      <c r="C4742" s="7"/>
      <c r="D4742" s="7"/>
      <c r="E4742" s="7"/>
    </row>
    <row r="4743" spans="1:5">
      <c r="A4743" s="7"/>
      <c r="B4743" s="7"/>
      <c r="C4743" s="7"/>
      <c r="D4743" s="7"/>
      <c r="E4743" s="7"/>
    </row>
    <row r="4744" spans="1:5">
      <c r="A4744" s="7"/>
      <c r="B4744" s="7"/>
      <c r="C4744" s="7"/>
      <c r="D4744" s="7"/>
      <c r="E4744" s="7"/>
    </row>
    <row r="4745" spans="1:5">
      <c r="A4745" s="7"/>
      <c r="B4745" s="7"/>
      <c r="C4745" s="7"/>
      <c r="D4745" s="7"/>
      <c r="E4745" s="7"/>
    </row>
    <row r="4746" spans="1:5">
      <c r="A4746" s="7"/>
      <c r="B4746" s="7"/>
      <c r="C4746" s="7"/>
      <c r="D4746" s="7"/>
      <c r="E4746" s="7"/>
    </row>
    <row r="4747" spans="1:5">
      <c r="A4747" s="7"/>
      <c r="B4747" s="7"/>
      <c r="C4747" s="7"/>
      <c r="D4747" s="7"/>
      <c r="E4747" s="7"/>
    </row>
    <row r="4748" spans="1:5">
      <c r="A4748" s="7"/>
      <c r="B4748" s="7"/>
      <c r="C4748" s="7"/>
      <c r="D4748" s="7"/>
      <c r="E4748" s="7"/>
    </row>
    <row r="4749" spans="1:5">
      <c r="A4749" s="7"/>
      <c r="B4749" s="7"/>
      <c r="C4749" s="7"/>
      <c r="D4749" s="7"/>
      <c r="E4749" s="7"/>
    </row>
    <row r="4750" spans="1:5">
      <c r="A4750" s="7"/>
      <c r="B4750" s="7"/>
      <c r="C4750" s="7"/>
      <c r="D4750" s="7"/>
      <c r="E4750" s="7"/>
    </row>
    <row r="4751" spans="1:5">
      <c r="A4751" s="7"/>
      <c r="B4751" s="7"/>
      <c r="C4751" s="7"/>
      <c r="D4751" s="7"/>
      <c r="E4751" s="7"/>
    </row>
    <row r="4752" spans="1:5">
      <c r="A4752" s="7"/>
      <c r="B4752" s="7"/>
      <c r="C4752" s="7"/>
      <c r="D4752" s="7"/>
      <c r="E4752" s="7"/>
    </row>
    <row r="4753" spans="1:5">
      <c r="A4753" s="7"/>
      <c r="B4753" s="7"/>
      <c r="C4753" s="7"/>
      <c r="D4753" s="7"/>
      <c r="E4753" s="7"/>
    </row>
    <row r="4754" spans="1:5">
      <c r="A4754" s="7"/>
      <c r="B4754" s="7"/>
      <c r="C4754" s="7"/>
      <c r="D4754" s="7"/>
      <c r="E4754" s="7"/>
    </row>
    <row r="4755" spans="1:5">
      <c r="A4755" s="7"/>
      <c r="B4755" s="7"/>
      <c r="C4755" s="7"/>
      <c r="D4755" s="7"/>
      <c r="E4755" s="7"/>
    </row>
    <row r="4756" spans="1:5">
      <c r="A4756" s="7"/>
      <c r="B4756" s="7"/>
      <c r="C4756" s="7"/>
      <c r="D4756" s="7"/>
      <c r="E4756" s="7"/>
    </row>
    <row r="4757" spans="1:5">
      <c r="A4757" s="7"/>
      <c r="B4757" s="7"/>
      <c r="C4757" s="7"/>
      <c r="D4757" s="7"/>
      <c r="E4757" s="7"/>
    </row>
    <row r="4758" spans="1:5">
      <c r="A4758" s="7"/>
      <c r="B4758" s="7"/>
      <c r="C4758" s="7"/>
      <c r="D4758" s="7"/>
      <c r="E4758" s="7"/>
    </row>
    <row r="4759" spans="1:5">
      <c r="A4759" s="7"/>
      <c r="B4759" s="7"/>
      <c r="C4759" s="7"/>
      <c r="D4759" s="7"/>
      <c r="E4759" s="7"/>
    </row>
    <row r="4760" spans="1:5">
      <c r="A4760" s="7"/>
      <c r="B4760" s="7"/>
      <c r="C4760" s="7"/>
      <c r="D4760" s="7"/>
      <c r="E4760" s="7"/>
    </row>
    <row r="4761" spans="1:5">
      <c r="A4761" s="7"/>
      <c r="B4761" s="7"/>
      <c r="C4761" s="7"/>
      <c r="D4761" s="7"/>
      <c r="E4761" s="7"/>
    </row>
    <row r="4762" spans="1:5">
      <c r="A4762" s="7"/>
      <c r="B4762" s="7"/>
      <c r="C4762" s="7"/>
      <c r="D4762" s="7"/>
      <c r="E4762" s="7"/>
    </row>
    <row r="4763" spans="1:5">
      <c r="A4763" s="7"/>
      <c r="B4763" s="7"/>
      <c r="C4763" s="7"/>
      <c r="D4763" s="7"/>
      <c r="E4763" s="7"/>
    </row>
    <row r="4764" spans="1:5">
      <c r="A4764" s="7"/>
      <c r="B4764" s="7"/>
      <c r="C4764" s="7"/>
      <c r="D4764" s="7"/>
      <c r="E4764" s="7"/>
    </row>
    <row r="4765" spans="1:5">
      <c r="A4765" s="7"/>
      <c r="B4765" s="7"/>
      <c r="C4765" s="7"/>
      <c r="D4765" s="7"/>
      <c r="E4765" s="7"/>
    </row>
    <row r="4766" spans="1:5">
      <c r="A4766" s="7"/>
      <c r="B4766" s="7"/>
      <c r="C4766" s="7"/>
      <c r="D4766" s="7"/>
      <c r="E4766" s="7"/>
    </row>
    <row r="4767" spans="1:5">
      <c r="A4767" s="7"/>
      <c r="B4767" s="7"/>
      <c r="C4767" s="7"/>
      <c r="D4767" s="7"/>
      <c r="E4767" s="7"/>
    </row>
    <row r="4768" spans="1:5">
      <c r="A4768" s="7"/>
      <c r="B4768" s="7"/>
      <c r="C4768" s="7"/>
      <c r="D4768" s="7"/>
      <c r="E4768" s="7"/>
    </row>
    <row r="4769" spans="1:5">
      <c r="A4769" s="7"/>
      <c r="B4769" s="7"/>
      <c r="C4769" s="7"/>
      <c r="D4769" s="7"/>
      <c r="E4769" s="7"/>
    </row>
    <row r="4770" spans="1:5">
      <c r="A4770" s="7"/>
      <c r="B4770" s="7"/>
      <c r="C4770" s="7"/>
      <c r="D4770" s="7"/>
      <c r="E4770" s="7"/>
    </row>
    <row r="4771" spans="1:5">
      <c r="A4771" s="7"/>
      <c r="B4771" s="7"/>
      <c r="C4771" s="7"/>
      <c r="D4771" s="7"/>
      <c r="E4771" s="7"/>
    </row>
    <row r="4772" spans="1:5">
      <c r="A4772" s="7"/>
      <c r="B4772" s="7"/>
      <c r="C4772" s="7"/>
      <c r="D4772" s="7"/>
      <c r="E4772" s="7"/>
    </row>
    <row r="4773" spans="1:5">
      <c r="A4773" s="7"/>
      <c r="B4773" s="7"/>
      <c r="C4773" s="7"/>
      <c r="D4773" s="7"/>
      <c r="E4773" s="7"/>
    </row>
    <row r="4774" spans="1:5">
      <c r="A4774" s="7"/>
      <c r="B4774" s="7"/>
      <c r="C4774" s="7"/>
      <c r="D4774" s="7"/>
      <c r="E4774" s="7"/>
    </row>
    <row r="4775" spans="1:5">
      <c r="A4775" s="7"/>
      <c r="B4775" s="7"/>
      <c r="C4775" s="7"/>
      <c r="D4775" s="7"/>
      <c r="E4775" s="7"/>
    </row>
    <row r="4776" spans="1:5">
      <c r="A4776" s="7"/>
      <c r="B4776" s="7"/>
      <c r="C4776" s="7"/>
      <c r="D4776" s="7"/>
      <c r="E4776" s="7"/>
    </row>
    <row r="4777" spans="1:5">
      <c r="A4777" s="7"/>
      <c r="B4777" s="7"/>
      <c r="C4777" s="7"/>
      <c r="D4777" s="7"/>
      <c r="E4777" s="7"/>
    </row>
    <row r="4778" spans="1:5">
      <c r="A4778" s="7"/>
      <c r="B4778" s="7"/>
      <c r="C4778" s="7"/>
      <c r="D4778" s="7"/>
      <c r="E4778" s="7"/>
    </row>
    <row r="4779" spans="1:5">
      <c r="A4779" s="7"/>
      <c r="B4779" s="7"/>
      <c r="C4779" s="7"/>
      <c r="D4779" s="7"/>
      <c r="E4779" s="7"/>
    </row>
    <row r="4780" spans="1:5">
      <c r="A4780" s="7"/>
      <c r="B4780" s="7"/>
      <c r="C4780" s="7"/>
      <c r="D4780" s="7"/>
      <c r="E4780" s="7"/>
    </row>
    <row r="4781" spans="1:5">
      <c r="A4781" s="7"/>
      <c r="B4781" s="7"/>
      <c r="C4781" s="7"/>
      <c r="D4781" s="7"/>
      <c r="E4781" s="7"/>
    </row>
    <row r="4782" spans="1:5">
      <c r="A4782" s="7"/>
      <c r="B4782" s="7"/>
      <c r="C4782" s="7"/>
      <c r="D4782" s="7"/>
      <c r="E4782" s="7"/>
    </row>
    <row r="4783" spans="1:5">
      <c r="A4783" s="7"/>
      <c r="B4783" s="7"/>
      <c r="C4783" s="7"/>
      <c r="D4783" s="7"/>
      <c r="E4783" s="7"/>
    </row>
    <row r="4784" spans="1:5">
      <c r="A4784" s="7"/>
      <c r="B4784" s="7"/>
      <c r="C4784" s="7"/>
      <c r="D4784" s="7"/>
      <c r="E4784" s="7"/>
    </row>
    <row r="4785" spans="1:5">
      <c r="A4785" s="7"/>
      <c r="B4785" s="7"/>
      <c r="C4785" s="7"/>
      <c r="D4785" s="7"/>
      <c r="E4785" s="7"/>
    </row>
    <row r="4786" spans="1:5">
      <c r="A4786" s="7"/>
      <c r="B4786" s="7"/>
      <c r="C4786" s="7"/>
      <c r="D4786" s="7"/>
      <c r="E4786" s="7"/>
    </row>
    <row r="4787" spans="1:5">
      <c r="A4787" s="7"/>
      <c r="B4787" s="7"/>
      <c r="C4787" s="7"/>
      <c r="D4787" s="7"/>
      <c r="E4787" s="7"/>
    </row>
    <row r="4788" spans="1:5">
      <c r="A4788" s="7"/>
      <c r="B4788" s="7"/>
      <c r="C4788" s="7"/>
      <c r="D4788" s="7"/>
      <c r="E4788" s="7"/>
    </row>
    <row r="4789" spans="1:5">
      <c r="A4789" s="7"/>
      <c r="B4789" s="7"/>
      <c r="C4789" s="7"/>
      <c r="D4789" s="7"/>
      <c r="E4789" s="7"/>
    </row>
    <row r="4790" spans="1:5">
      <c r="A4790" s="7"/>
      <c r="B4790" s="7"/>
      <c r="C4790" s="7"/>
      <c r="D4790" s="7"/>
      <c r="E4790" s="7"/>
    </row>
    <row r="4791" spans="1:5">
      <c r="A4791" s="7"/>
      <c r="B4791" s="7"/>
      <c r="C4791" s="7"/>
      <c r="D4791" s="7"/>
      <c r="E4791" s="7"/>
    </row>
    <row r="4792" spans="1:5">
      <c r="A4792" s="7"/>
      <c r="B4792" s="7"/>
      <c r="C4792" s="7"/>
      <c r="D4792" s="7"/>
      <c r="E4792" s="7"/>
    </row>
    <row r="4793" spans="1:5">
      <c r="A4793" s="7"/>
      <c r="B4793" s="7"/>
      <c r="C4793" s="7"/>
      <c r="D4793" s="7"/>
      <c r="E4793" s="7"/>
    </row>
    <row r="4794" spans="1:5">
      <c r="A4794" s="7"/>
      <c r="B4794" s="7"/>
      <c r="C4794" s="7"/>
      <c r="D4794" s="7"/>
      <c r="E4794" s="7"/>
    </row>
    <row r="4795" spans="1:5">
      <c r="A4795" s="7"/>
      <c r="B4795" s="7"/>
      <c r="C4795" s="7"/>
      <c r="D4795" s="7"/>
      <c r="E4795" s="7"/>
    </row>
    <row r="4796" spans="1:5">
      <c r="A4796" s="7"/>
      <c r="B4796" s="7"/>
      <c r="C4796" s="7"/>
      <c r="D4796" s="7"/>
      <c r="E4796" s="7"/>
    </row>
    <row r="4797" spans="1:5">
      <c r="A4797" s="7"/>
      <c r="B4797" s="7"/>
      <c r="C4797" s="7"/>
      <c r="D4797" s="7"/>
      <c r="E4797" s="7"/>
    </row>
    <row r="4798" spans="1:5">
      <c r="A4798" s="7"/>
      <c r="B4798" s="7"/>
      <c r="C4798" s="7"/>
      <c r="D4798" s="7"/>
      <c r="E4798" s="7"/>
    </row>
    <row r="4799" spans="1:5">
      <c r="A4799" s="7"/>
      <c r="B4799" s="7"/>
      <c r="C4799" s="7"/>
      <c r="D4799" s="7"/>
      <c r="E4799" s="7"/>
    </row>
    <row r="4800" spans="1:5">
      <c r="A4800" s="7"/>
      <c r="B4800" s="7"/>
      <c r="C4800" s="7"/>
      <c r="D4800" s="7"/>
      <c r="E4800" s="7"/>
    </row>
    <row r="4801" spans="1:5">
      <c r="A4801" s="7"/>
      <c r="B4801" s="7"/>
      <c r="C4801" s="7"/>
      <c r="D4801" s="7"/>
      <c r="E4801" s="7"/>
    </row>
    <row r="4802" spans="1:5">
      <c r="A4802" s="7"/>
      <c r="B4802" s="7"/>
      <c r="C4802" s="7"/>
      <c r="D4802" s="7"/>
      <c r="E4802" s="7"/>
    </row>
    <row r="4803" spans="1:5">
      <c r="A4803" s="7"/>
      <c r="B4803" s="7"/>
      <c r="C4803" s="7"/>
      <c r="D4803" s="7"/>
      <c r="E4803" s="7"/>
    </row>
    <row r="4804" spans="1:5">
      <c r="A4804" s="7"/>
      <c r="B4804" s="7"/>
      <c r="C4804" s="7"/>
      <c r="D4804" s="7"/>
      <c r="E4804" s="7"/>
    </row>
    <row r="4805" spans="1:5">
      <c r="A4805" s="7"/>
      <c r="B4805" s="7"/>
      <c r="C4805" s="7"/>
      <c r="D4805" s="7"/>
      <c r="E4805" s="7"/>
    </row>
    <row r="4806" spans="1:5">
      <c r="A4806" s="7"/>
      <c r="B4806" s="7"/>
      <c r="C4806" s="7"/>
      <c r="D4806" s="7"/>
      <c r="E4806" s="7"/>
    </row>
    <row r="4807" spans="1:5">
      <c r="A4807" s="7"/>
      <c r="B4807" s="7"/>
      <c r="C4807" s="7"/>
      <c r="D4807" s="7"/>
      <c r="E4807" s="7"/>
    </row>
    <row r="4808" spans="1:5">
      <c r="A4808" s="7"/>
      <c r="B4808" s="7"/>
      <c r="C4808" s="7"/>
      <c r="D4808" s="7"/>
      <c r="E4808" s="7"/>
    </row>
    <row r="4809" spans="1:5">
      <c r="A4809" s="7"/>
      <c r="B4809" s="7"/>
      <c r="C4809" s="7"/>
      <c r="D4809" s="7"/>
      <c r="E4809" s="7"/>
    </row>
    <row r="4810" spans="1:5">
      <c r="A4810" s="7"/>
      <c r="B4810" s="7"/>
      <c r="C4810" s="7"/>
      <c r="D4810" s="7"/>
      <c r="E4810" s="7"/>
    </row>
    <row r="4811" spans="1:5">
      <c r="A4811" s="7"/>
      <c r="B4811" s="7"/>
      <c r="C4811" s="7"/>
      <c r="D4811" s="7"/>
      <c r="E4811" s="7"/>
    </row>
    <row r="4812" spans="1:5">
      <c r="A4812" s="7"/>
      <c r="B4812" s="7"/>
      <c r="C4812" s="7"/>
      <c r="D4812" s="7"/>
      <c r="E4812" s="7"/>
    </row>
    <row r="4813" spans="1:5">
      <c r="A4813" s="7"/>
      <c r="B4813" s="7"/>
      <c r="C4813" s="7"/>
      <c r="D4813" s="7"/>
      <c r="E4813" s="7"/>
    </row>
    <row r="4814" spans="1:5">
      <c r="A4814" s="7"/>
      <c r="B4814" s="7"/>
      <c r="C4814" s="7"/>
      <c r="D4814" s="7"/>
      <c r="E4814" s="7"/>
    </row>
    <row r="4815" spans="5:5">
      <c r="E4815" s="7"/>
    </row>
    <row r="4816" spans="5:5">
      <c r="E4816" s="7"/>
    </row>
    <row r="4817" spans="5:5">
      <c r="E4817" s="7"/>
    </row>
    <row r="4818" spans="5:5">
      <c r="E4818" s="7"/>
    </row>
    <row r="4819" spans="5:5">
      <c r="E4819" s="7"/>
    </row>
    <row r="4820" spans="5:5">
      <c r="E4820" s="7"/>
    </row>
    <row r="4821" spans="5:5">
      <c r="E4821" s="7"/>
    </row>
    <row r="4822" spans="5:5">
      <c r="E4822" s="7"/>
    </row>
    <row r="4823" spans="5:5">
      <c r="E4823" s="7"/>
    </row>
    <row r="4824" spans="5:5">
      <c r="E4824" s="7"/>
    </row>
    <row r="4825" spans="5:5">
      <c r="E4825" s="7"/>
    </row>
    <row r="4826" spans="5:5">
      <c r="E4826" s="7"/>
    </row>
    <row r="4827" spans="5:5">
      <c r="E4827" s="7"/>
    </row>
    <row r="4828" spans="5:5">
      <c r="E4828" s="7"/>
    </row>
    <row r="4829" spans="5:5">
      <c r="E4829" s="7"/>
    </row>
    <row r="4830" spans="5:5">
      <c r="E4830" s="7"/>
    </row>
    <row r="4831" spans="5:5">
      <c r="E4831" s="7"/>
    </row>
    <row r="4832" spans="5:5">
      <c r="E4832" s="7"/>
    </row>
    <row r="4833" spans="5:5">
      <c r="E4833" s="7"/>
    </row>
    <row r="4834" spans="5:5">
      <c r="E4834" s="7"/>
    </row>
    <row r="4835" spans="5:5">
      <c r="E4835" s="7"/>
    </row>
    <row r="4836" spans="5:5">
      <c r="E4836" s="7"/>
    </row>
    <row r="4837" spans="5:5">
      <c r="E4837" s="7"/>
    </row>
    <row r="4838" spans="5:5">
      <c r="E4838" s="7"/>
    </row>
    <row r="4839" spans="5:5">
      <c r="E4839" s="7"/>
    </row>
    <row r="4840" spans="5:5">
      <c r="E4840" s="7"/>
    </row>
    <row r="4841" spans="5:5">
      <c r="E4841" s="7"/>
    </row>
    <row r="4842" spans="5:5">
      <c r="E4842" s="7"/>
    </row>
    <row r="4843" spans="5:5">
      <c r="E4843" s="7"/>
    </row>
    <row r="4844" spans="5:5">
      <c r="E4844" s="7"/>
    </row>
    <row r="4845" spans="5:5">
      <c r="E4845" s="7"/>
    </row>
    <row r="4846" spans="5:5">
      <c r="E4846" s="7"/>
    </row>
    <row r="4847" spans="5:5">
      <c r="E4847" s="7"/>
    </row>
    <row r="4848" spans="5:5">
      <c r="E4848" s="7"/>
    </row>
    <row r="4849" spans="5:5">
      <c r="E4849" s="7"/>
    </row>
    <row r="4850" spans="5:5">
      <c r="E4850" s="7"/>
    </row>
    <row r="4851" spans="5:5">
      <c r="E4851" s="7"/>
    </row>
    <row r="4852" spans="5:5">
      <c r="E4852" s="7"/>
    </row>
    <row r="4853" spans="5:5">
      <c r="E4853" s="7"/>
    </row>
    <row r="4854" spans="5:5">
      <c r="E4854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Intro</vt:lpstr>
      <vt:lpstr>Financial Statements</vt:lpstr>
      <vt:lpstr>Ratio Analysis</vt:lpstr>
      <vt:lpstr>Cash Flow Analysis</vt:lpstr>
      <vt:lpstr>Credit Analysis</vt:lpstr>
      <vt:lpstr>Forecasting Assumptions</vt:lpstr>
      <vt:lpstr>Valuation Parameters</vt:lpstr>
      <vt:lpstr>Residual Income Valuations</vt:lpstr>
      <vt:lpstr>DCF Valuations</vt:lpstr>
      <vt:lpstr>EPS Forecaster</vt:lpstr>
      <vt:lpstr>Model Summary</vt:lpstr>
      <vt:lpstr>Case Data</vt:lpstr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eVal - Software for Valuation</dc:title>
  <dc:creator>Russell Lundholm and Richard Sloan</dc:creator>
  <cp:lastModifiedBy>Diana Li</cp:lastModifiedBy>
  <dcterms:created xsi:type="dcterms:W3CDTF">1999-05-11T20:42:00Z</dcterms:created>
  <cp:lastPrinted>2006-02-16T23:58:00Z</cp:lastPrinted>
  <dcterms:modified xsi:type="dcterms:W3CDTF">2025-12-20T16:35:03Z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DD4EB2B29A61D677B7404769FCE54078_43</vt:lpwstr>
  </property>
  <property fmtid="{D5CDD505-2E9C-101B-9397-08002B2CF9AE}" pid="3" name="KSOProductBuildVer">
    <vt:lpwstr>1033-6.11.0.8615</vt:lpwstr>
  </property>
</Properties>
</file>