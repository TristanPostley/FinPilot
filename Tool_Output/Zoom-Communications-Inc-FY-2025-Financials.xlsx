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date1904="1" codeName="ThisWorkbook"/>
  <bookViews>
    <workbookView visibility="visible" minimized="0" showHorizontalScroll="1" showVerticalScroll="1" showSheetTabs="1" windowWidth="28480" windowHeight="11020" tabRatio="675" firstSheet="0" activeTab="0" autoFilterDateGrouping="1"/>
  </bookViews>
  <sheets>
    <sheet xmlns:r="http://schemas.openxmlformats.org/officeDocument/2006/relationships" name="Case Data" sheetId="1" state="visible" r:id="rId1"/>
    <sheet xmlns:r="http://schemas.openxmlformats.org/officeDocument/2006/relationships" name="Intro" sheetId="2" state="visible" r:id="rId2"/>
    <sheet xmlns:r="http://schemas.openxmlformats.org/officeDocument/2006/relationships" name="Financial Statements" sheetId="3" state="visible" r:id="rId3"/>
    <sheet xmlns:r="http://schemas.openxmlformats.org/officeDocument/2006/relationships" name="Ratio Analysis" sheetId="4" state="visible" r:id="rId4"/>
    <sheet xmlns:r="http://schemas.openxmlformats.org/officeDocument/2006/relationships" name="Cash Flow Analysis" sheetId="5" state="visible" r:id="rId5"/>
    <sheet xmlns:r="http://schemas.openxmlformats.org/officeDocument/2006/relationships" name="Credit Analysis" sheetId="6" state="visible" r:id="rId6"/>
    <sheet xmlns:r="http://schemas.openxmlformats.org/officeDocument/2006/relationships" name="Forecasting Assumptions" sheetId="7" state="visible" r:id="rId7"/>
    <sheet xmlns:r="http://schemas.openxmlformats.org/officeDocument/2006/relationships" name="Valuation Parameters" sheetId="8" state="visible" r:id="rId8"/>
    <sheet xmlns:r="http://schemas.openxmlformats.org/officeDocument/2006/relationships" name="Residual Income Valuations" sheetId="9" state="visible" r:id="rId9"/>
    <sheet xmlns:r="http://schemas.openxmlformats.org/officeDocument/2006/relationships" name="DCF Valuations" sheetId="10" state="visible" r:id="rId10"/>
    <sheet xmlns:r="http://schemas.openxmlformats.org/officeDocument/2006/relationships" name="EPS Forecaster" sheetId="11" state="visible" r:id="rId11"/>
    <sheet xmlns:r="http://schemas.openxmlformats.org/officeDocument/2006/relationships" name="Model Summary" sheetId="12" state="visible" r:id="rId12"/>
    <sheet xmlns:r="http://schemas.openxmlformats.org/officeDocument/2006/relationships" name="Master" sheetId="13" state="hidden" r:id="rId13"/>
  </sheets>
  <definedNames>
    <definedName name="solver_adj" localSheetId="1" hidden="1">Intro!$Y$11</definedName>
    <definedName name="solver_opt" localSheetId="1" hidden="1">Intro!$Z$42</definedName>
    <definedName name="solver_typ" localSheetId="1" hidden="1">3</definedName>
    <definedName name="solver_val" localSheetId="1" hidden="1">0</definedName>
    <definedName name="_xlnm.Print_Area" localSheetId="4">'Cash Flow Analysis'!$A$1:$P$45,'Cash Flow Analysis'!$A$47:$P$116</definedName>
    <definedName name="solver_adj" localSheetId="6" hidden="1">'Forecasting Assumptions'!$Q$15</definedName>
    <definedName name="solver_cvg" localSheetId="6" hidden="1">0.001</definedName>
    <definedName name="solver_drv" localSheetId="6" hidden="1">1</definedName>
    <definedName name="solver_est" localSheetId="6" hidden="1">1</definedName>
    <definedName name="solver_itr" localSheetId="6" hidden="1">100</definedName>
    <definedName name="solver_lin" localSheetId="6" hidden="1">2</definedName>
    <definedName name="solver_neg" localSheetId="6" hidden="1">2</definedName>
    <definedName name="solver_num" localSheetId="6" hidden="1">0</definedName>
    <definedName name="solver_nwt" localSheetId="6" hidden="1">1</definedName>
    <definedName name="solver_opt" localSheetId="6" hidden="1">'Forecasting Assumptions'!#REF!</definedName>
    <definedName name="solver_pre" localSheetId="6" hidden="1">0.000001</definedName>
    <definedName name="solver_scl" localSheetId="6" hidden="1">2</definedName>
    <definedName name="solver_sho" localSheetId="6" hidden="1">2</definedName>
    <definedName name="solver_tim" localSheetId="6" hidden="1">100</definedName>
    <definedName name="solver_tol" localSheetId="6" hidden="1">0.05</definedName>
    <definedName name="solver_typ" localSheetId="6" hidden="1">3</definedName>
    <definedName name="solver_val" localSheetId="6" hidden="1">0</definedName>
    <definedName name="_xlnm.Print_Area" localSheetId="6">'Forecasting Assumptions'!$A$1:$Q$49</definedName>
    <definedName name="_xlnm.Print_Area" localSheetId="7">'Valuation Parameters'!$A$1:$K$20</definedName>
    <definedName name="solver_adj" localSheetId="8" hidden="1">'Residual Income Valuations'!$B$34</definedName>
    <definedName name="solver_cvg" localSheetId="8" hidden="1">0.001</definedName>
    <definedName name="solver_drv" localSheetId="8" hidden="1">1</definedName>
    <definedName name="solver_est" localSheetId="8" hidden="1">1</definedName>
    <definedName name="solver_itr" localSheetId="8" hidden="1">100</definedName>
    <definedName name="solver_lin" localSheetId="8" hidden="1">2</definedName>
    <definedName name="solver_neg" localSheetId="8" hidden="1">2</definedName>
    <definedName name="solver_num" localSheetId="8" hidden="1">0</definedName>
    <definedName name="solver_nwt" localSheetId="8" hidden="1">1</definedName>
    <definedName name="solver_opt" localSheetId="8" hidden="1">'Residual Income Valuations'!$A$11</definedName>
    <definedName name="solver_pre" localSheetId="8" hidden="1">0.000001</definedName>
    <definedName name="solver_scl" localSheetId="8" hidden="1">2</definedName>
    <definedName name="solver_sho" localSheetId="8" hidden="1">2</definedName>
    <definedName name="solver_tim" localSheetId="8" hidden="1">100</definedName>
    <definedName name="solver_tol" localSheetId="8" hidden="1">0.05</definedName>
    <definedName name="solver_typ" localSheetId="8" hidden="1">3</definedName>
    <definedName name="solver_val" localSheetId="8" hidden="1">1</definedName>
    <definedName name="solver_adj" localSheetId="9" hidden="1">'DCF Valuations'!$B$29</definedName>
    <definedName name="solver_cvg" localSheetId="9" hidden="1">0.001</definedName>
    <definedName name="solver_drv" localSheetId="9" hidden="1">1</definedName>
    <definedName name="solver_est" localSheetId="9" hidden="1">1</definedName>
    <definedName name="solver_itr" localSheetId="9" hidden="1">100</definedName>
    <definedName name="solver_lin" localSheetId="9" hidden="1">2</definedName>
    <definedName name="solver_neg" localSheetId="9" hidden="1">2</definedName>
    <definedName name="solver_num" localSheetId="9" hidden="1">0</definedName>
    <definedName name="solver_nwt" localSheetId="9" hidden="1">1</definedName>
    <definedName name="solver_opt" localSheetId="9" hidden="1">'DCF Valuations'!$A$11</definedName>
    <definedName name="solver_pre" localSheetId="9" hidden="1">0.000001</definedName>
    <definedName name="solver_scl" localSheetId="9" hidden="1">2</definedName>
    <definedName name="solver_sho" localSheetId="9" hidden="1">2</definedName>
    <definedName name="solver_tim" localSheetId="9" hidden="1">100</definedName>
    <definedName name="solver_tol" localSheetId="9" hidden="1">0.05</definedName>
    <definedName name="solver_typ" localSheetId="9" hidden="1">3</definedName>
    <definedName name="solver_val" localSheetId="9" hidden="1">1</definedName>
    <definedName name="_xlnm.Print_Area" localSheetId="10">'EPS Forecaster'!$A$1:$G$25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yyyy/mm/dd;@"/>
    <numFmt numFmtId="165" formatCode="0_);\(0\)"/>
    <numFmt numFmtId="166" formatCode="&quot;$&quot;#,##0.00"/>
    <numFmt numFmtId="167" formatCode="0.0000"/>
    <numFmt numFmtId="168" formatCode="0.00_);\(0.00\)"/>
    <numFmt numFmtId="169" formatCode="0.0000%"/>
    <numFmt numFmtId="170" formatCode="_(&quot;$&quot;* #,##0.00_);_(&quot;$&quot;* \(#,##0.00\);_(&quot;$&quot;* &quot;-&quot;??_);_(@_)"/>
    <numFmt numFmtId="171" formatCode="0.0"/>
    <numFmt numFmtId="172" formatCode="0.000_);\(0.000\)"/>
    <numFmt numFmtId="173" formatCode="0.0%"/>
    <numFmt numFmtId="174" formatCode="0.000"/>
    <numFmt numFmtId="175" formatCode="#,##0.0000_);\(#,##0.0000\)"/>
    <numFmt numFmtId="176" formatCode="m/d/yyyy;@"/>
    <numFmt numFmtId="177" formatCode="yyyy-mm-dd h:mm:ss"/>
  </numFmts>
  <fonts count="51">
    <font>
      <name val="Arial"/>
      <charset val="134"/>
      <sz val="10"/>
    </font>
    <font>
      <name val="Calibri"/>
      <charset val="134"/>
      <b val="1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rgb="FF000000"/>
      <sz val="10"/>
    </font>
    <font>
      <name val="Calibri"/>
      <charset val="134"/>
      <b val="1"/>
      <color indexed="8"/>
      <sz val="11"/>
    </font>
    <font>
      <name val="Arial"/>
      <charset val="134"/>
      <color indexed="12"/>
      <sz val="10"/>
      <u val="single"/>
    </font>
    <font>
      <name val="Arial"/>
      <charset val="134"/>
      <b val="1"/>
      <sz val="10"/>
    </font>
    <font>
      <name val="Arial"/>
      <charset val="134"/>
      <color indexed="17"/>
      <sz val="10"/>
    </font>
    <font>
      <name val="Arial"/>
      <charset val="134"/>
      <sz val="10"/>
      <u val="single"/>
    </font>
    <font>
      <name val="Arial"/>
      <charset val="134"/>
      <b val="1"/>
      <color indexed="12"/>
      <sz val="14"/>
    </font>
    <font>
      <name val="Arial"/>
      <charset val="134"/>
      <sz val="14"/>
    </font>
    <font>
      <name val="Arial"/>
      <charset val="134"/>
      <color indexed="29"/>
      <sz val="10"/>
    </font>
    <font>
      <name val="Arial"/>
      <charset val="134"/>
      <b val="1"/>
      <sz val="12"/>
    </font>
    <font>
      <name val="Arial"/>
      <charset val="134"/>
      <color indexed="12"/>
      <sz val="10"/>
    </font>
    <font>
      <name val="Arial"/>
      <charset val="134"/>
      <b val="1"/>
      <color indexed="53"/>
      <sz val="10"/>
    </font>
    <font>
      <name val="Arial"/>
      <charset val="134"/>
      <b val="1"/>
      <color indexed="29"/>
      <sz val="10"/>
    </font>
    <font>
      <name val="Arial"/>
      <charset val="134"/>
      <b val="1"/>
      <color indexed="12"/>
      <sz val="10"/>
      <u val="single"/>
    </font>
    <font>
      <name val="Arial"/>
      <charset val="134"/>
      <color indexed="12"/>
      <sz val="14"/>
      <u val="single"/>
    </font>
    <font>
      <name val="Arial"/>
      <charset val="134"/>
      <b val="1"/>
      <color indexed="52"/>
      <sz val="10"/>
    </font>
    <font>
      <name val="Arial"/>
      <charset val="134"/>
      <b val="1"/>
      <sz val="14"/>
    </font>
    <font>
      <name val="Arial"/>
      <charset val="134"/>
      <b val="1"/>
      <color indexed="12"/>
      <sz val="10"/>
    </font>
    <font>
      <name val="Arial"/>
      <charset val="134"/>
      <color indexed="10"/>
      <sz val="10"/>
    </font>
    <font>
      <name val="Arial"/>
      <charset val="134"/>
      <b val="1"/>
      <color indexed="17"/>
      <sz val="10"/>
    </font>
    <font>
      <name val="Arial"/>
      <charset val="134"/>
      <color indexed="17"/>
      <sz val="14"/>
    </font>
    <font>
      <name val="Arial"/>
      <charset val="134"/>
      <b val="1"/>
      <sz val="9"/>
    </font>
    <font>
      <name val="Arial"/>
      <charset val="134"/>
      <sz val="8"/>
    </font>
    <font>
      <name val="Times New Roman"/>
      <charset val="134"/>
      <sz val="9"/>
    </font>
    <font>
      <name val="Arial"/>
      <charset val="134"/>
      <color rgb="FF800080"/>
      <sz val="10"/>
      <u val="single"/>
    </font>
    <font>
      <name val="Arial"/>
      <charset val="134"/>
      <sz val="24"/>
    </font>
    <font>
      <name val="Marigold (W1)"/>
      <charset val="134"/>
      <sz val="72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2"/>
      <scheme val="minor"/>
    </font>
    <font>
      <b val="1"/>
      <color rgb="00FFFFFF"/>
    </font>
    <font>
      <b val="1"/>
    </font>
  </fonts>
  <fills count="44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EE7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66092"/>
        <bgColor rgb="00366092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0" fillId="0" borderId="0"/>
    <xf numFmtId="43" fontId="0" fillId="0" borderId="0"/>
    <xf numFmtId="170" fontId="0" fillId="0" borderId="0"/>
    <xf numFmtId="9" fontId="0" fillId="0" borderId="0"/>
    <xf numFmtId="41" fontId="30" fillId="0" borderId="0" applyAlignment="1">
      <alignment vertical="center"/>
    </xf>
    <xf numFmtId="42" fontId="30" fillId="0" borderId="0" applyAlignment="1">
      <alignment vertical="center"/>
    </xf>
    <xf numFmtId="0" fontId="5" fillId="0" borderId="0" applyAlignment="1" applyProtection="1">
      <alignment vertical="top"/>
      <protection locked="0" hidden="0"/>
    </xf>
    <xf numFmtId="0" fontId="27" fillId="0" borderId="0"/>
    <xf numFmtId="0" fontId="30" fillId="12" borderId="25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6" applyAlignment="1">
      <alignment vertical="center"/>
    </xf>
    <xf numFmtId="0" fontId="35" fillId="0" borderId="26" applyAlignment="1">
      <alignment vertical="center"/>
    </xf>
    <xf numFmtId="0" fontId="36" fillId="0" borderId="27" applyAlignment="1">
      <alignment vertical="center"/>
    </xf>
    <xf numFmtId="0" fontId="36" fillId="0" borderId="0" applyAlignment="1">
      <alignment vertical="center"/>
    </xf>
    <xf numFmtId="0" fontId="37" fillId="13" borderId="28" applyAlignment="1">
      <alignment vertical="center"/>
    </xf>
    <xf numFmtId="0" fontId="38" fillId="14" borderId="29" applyAlignment="1">
      <alignment vertical="center"/>
    </xf>
    <xf numFmtId="0" fontId="39" fillId="14" borderId="28" applyAlignment="1">
      <alignment vertical="center"/>
    </xf>
    <xf numFmtId="0" fontId="40" fillId="15" borderId="30" applyAlignment="1">
      <alignment vertical="center"/>
    </xf>
    <xf numFmtId="0" fontId="41" fillId="0" borderId="31" applyAlignment="1">
      <alignment vertical="center"/>
    </xf>
    <xf numFmtId="0" fontId="42" fillId="0" borderId="32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  <xf numFmtId="43" fontId="48" fillId="0" borderId="0"/>
    <xf numFmtId="0" fontId="48" fillId="0" borderId="0"/>
  </cellStyleXfs>
  <cellXfs count="28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1" fontId="0" fillId="0" borderId="0" pivotButton="0" quotePrefix="0" xfId="1"/>
    <xf numFmtId="1" fontId="0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37" fontId="0" fillId="0" borderId="0" pivotButton="0" quotePrefix="0" xfId="0"/>
    <xf numFmtId="0" fontId="4" fillId="0" borderId="0" pivotButton="0" quotePrefix="0" xfId="0"/>
    <xf numFmtId="0" fontId="5" fillId="0" borderId="0" pivotButton="0" quotePrefix="0" xfId="6"/>
    <xf numFmtId="0" fontId="6" fillId="0" borderId="0" pivotButton="0" quotePrefix="0" xfId="6"/>
    <xf numFmtId="37" fontId="7" fillId="2" borderId="1" applyProtection="1" pivotButton="0" quotePrefix="0" xfId="0">
      <protection locked="0" hidden="0"/>
    </xf>
    <xf numFmtId="0" fontId="8" fillId="0" borderId="0" pivotButton="0" quotePrefix="0" xfId="6"/>
    <xf numFmtId="164" fontId="7" fillId="2" borderId="1" applyProtection="1" pivotButton="0" quotePrefix="0" xfId="0">
      <protection locked="0" hidden="0"/>
    </xf>
    <xf numFmtId="0" fontId="0" fillId="0" borderId="0" pivotButton="0" quotePrefix="0" xfId="6"/>
    <xf numFmtId="165" fontId="7" fillId="2" borderId="1" applyProtection="1" pivotButton="0" quotePrefix="0" xfId="0">
      <protection locked="0" hidden="0"/>
    </xf>
    <xf numFmtId="0" fontId="0" fillId="0" borderId="0" pivotButton="0" quotePrefix="0" xfId="0"/>
    <xf numFmtId="0" fontId="6" fillId="0" borderId="0" pivotButton="0" quotePrefix="0" xfId="0"/>
    <xf numFmtId="0" fontId="7" fillId="2" borderId="2" applyAlignment="1" applyProtection="1" pivotButton="0" quotePrefix="0" xfId="0">
      <alignment horizontal="left"/>
      <protection locked="0" hidden="0"/>
    </xf>
    <xf numFmtId="0" fontId="0" fillId="0" borderId="3" applyAlignment="1" pivotButton="0" quotePrefix="0" xfId="0">
      <alignment horizontal="left"/>
    </xf>
    <xf numFmtId="0" fontId="7" fillId="2" borderId="1" applyProtection="1" pivotButton="0" quotePrefix="0" xfId="1">
      <protection locked="0" hidden="0"/>
    </xf>
    <xf numFmtId="3" fontId="7" fillId="2" borderId="1" applyProtection="1" pivotButton="0" quotePrefix="0" xfId="1">
      <protection locked="0" hidden="0"/>
    </xf>
    <xf numFmtId="37" fontId="7" fillId="2" borderId="4" applyProtection="1" pivotButton="0" quotePrefix="0" xfId="0">
      <protection locked="0" hidden="0"/>
    </xf>
    <xf numFmtId="0" fontId="8" fillId="0" borderId="0" pivotButton="0" quotePrefix="0" xfId="0"/>
    <xf numFmtId="0" fontId="7" fillId="2" borderId="3" applyAlignment="1" applyProtection="1" pivotButton="0" quotePrefix="0" xfId="0">
      <alignment horizontal="left"/>
      <protection locked="0" hidden="0"/>
    </xf>
    <xf numFmtId="164" fontId="7" fillId="2" borderId="5" applyAlignment="1" applyProtection="1" pivotButton="0" quotePrefix="0" xfId="0">
      <alignment horizontal="right"/>
      <protection locked="0" hidden="0"/>
    </xf>
    <xf numFmtId="1" fontId="7" fillId="2" borderId="1" applyProtection="1" pivotButton="0" quotePrefix="0" xfId="1">
      <protection locked="0" hidden="0"/>
    </xf>
    <xf numFmtId="0" fontId="0" fillId="3" borderId="0" pivotButton="0" quotePrefix="0" xfId="0"/>
    <xf numFmtId="0" fontId="9" fillId="4" borderId="6" pivotButton="0" quotePrefix="0" xfId="6"/>
    <xf numFmtId="0" fontId="0" fillId="4" borderId="7" pivotButton="0" quotePrefix="0" xfId="0"/>
    <xf numFmtId="0" fontId="0" fillId="4" borderId="8" pivotButton="0" quotePrefix="0" xfId="0"/>
    <xf numFmtId="0" fontId="9" fillId="4" borderId="9" pivotButton="0" quotePrefix="0" xfId="6"/>
    <xf numFmtId="0" fontId="0" fillId="4" borderId="0" pivotButton="0" quotePrefix="0" xfId="0"/>
    <xf numFmtId="0" fontId="0" fillId="4" borderId="10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6" fillId="5" borderId="9" pivotButton="0" quotePrefix="0" xfId="0"/>
    <xf numFmtId="0" fontId="0" fillId="5" borderId="0" pivotButton="0" quotePrefix="0" xfId="0"/>
    <xf numFmtId="0" fontId="0" fillId="5" borderId="10" pivotButton="0" quotePrefix="0" xfId="0"/>
    <xf numFmtId="0" fontId="7" fillId="5" borderId="9" pivotButton="0" quotePrefix="0" xfId="0"/>
    <xf numFmtId="0" fontId="7" fillId="5" borderId="0" pivotButton="0" quotePrefix="0" xfId="0"/>
    <xf numFmtId="0" fontId="0" fillId="5" borderId="9" pivotButton="0" quotePrefix="0" xfId="0"/>
    <xf numFmtId="164" fontId="0" fillId="5" borderId="0" applyAlignment="1" pivotButton="0" quotePrefix="0" xfId="0">
      <alignment horizontal="right"/>
    </xf>
    <xf numFmtId="10" fontId="0" fillId="5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10" fontId="0" fillId="5" borderId="0" pivotButton="0" quotePrefix="0" xfId="0"/>
    <xf numFmtId="166" fontId="0" fillId="5" borderId="0" pivotButton="0" quotePrefix="0" xfId="0"/>
    <xf numFmtId="164" fontId="0" fillId="5" borderId="0" pivotButton="0" quotePrefix="0" xfId="0"/>
    <xf numFmtId="166" fontId="6" fillId="6" borderId="14" pivotButton="0" quotePrefix="0" xfId="0"/>
    <xf numFmtId="4" fontId="0" fillId="5" borderId="0" pivotButton="0" quotePrefix="0" xfId="0"/>
    <xf numFmtId="2" fontId="0" fillId="5" borderId="0" pivotButton="0" quotePrefix="0" xfId="0"/>
    <xf numFmtId="0" fontId="0" fillId="5" borderId="11" pivotButton="0" quotePrefix="0" xfId="0"/>
    <xf numFmtId="0" fontId="0" fillId="5" borderId="12" pivotButton="0" quotePrefix="0" xfId="0"/>
    <xf numFmtId="0" fontId="0" fillId="5" borderId="13" pivotButton="0" quotePrefix="0" xfId="0"/>
    <xf numFmtId="0" fontId="0" fillId="7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4" borderId="0" pivotButton="0" quotePrefix="0" xfId="6"/>
    <xf numFmtId="0" fontId="12" fillId="4" borderId="0" pivotButton="0" quotePrefix="0" xfId="0"/>
    <xf numFmtId="0" fontId="0" fillId="4" borderId="15" pivotButton="0" quotePrefix="0" xfId="0"/>
    <xf numFmtId="0" fontId="7" fillId="0" borderId="0" pivotButton="0" quotePrefix="0" xfId="0"/>
    <xf numFmtId="3" fontId="7" fillId="0" borderId="0" pivotButton="0" quotePrefix="0" xfId="1"/>
    <xf numFmtId="3" fontId="0" fillId="0" borderId="0" pivotButton="0" quotePrefix="0" xfId="1"/>
    <xf numFmtId="166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12" pivotButton="0" quotePrefix="0" xfId="0"/>
    <xf numFmtId="164" fontId="0" fillId="0" borderId="12" applyAlignment="1" pivotButton="0" quotePrefix="0" xfId="0">
      <alignment horizontal="center"/>
    </xf>
    <xf numFmtId="37" fontId="0" fillId="0" borderId="0" pivotButton="0" quotePrefix="0" xfId="0"/>
    <xf numFmtId="0" fontId="13" fillId="0" borderId="0" pivotButton="0" quotePrefix="0" xfId="6"/>
    <xf numFmtId="166" fontId="0" fillId="0" borderId="0" pivotButton="0" quotePrefix="0" xfId="0"/>
    <xf numFmtId="0" fontId="14" fillId="0" borderId="0" pivotButton="0" quotePrefix="0" xfId="0"/>
    <xf numFmtId="166" fontId="0" fillId="2" borderId="1" applyProtection="1" pivotButton="0" quotePrefix="0" xfId="0">
      <protection locked="0" hidden="0"/>
    </xf>
    <xf numFmtId="166" fontId="0" fillId="2" borderId="1" applyProtection="1" pivotButton="0" quotePrefix="0" xfId="0">
      <protection locked="0" hidden="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14" fillId="0" borderId="0" applyAlignment="1" pivotButton="0" quotePrefix="0" xfId="0">
      <alignment wrapText="1"/>
    </xf>
    <xf numFmtId="9" fontId="0" fillId="2" borderId="1" applyProtection="1" pivotButton="0" quotePrefix="0" xfId="0">
      <protection locked="0" hidden="0"/>
    </xf>
    <xf numFmtId="0" fontId="15" fillId="0" borderId="0" pivotButton="0" quotePrefix="0" xfId="0"/>
    <xf numFmtId="9" fontId="11" fillId="0" borderId="0" pivotButton="0" quotePrefix="0" xfId="0"/>
    <xf numFmtId="0" fontId="5" fillId="0" borderId="0" applyAlignment="1" pivotButton="0" quotePrefix="0" xfId="6">
      <alignment horizontal="center"/>
    </xf>
    <xf numFmtId="0" fontId="16" fillId="0" borderId="0" pivotButton="0" quotePrefix="0" xfId="6"/>
    <xf numFmtId="0" fontId="10" fillId="4" borderId="0" pivotButton="0" quotePrefix="0" xfId="0"/>
    <xf numFmtId="0" fontId="17" fillId="4" borderId="0" pivotButton="0" quotePrefix="0" xfId="6"/>
    <xf numFmtId="0" fontId="5" fillId="4" borderId="15" pivotButton="0" quotePrefix="0" xfId="6"/>
    <xf numFmtId="0" fontId="18" fillId="0" borderId="0" pivotButton="0" quotePrefix="0" xfId="0"/>
    <xf numFmtId="0" fontId="8" fillId="0" borderId="0" pivotButton="0" quotePrefix="0" xfId="6"/>
    <xf numFmtId="49" fontId="19" fillId="4" borderId="0" pivotButton="0" quotePrefix="0" xfId="0"/>
    <xf numFmtId="0" fontId="10" fillId="4" borderId="0" applyAlignment="1" pivotButton="0" quotePrefix="0" xfId="0">
      <alignment horizontal="left"/>
    </xf>
    <xf numFmtId="0" fontId="10" fillId="4" borderId="0" applyAlignment="1" pivotButton="0" quotePrefix="0" xfId="0">
      <alignment horizontal="right"/>
    </xf>
    <xf numFmtId="0" fontId="6" fillId="4" borderId="15" pivotButton="0" quotePrefix="0" xfId="0"/>
    <xf numFmtId="0" fontId="0" fillId="4" borderId="15" applyAlignment="1" pivotButton="0" quotePrefix="0" xfId="0">
      <alignment horizontal="left"/>
    </xf>
    <xf numFmtId="0" fontId="0" fillId="4" borderId="15" applyAlignment="1" pivotButton="0" quotePrefix="0" xfId="0">
      <alignment horizontal="right"/>
    </xf>
    <xf numFmtId="58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0" fontId="0" fillId="0" borderId="0" pivotButton="0" quotePrefix="0" xfId="3"/>
    <xf numFmtId="9" fontId="0" fillId="0" borderId="0" pivotButton="0" quotePrefix="0" xfId="3"/>
    <xf numFmtId="167" fontId="0" fillId="0" borderId="0" pivotButton="0" quotePrefix="0" xfId="0"/>
    <xf numFmtId="58" fontId="0" fillId="0" borderId="0" applyAlignment="1" pivotButton="0" quotePrefix="0" xfId="0">
      <alignment horizontal="right"/>
    </xf>
    <xf numFmtId="0" fontId="20" fillId="0" borderId="0" pivotButton="0" quotePrefix="0" xfId="6"/>
    <xf numFmtId="0" fontId="21" fillId="0" borderId="0" pivotButton="0" quotePrefix="0" xfId="0"/>
    <xf numFmtId="166" fontId="6" fillId="6" borderId="16" pivotButton="0" quotePrefix="0" xfId="0"/>
    <xf numFmtId="37" fontId="0" fillId="0" borderId="0" applyAlignment="1" pivotButton="0" quotePrefix="0" xfId="0">
      <alignment wrapText="1"/>
    </xf>
    <xf numFmtId="58" fontId="10" fillId="4" borderId="0" pivotButton="0" quotePrefix="0" xfId="0"/>
    <xf numFmtId="58" fontId="0" fillId="4" borderId="15" pivotButton="0" quotePrefix="0" xfId="0"/>
    <xf numFmtId="0" fontId="8" fillId="0" borderId="0" pivotButton="0" quotePrefix="0" xfId="6"/>
    <xf numFmtId="58" fontId="0" fillId="0" borderId="0" applyAlignment="1" pivotButton="0" quotePrefix="0" xfId="0">
      <alignment horizontal="center"/>
    </xf>
    <xf numFmtId="0" fontId="5" fillId="4" borderId="0" pivotButton="0" quotePrefix="0" xfId="6"/>
    <xf numFmtId="0" fontId="9" fillId="4" borderId="0" pivotButton="0" quotePrefix="0" xfId="0"/>
    <xf numFmtId="0" fontId="19" fillId="4" borderId="15" pivotButton="0" quotePrefix="0" xfId="0"/>
    <xf numFmtId="0" fontId="19" fillId="5" borderId="15" pivotButton="0" quotePrefix="0" xfId="0"/>
    <xf numFmtId="0" fontId="0" fillId="5" borderId="15" pivotButton="0" quotePrefix="0" xfId="0"/>
    <xf numFmtId="0" fontId="6" fillId="5" borderId="0" pivotButton="0" quotePrefix="0" xfId="0"/>
    <xf numFmtId="0" fontId="6" fillId="6" borderId="17" applyAlignment="1" pivotButton="0" quotePrefix="0" xfId="0">
      <alignment horizontal="left"/>
    </xf>
    <xf numFmtId="0" fontId="6" fillId="6" borderId="15" applyAlignment="1" pivotButton="0" quotePrefix="0" xfId="0">
      <alignment horizontal="left"/>
    </xf>
    <xf numFmtId="0" fontId="6" fillId="6" borderId="18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7" fillId="5" borderId="0" applyProtection="1" pivotButton="0" quotePrefix="0" xfId="0">
      <protection locked="0" hidden="0"/>
    </xf>
    <xf numFmtId="0" fontId="6" fillId="5" borderId="0" applyAlignment="1" pivotButton="0" quotePrefix="0" xfId="0">
      <alignment horizontal="left"/>
    </xf>
    <xf numFmtId="0" fontId="20" fillId="5" borderId="0" pivotButton="0" quotePrefix="0" xfId="6"/>
    <xf numFmtId="0" fontId="6" fillId="5" borderId="0" pivotButton="0" quotePrefix="0" xfId="6"/>
    <xf numFmtId="2" fontId="6" fillId="5" borderId="0" pivotButton="0" quotePrefix="0" xfId="0"/>
    <xf numFmtId="0" fontId="0" fillId="5" borderId="19" pivotButton="0" quotePrefix="0" xfId="0"/>
    <xf numFmtId="0" fontId="5" fillId="5" borderId="0" pivotButton="0" quotePrefix="0" xfId="6"/>
    <xf numFmtId="10" fontId="0" fillId="2" borderId="1" applyAlignment="1" applyProtection="1" pivotButton="0" quotePrefix="0" xfId="0">
      <alignment horizontal="center"/>
      <protection locked="0" hidden="0"/>
    </xf>
    <xf numFmtId="37" fontId="0" fillId="2" borderId="1" applyAlignment="1" applyProtection="1" pivotButton="0" quotePrefix="0" xfId="0">
      <alignment horizontal="center"/>
      <protection locked="0" hidden="0"/>
    </xf>
    <xf numFmtId="164" fontId="0" fillId="2" borderId="1" applyAlignment="1" applyProtection="1" pivotButton="0" quotePrefix="0" xfId="0">
      <alignment horizontal="center"/>
      <protection locked="0" hidden="0"/>
    </xf>
    <xf numFmtId="168" fontId="0" fillId="2" borderId="1" applyAlignment="1" applyProtection="1" pivotButton="0" quotePrefix="0" xfId="0">
      <alignment horizontal="center"/>
      <protection locked="0" hidden="0"/>
    </xf>
    <xf numFmtId="169" fontId="0" fillId="2" borderId="1" applyAlignment="1" applyProtection="1" pivotButton="0" quotePrefix="0" xfId="0">
      <alignment horizontal="center"/>
      <protection locked="0" hidden="0"/>
    </xf>
    <xf numFmtId="0" fontId="0" fillId="5" borderId="0" applyAlignment="1" pivotButton="0" quotePrefix="0" xfId="0">
      <alignment horizontal="center"/>
    </xf>
    <xf numFmtId="10" fontId="6" fillId="5" borderId="0" applyAlignment="1" pivotButton="0" quotePrefix="0" xfId="0">
      <alignment horizontal="center"/>
    </xf>
    <xf numFmtId="10" fontId="0" fillId="3" borderId="0" pivotButton="0" quotePrefix="0" xfId="0"/>
    <xf numFmtId="170" fontId="0" fillId="2" borderId="1" applyAlignment="1" applyProtection="1" pivotButton="0" quotePrefix="0" xfId="2">
      <alignment horizontal="right"/>
      <protection locked="0" hidden="0"/>
    </xf>
    <xf numFmtId="171" fontId="0" fillId="2" borderId="1" applyAlignment="1" applyProtection="1" pivotButton="0" quotePrefix="0" xfId="3">
      <alignment horizontal="right"/>
      <protection locked="0" hidden="0"/>
    </xf>
    <xf numFmtId="10" fontId="0" fillId="2" borderId="1" applyAlignment="1" applyProtection="1" pivotButton="0" quotePrefix="0" xfId="0">
      <alignment horizontal="right"/>
      <protection locked="0" hidden="0"/>
    </xf>
    <xf numFmtId="170" fontId="6" fillId="6" borderId="1" applyAlignment="1" pivotButton="0" quotePrefix="0" xfId="2">
      <alignment horizontal="left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15" pivotButton="0" quotePrefix="0" xfId="0"/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6" fontId="6" fillId="6" borderId="1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164" fontId="7" fillId="0" borderId="12" applyAlignment="1" pivotButton="0" quotePrefix="0" xfId="0">
      <alignment horizontal="center"/>
    </xf>
    <xf numFmtId="58" fontId="7" fillId="0" borderId="0" applyAlignment="1" pivotButton="0" quotePrefix="0" xfId="0">
      <alignment horizontal="center"/>
    </xf>
    <xf numFmtId="58" fontId="22" fillId="0" borderId="0" applyAlignment="1" pivotButton="0" quotePrefix="0" xfId="0">
      <alignment horizontal="center"/>
    </xf>
    <xf numFmtId="172" fontId="22" fillId="0" borderId="0" pivotButton="0" quotePrefix="0" xfId="0"/>
    <xf numFmtId="0" fontId="22" fillId="0" borderId="0" pivotButton="0" quotePrefix="0" xfId="0"/>
    <xf numFmtId="173" fontId="7" fillId="0" borderId="0" pivotButton="0" quotePrefix="0" xfId="0"/>
    <xf numFmtId="164" fontId="0" fillId="0" borderId="12" applyAlignment="1" pivotButton="0" quotePrefix="0" xfId="0">
      <alignment horizontal="center"/>
    </xf>
    <xf numFmtId="58" fontId="0" fillId="0" borderId="0" applyAlignment="1" pivotButton="0" quotePrefix="0" xfId="0">
      <alignment horizontal="center"/>
    </xf>
    <xf numFmtId="172" fontId="6" fillId="0" borderId="0" pivotButton="0" quotePrefix="0" xfId="0"/>
    <xf numFmtId="58" fontId="7" fillId="0" borderId="0" pivotButton="0" quotePrefix="0" xfId="0"/>
    <xf numFmtId="173" fontId="0" fillId="2" borderId="1" applyProtection="1" pivotButton="0" quotePrefix="0" xfId="0">
      <protection locked="0" hidden="0"/>
    </xf>
    <xf numFmtId="173" fontId="0" fillId="0" borderId="0" pivotButton="0" quotePrefix="0" xfId="0"/>
    <xf numFmtId="0" fontId="0" fillId="4" borderId="0" applyAlignment="1" pivotButton="0" quotePrefix="0" xfId="0">
      <alignment horizontal="center"/>
    </xf>
    <xf numFmtId="0" fontId="6" fillId="4" borderId="15" applyAlignment="1" pivotButton="0" quotePrefix="0" xfId="0">
      <alignment horizontal="center"/>
    </xf>
    <xf numFmtId="0" fontId="0" fillId="4" borderId="1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19" pivotButton="0" quotePrefix="0" xfId="0"/>
    <xf numFmtId="0" fontId="9" fillId="4" borderId="0" pivotButton="0" quotePrefix="0" xfId="6"/>
    <xf numFmtId="0" fontId="19" fillId="4" borderId="0" pivotButton="0" quotePrefix="0" xfId="0"/>
    <xf numFmtId="172" fontId="7" fillId="0" borderId="0" pivotButton="0" quotePrefix="0" xfId="0"/>
    <xf numFmtId="174" fontId="7" fillId="0" borderId="0" pivotButton="0" quotePrefix="0" xfId="0"/>
    <xf numFmtId="173" fontId="7" fillId="0" borderId="0" pivotButton="0" quotePrefix="0" xfId="3"/>
    <xf numFmtId="168" fontId="7" fillId="0" borderId="0" pivotButton="0" quotePrefix="0" xfId="0"/>
    <xf numFmtId="2" fontId="7" fillId="0" borderId="0" pivotButton="0" quotePrefix="0" xfId="0"/>
    <xf numFmtId="0" fontId="7" fillId="0" borderId="19" pivotButton="0" quotePrefix="0" xfId="0"/>
    <xf numFmtId="0" fontId="20" fillId="0" borderId="16" pivotButton="0" quotePrefix="0" xfId="6"/>
    <xf numFmtId="0" fontId="2" fillId="8" borderId="20" applyAlignment="1" pivotButton="0" quotePrefix="0" xfId="0">
      <alignment horizontal="center"/>
    </xf>
    <xf numFmtId="0" fontId="2" fillId="9" borderId="21" applyAlignment="1" pivotButton="0" quotePrefix="0" xfId="0">
      <alignment horizontal="center"/>
    </xf>
    <xf numFmtId="0" fontId="2" fillId="10" borderId="22" applyAlignment="1" pivotButton="0" quotePrefix="0" xfId="0">
      <alignment horizontal="center"/>
    </xf>
    <xf numFmtId="172" fontId="0" fillId="0" borderId="0" pivotButton="0" quotePrefix="0" xfId="0"/>
    <xf numFmtId="172" fontId="0" fillId="0" borderId="0" pivotButton="0" quotePrefix="0" xfId="0"/>
    <xf numFmtId="174" fontId="0" fillId="0" borderId="0" pivotButton="0" quotePrefix="0" xfId="0"/>
    <xf numFmtId="173" fontId="0" fillId="0" borderId="0" pivotButton="0" quotePrefix="0" xfId="3"/>
    <xf numFmtId="173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0" fontId="23" fillId="4" borderId="0" pivotButton="0" quotePrefix="0" xfId="0"/>
    <xf numFmtId="0" fontId="7" fillId="4" borderId="0" pivotButton="0" quotePrefix="0" xfId="0"/>
    <xf numFmtId="0" fontId="7" fillId="4" borderId="15" pivotButton="0" quotePrefix="0" xfId="0"/>
    <xf numFmtId="0" fontId="7" fillId="0" borderId="0" pivotButton="0" quotePrefix="0" xfId="1"/>
    <xf numFmtId="164" fontId="7" fillId="0" borderId="0" applyAlignment="1" pivotButton="0" quotePrefix="0" xfId="0">
      <alignment horizontal="center"/>
    </xf>
    <xf numFmtId="0" fontId="20" fillId="0" borderId="19" applyAlignment="1" pivotButton="0" quotePrefix="0" xfId="6">
      <alignment shrinkToFit="1"/>
    </xf>
    <xf numFmtId="0" fontId="24" fillId="0" borderId="19" pivotButton="0" quotePrefix="0" xfId="0"/>
    <xf numFmtId="37" fontId="7" fillId="0" borderId="0" pivotButton="0" quotePrefix="0" xfId="0"/>
    <xf numFmtId="37" fontId="7" fillId="0" borderId="23" pivotButton="0" quotePrefix="0" xfId="0"/>
    <xf numFmtId="0" fontId="0" fillId="0" borderId="0" applyAlignment="1" pivotButton="0" quotePrefix="0" xfId="0">
      <alignment horizontal="center"/>
    </xf>
    <xf numFmtId="37" fontId="0" fillId="0" borderId="23" pivotButton="0" quotePrefix="0" xfId="0"/>
    <xf numFmtId="3" fontId="7" fillId="0" borderId="0" pivotButton="0" quotePrefix="0" xfId="0"/>
    <xf numFmtId="0" fontId="0" fillId="11" borderId="0" pivotButton="0" quotePrefix="0" xfId="0"/>
    <xf numFmtId="0" fontId="0" fillId="0" borderId="19" pivotButton="0" quotePrefix="0" xfId="0"/>
    <xf numFmtId="3" fontId="0" fillId="0" borderId="0" pivotButton="0" quotePrefix="0" xfId="0"/>
    <xf numFmtId="0" fontId="19" fillId="4" borderId="0" pivotButton="0" quotePrefix="0" xfId="6"/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left"/>
    </xf>
    <xf numFmtId="0" fontId="5" fillId="4" borderId="15" applyAlignment="1" pivotButton="0" quotePrefix="0" xfId="6">
      <alignment horizontal="left"/>
    </xf>
    <xf numFmtId="37" fontId="7" fillId="2" borderId="2" applyAlignment="1" applyProtection="1" pivotButton="0" quotePrefix="0" xfId="0">
      <alignment horizontal="left"/>
      <protection locked="0" hidden="0"/>
    </xf>
    <xf numFmtId="0" fontId="0" fillId="0" borderId="3" applyAlignment="1" applyProtection="1" pivotButton="0" quotePrefix="0" xfId="0">
      <alignment horizontal="left"/>
      <protection locked="0" hidden="0"/>
    </xf>
    <xf numFmtId="37" fontId="7" fillId="2" borderId="1" applyProtection="1" pivotButton="0" quotePrefix="0" xfId="1">
      <protection locked="0" hidden="0"/>
    </xf>
    <xf numFmtId="164" fontId="7" fillId="2" borderId="5" applyAlignment="1" applyProtection="1" pivotButton="0" quotePrefix="0" xfId="0">
      <alignment horizontal="center"/>
      <protection locked="0" hidden="0"/>
    </xf>
    <xf numFmtId="0" fontId="13" fillId="0" borderId="0" pivotButton="0" quotePrefix="0" xfId="6"/>
    <xf numFmtId="37" fontId="21" fillId="0" borderId="0" pivotButton="0" quotePrefix="0" xfId="0"/>
    <xf numFmtId="37" fontId="22" fillId="0" borderId="0" pivotButton="0" quotePrefix="0" xfId="0"/>
    <xf numFmtId="0" fontId="0" fillId="0" borderId="0" pivotButton="0" quotePrefix="0" xfId="6"/>
    <xf numFmtId="165" fontId="7" fillId="2" borderId="1" applyProtection="1" pivotButton="0" quotePrefix="0" xfId="1">
      <protection locked="0" hidden="0"/>
    </xf>
    <xf numFmtId="0" fontId="13" fillId="0" borderId="0" pivotButton="0" quotePrefix="0" xfId="0"/>
    <xf numFmtId="0" fontId="5" fillId="0" borderId="0" pivotButton="0" quotePrefix="0" xfId="6"/>
    <xf numFmtId="0" fontId="0" fillId="0" borderId="0" pivotButton="0" quotePrefix="0" xfId="1"/>
    <xf numFmtId="37" fontId="0" fillId="0" borderId="24" pivotButton="0" quotePrefix="0" xfId="0"/>
    <xf numFmtId="37" fontId="0" fillId="0" borderId="24" pivotButton="0" quotePrefix="0" xfId="0"/>
    <xf numFmtId="37" fontId="0" fillId="0" borderId="17" pivotButton="0" quotePrefix="0" xfId="0"/>
    <xf numFmtId="37" fontId="0" fillId="0" borderId="15" pivotButton="0" quotePrefix="0" xfId="0"/>
    <xf numFmtId="37" fontId="0" fillId="0" borderId="17" pivotButton="0" quotePrefix="0" xfId="0"/>
    <xf numFmtId="37" fontId="0" fillId="0" borderId="15" pivotButton="0" quotePrefix="0" xfId="0"/>
    <xf numFmtId="37" fontId="0" fillId="0" borderId="23" pivotButton="0" quotePrefix="0" xfId="0"/>
    <xf numFmtId="0" fontId="5" fillId="0" borderId="0" pivotButton="0" quotePrefix="0" xfId="6"/>
    <xf numFmtId="175" fontId="7" fillId="0" borderId="0" pivotButton="0" quotePrefix="0" xfId="0"/>
    <xf numFmtId="176" fontId="7" fillId="2" borderId="5" applyAlignment="1" applyProtection="1" pivotButton="0" quotePrefix="0" xfId="0">
      <alignment horizontal="right"/>
      <protection locked="0" hidden="0"/>
    </xf>
    <xf numFmtId="0" fontId="6" fillId="0" borderId="15" pivotButton="0" quotePrefix="0" xfId="0"/>
    <xf numFmtId="175" fontId="0" fillId="0" borderId="0" pivotButton="0" quotePrefix="0" xfId="0"/>
    <xf numFmtId="2" fontId="25" fillId="4" borderId="24" applyAlignment="1" pivotButton="0" quotePrefix="0" xfId="0">
      <alignment wrapText="1"/>
    </xf>
    <xf numFmtId="2" fontId="25" fillId="4" borderId="0" applyAlignment="1" pivotButton="0" quotePrefix="0" xfId="0">
      <alignment wrapText="1"/>
    </xf>
    <xf numFmtId="0" fontId="12" fillId="3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6" fillId="5" borderId="0" applyAlignment="1" pivotButton="0" quotePrefix="0" xfId="0">
      <alignment horizontal="right"/>
    </xf>
    <xf numFmtId="0" fontId="26" fillId="5" borderId="0" applyAlignment="1" pivotButton="0" quotePrefix="0" xfId="0">
      <alignment horizontal="center"/>
    </xf>
    <xf numFmtId="0" fontId="12" fillId="5" borderId="0" pivotButton="0" quotePrefix="0" xfId="0"/>
    <xf numFmtId="0" fontId="12" fillId="5" borderId="0" applyAlignment="1" pivotButton="0" quotePrefix="0" xfId="0">
      <alignment horizontal="center"/>
    </xf>
    <xf numFmtId="0" fontId="27" fillId="5" borderId="0" pivotButton="0" quotePrefix="0" xfId="6"/>
    <xf numFmtId="0" fontId="28" fillId="5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0" fillId="0" borderId="0" pivotButton="0" quotePrefix="1" xfId="6"/>
    <xf numFmtId="0" fontId="0" fillId="0" borderId="0" pivotButton="0" quotePrefix="1" xfId="0"/>
    <xf numFmtId="0" fontId="20" fillId="0" borderId="0" pivotButton="0" quotePrefix="1" xfId="6"/>
    <xf numFmtId="0" fontId="49" fillId="4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/>
    </xf>
    <xf numFmtId="177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7" fontId="7" fillId="2" borderId="1" applyAlignment="1" applyProtection="1" pivotButton="0" quotePrefix="0" xfId="0">
      <alignment horizontal="left"/>
      <protection locked="0" hidden="0"/>
    </xf>
    <xf numFmtId="0" fontId="0" fillId="0" borderId="3" applyProtection="1" pivotButton="0" quotePrefix="0" xfId="0">
      <protection locked="0" hidden="0"/>
    </xf>
    <xf numFmtId="165" fontId="7" fillId="2" borderId="1" applyProtection="1" pivotButton="0" quotePrefix="0" xfId="1">
      <protection locked="0" hidden="0"/>
    </xf>
    <xf numFmtId="166" fontId="6" fillId="6" borderId="1" applyAlignment="1" pivotButton="0" quotePrefix="0" xfId="0">
      <alignment horizontal="left"/>
    </xf>
    <xf numFmtId="164" fontId="7" fillId="2" borderId="5" applyAlignment="1" applyProtection="1" pivotButton="0" quotePrefix="0" xfId="0">
      <alignment horizontal="center"/>
      <protection locked="0" hidden="0"/>
    </xf>
    <xf numFmtId="164" fontId="0" fillId="0" borderId="12" applyAlignment="1" pivotButton="0" quotePrefix="0" xfId="0">
      <alignment horizontal="center"/>
    </xf>
    <xf numFmtId="175" fontId="7" fillId="0" borderId="0" pivotButton="0" quotePrefix="0" xfId="0"/>
    <xf numFmtId="175" fontId="0" fillId="0" borderId="0" pivotButton="0" quotePrefix="0" xfId="0"/>
    <xf numFmtId="165" fontId="7" fillId="2" borderId="1" applyProtection="1" pivotButton="0" quotePrefix="0" xfId="0">
      <protection locked="0" hidden="0"/>
    </xf>
    <xf numFmtId="0" fontId="0" fillId="0" borderId="24" pivotButton="0" quotePrefix="0" xfId="0"/>
    <xf numFmtId="176" fontId="7" fillId="2" borderId="5" applyAlignment="1" applyProtection="1" pivotButton="0" quotePrefix="0" xfId="0">
      <alignment horizontal="right"/>
      <protection locked="0" hidden="0"/>
    </xf>
    <xf numFmtId="164" fontId="7" fillId="0" borderId="12" applyAlignment="1" pivotButton="0" quotePrefix="0" xfId="0">
      <alignment horizontal="center"/>
    </xf>
    <xf numFmtId="173" fontId="7" fillId="0" borderId="0" pivotButton="0" quotePrefix="0" xfId="0"/>
    <xf numFmtId="173" fontId="0" fillId="0" borderId="0" pivotButton="0" quotePrefix="0" xfId="0"/>
    <xf numFmtId="172" fontId="7" fillId="0" borderId="0" pivotButton="0" quotePrefix="0" xfId="0"/>
    <xf numFmtId="172" fontId="0" fillId="0" borderId="0" pivotButton="0" quotePrefix="0" xfId="0"/>
    <xf numFmtId="164" fontId="7" fillId="0" borderId="0" applyAlignment="1" pivotButton="0" quotePrefix="0" xfId="0">
      <alignment horizontal="center"/>
    </xf>
    <xf numFmtId="174" fontId="7" fillId="0" borderId="0" pivotButton="0" quotePrefix="0" xfId="0"/>
    <xf numFmtId="174" fontId="0" fillId="0" borderId="0" pivotButton="0" quotePrefix="0" xfId="0"/>
    <xf numFmtId="173" fontId="7" fillId="0" borderId="0" pivotButton="0" quotePrefix="0" xfId="3"/>
    <xf numFmtId="173" fontId="0" fillId="0" borderId="0" pivotButton="0" quotePrefix="0" xfId="3"/>
    <xf numFmtId="168" fontId="7" fillId="0" borderId="0" pivotButton="0" quotePrefix="0" xfId="0"/>
    <xf numFmtId="168" fontId="0" fillId="0" borderId="0" pivotButton="0" quotePrefix="0" xfId="0"/>
    <xf numFmtId="172" fontId="22" fillId="0" borderId="0" pivotButton="0" quotePrefix="0" xfId="0"/>
    <xf numFmtId="172" fontId="6" fillId="0" borderId="0" pivotButton="0" quotePrefix="0" xfId="0"/>
    <xf numFmtId="173" fontId="0" fillId="2" borderId="1" applyProtection="1" pivotButton="0" quotePrefix="0" xfId="0">
      <protection locked="0" hidden="0"/>
    </xf>
    <xf numFmtId="0" fontId="0" fillId="0" borderId="15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168" fontId="0" fillId="2" borderId="1" applyAlignment="1" applyProtection="1" pivotButton="0" quotePrefix="0" xfId="0">
      <alignment horizontal="center"/>
      <protection locked="0" hidden="0"/>
    </xf>
    <xf numFmtId="169" fontId="0" fillId="2" borderId="1" applyAlignment="1" applyProtection="1" pivotButton="0" quotePrefix="0" xfId="0">
      <alignment horizontal="center"/>
      <protection locked="0" hidden="0"/>
    </xf>
    <xf numFmtId="170" fontId="0" fillId="2" borderId="1" applyAlignment="1" applyProtection="1" pivotButton="0" quotePrefix="0" xfId="2">
      <alignment horizontal="right"/>
      <protection locked="0" hidden="0"/>
    </xf>
    <xf numFmtId="171" fontId="0" fillId="2" borderId="1" applyAlignment="1" applyProtection="1" pivotButton="0" quotePrefix="0" xfId="3">
      <alignment horizontal="right"/>
      <protection locked="0" hidden="0"/>
    </xf>
    <xf numFmtId="170" fontId="6" fillId="6" borderId="1" applyAlignment="1" pivotButton="0" quotePrefix="0" xfId="2">
      <alignment horizontal="left"/>
    </xf>
    <xf numFmtId="166" fontId="6" fillId="6" borderId="16" pivotButton="0" quotePrefix="0" xfId="0"/>
    <xf numFmtId="167" fontId="0" fillId="0" borderId="0" pivotButton="0" quotePrefix="0" xfId="0"/>
    <xf numFmtId="166" fontId="0" fillId="0" borderId="0" pivotButton="0" quotePrefix="0" xfId="0"/>
    <xf numFmtId="166" fontId="0" fillId="0" borderId="0" pivotButton="0" quotePrefix="0" xfId="1"/>
    <xf numFmtId="166" fontId="0" fillId="2" borderId="1" applyProtection="1" pivotButton="0" quotePrefix="0" xfId="0">
      <protection locked="0" hidden="0"/>
    </xf>
    <xf numFmtId="164" fontId="0" fillId="5" borderId="0" applyAlignment="1" pivotButton="0" quotePrefix="0" xfId="0">
      <alignment horizontal="right"/>
    </xf>
    <xf numFmtId="166" fontId="0" fillId="5" borderId="0" pivotButton="0" quotePrefix="0" xfId="0"/>
    <xf numFmtId="164" fontId="0" fillId="5" borderId="0" pivotButton="0" quotePrefix="0" xfId="0"/>
    <xf numFmtId="166" fontId="6" fillId="6" borderId="14" pivotButton="0" quotePrefix="0" xfId="0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</cellStyles>
  <dxfs count="1">
    <dxf>
      <fill>
        <patternFill patternType="solid">
          <bgColor indexed="29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F43"/>
  <sheetViews>
    <sheetView workbookViewId="0">
      <selection activeCell="A1" sqref="A1"/>
    </sheetView>
  </sheetViews>
  <sheetFormatPr baseColWidth="8" defaultRowHeight="15"/>
  <cols>
    <col width="35" customWidth="1" style="16" min="1" max="1"/>
    <col width="15" customWidth="1" style="16" min="2" max="2"/>
    <col width="15" customWidth="1" style="16" min="3" max="3"/>
    <col width="15" customWidth="1" style="16" min="4" max="4"/>
    <col width="15" customWidth="1" style="16" min="5" max="5"/>
    <col width="15" customWidth="1" style="16" min="6" max="6"/>
  </cols>
  <sheetData>
    <row r="9">
      <c r="A9" s="240" t="inlineStr">
        <is>
          <t>Item</t>
        </is>
      </c>
      <c r="B9" s="240" t="inlineStr">
        <is>
          <t>Year 1</t>
        </is>
      </c>
      <c r="C9" s="240" t="inlineStr">
        <is>
          <t>Year 2</t>
        </is>
      </c>
      <c r="D9" s="240" t="inlineStr">
        <is>
          <t>Year 3</t>
        </is>
      </c>
      <c r="E9" s="240" t="inlineStr">
        <is>
          <t>Year 4</t>
        </is>
      </c>
      <c r="F9" s="240" t="inlineStr">
        <is>
          <t>Year 5</t>
        </is>
      </c>
    </row>
    <row r="10">
      <c r="A10" s="241" t="inlineStr">
        <is>
          <t>Company Name</t>
        </is>
      </c>
      <c r="B10" s="143" t="inlineStr">
        <is>
          <t>Zoom Communications, Inc.</t>
        </is>
      </c>
      <c r="C10" s="143" t="inlineStr">
        <is>
          <t>Ticker</t>
        </is>
      </c>
      <c r="D10" s="143" t="inlineStr">
        <is>
          <t>ZM</t>
        </is>
      </c>
      <c r="E10" s="143" t="inlineStr">
        <is>
          <t>SIC</t>
        </is>
      </c>
      <c r="F10" s="143" t="n"/>
    </row>
    <row r="11">
      <c r="A11" s="241" t="inlineStr">
        <is>
          <t>Common Shares Outstanding</t>
        </is>
      </c>
      <c r="B11" s="143" t="n"/>
      <c r="C11" s="143" t="n"/>
      <c r="D11" s="143" t="n"/>
      <c r="E11" s="143" t="n"/>
      <c r="F11" s="143" t="n"/>
    </row>
    <row r="12">
      <c r="A12" s="241" t="inlineStr">
        <is>
          <t>Fiscal Year End</t>
        </is>
      </c>
      <c r="B12" s="242" t="n">
        <v>44560</v>
      </c>
      <c r="C12" s="143" t="n"/>
      <c r="D12" s="143" t="n"/>
      <c r="E12" s="143" t="n"/>
      <c r="F12" s="143" t="n"/>
    </row>
    <row r="13">
      <c r="A13" s="241" t="inlineStr">
        <is>
          <t>Sales</t>
        </is>
      </c>
      <c r="B13" s="243" t="n">
        <v>4665.433</v>
      </c>
      <c r="C13" s="143" t="n"/>
      <c r="D13" s="143" t="n"/>
      <c r="E13" s="143" t="n"/>
      <c r="F13" s="143" t="n"/>
    </row>
    <row r="14">
      <c r="A14" s="241" t="inlineStr">
        <is>
          <t>Cost of Goods Sold</t>
        </is>
      </c>
      <c r="B14" s="143" t="n"/>
      <c r="C14" s="143" t="n"/>
      <c r="D14" s="143" t="n"/>
      <c r="E14" s="143" t="n"/>
      <c r="F14" s="143" t="n"/>
    </row>
    <row r="15">
      <c r="A15" s="241" t="inlineStr">
        <is>
          <t>R&amp;D</t>
        </is>
      </c>
      <c r="B15" s="243" t="n">
        <v>852.415</v>
      </c>
      <c r="C15" s="143" t="n"/>
      <c r="D15" s="143" t="n"/>
      <c r="E15" s="143" t="n"/>
      <c r="F15" s="143" t="n"/>
    </row>
    <row r="16">
      <c r="A16" s="241" t="inlineStr">
        <is>
          <t>SG&amp;A</t>
        </is>
      </c>
      <c r="B16" s="143" t="n"/>
      <c r="C16" s="143" t="n"/>
      <c r="D16" s="143" t="n"/>
      <c r="E16" s="143" t="n"/>
      <c r="F16" s="143" t="n"/>
    </row>
    <row r="17">
      <c r="A17" s="241" t="inlineStr">
        <is>
          <t>Depreciation</t>
        </is>
      </c>
      <c r="B17" s="143" t="n"/>
      <c r="C17" s="143" t="n"/>
      <c r="D17" s="143" t="n"/>
      <c r="E17" s="143" t="n"/>
      <c r="F17" s="143" t="n"/>
    </row>
    <row r="18">
      <c r="A18" s="241" t="inlineStr">
        <is>
          <t>Interest Expense</t>
        </is>
      </c>
      <c r="B18" s="143" t="n"/>
      <c r="C18" s="143" t="n"/>
      <c r="D18" s="143" t="n"/>
      <c r="E18" s="143" t="n"/>
      <c r="F18" s="143" t="n"/>
    </row>
    <row r="19">
      <c r="A19" s="241" t="inlineStr">
        <is>
          <t>Non-Operating Income</t>
        </is>
      </c>
      <c r="B19" s="243" t="n">
        <v>325.147</v>
      </c>
      <c r="C19" s="143" t="n"/>
      <c r="D19" s="143" t="n"/>
      <c r="E19" s="143" t="n"/>
      <c r="F19" s="143" t="n"/>
    </row>
    <row r="20">
      <c r="A20" s="241" t="inlineStr">
        <is>
          <t>Income Tax</t>
        </is>
      </c>
      <c r="B20" s="243" t="n">
        <v>305.346</v>
      </c>
      <c r="C20" s="143" t="n"/>
      <c r="D20" s="143" t="n"/>
      <c r="E20" s="143" t="n"/>
      <c r="F20" s="143" t="n"/>
    </row>
    <row r="21">
      <c r="A21" s="241" t="inlineStr">
        <is>
          <t>Noncontrolling Interest</t>
        </is>
      </c>
      <c r="B21" s="143" t="n"/>
      <c r="C21" s="143" t="n"/>
      <c r="D21" s="143" t="n"/>
      <c r="E21" s="143" t="n"/>
      <c r="F21" s="143" t="n"/>
    </row>
    <row r="22">
      <c r="A22" s="241" t="inlineStr">
        <is>
          <t>Other Income</t>
        </is>
      </c>
      <c r="B22" s="243" t="n">
        <v>325.147</v>
      </c>
      <c r="C22" s="143" t="n"/>
      <c r="D22" s="143" t="n"/>
      <c r="E22" s="143" t="n"/>
      <c r="F22" s="143" t="n"/>
    </row>
    <row r="23">
      <c r="A23" s="241" t="inlineStr">
        <is>
          <t>Extraordinary Items</t>
        </is>
      </c>
      <c r="B23" s="143" t="n"/>
      <c r="C23" s="143" t="n"/>
      <c r="D23" s="143" t="n"/>
      <c r="E23" s="143" t="n"/>
      <c r="F23" s="143" t="n"/>
    </row>
    <row r="24">
      <c r="A24" s="241" t="inlineStr">
        <is>
          <t>Preferred Dividends</t>
        </is>
      </c>
      <c r="B24" s="143" t="n"/>
      <c r="C24" s="143" t="n"/>
      <c r="D24" s="143" t="n"/>
      <c r="E24" s="143" t="n"/>
      <c r="F24" s="143" t="n"/>
    </row>
    <row r="25">
      <c r="A25" s="241" t="inlineStr">
        <is>
          <t>Cash and Cash Equivalents</t>
        </is>
      </c>
      <c r="B25" s="243" t="n">
        <v>1349.38</v>
      </c>
      <c r="C25" s="143" t="n"/>
      <c r="D25" s="143" t="n"/>
      <c r="E25" s="143" t="n"/>
      <c r="F25" s="143" t="n"/>
    </row>
    <row r="26">
      <c r="A26" s="241" t="inlineStr">
        <is>
          <t>Receivables</t>
        </is>
      </c>
      <c r="B26" s="243" t="n">
        <v>495.228</v>
      </c>
      <c r="C26" s="143" t="n"/>
      <c r="D26" s="143" t="n"/>
      <c r="E26" s="143" t="n"/>
      <c r="F26" s="143" t="n"/>
    </row>
    <row r="27">
      <c r="A27" s="241" t="inlineStr">
        <is>
          <t>Inventories</t>
        </is>
      </c>
      <c r="B27" s="143" t="n"/>
      <c r="C27" s="143" t="n"/>
      <c r="D27" s="143" t="n"/>
      <c r="E27" s="143" t="n"/>
      <c r="F27" s="143" t="n"/>
    </row>
    <row r="28">
      <c r="A28" s="241" t="inlineStr">
        <is>
          <t>Other Current Assets</t>
        </is>
      </c>
      <c r="B28" s="243" t="n">
        <v>200.679</v>
      </c>
      <c r="C28" s="143" t="n"/>
      <c r="D28" s="143" t="n"/>
      <c r="E28" s="143" t="n"/>
      <c r="F28" s="143" t="n"/>
    </row>
    <row r="29">
      <c r="A29" s="241" t="inlineStr">
        <is>
          <t>Property, Plant and Equipment</t>
        </is>
      </c>
      <c r="B29" s="243" t="n">
        <v>330.475</v>
      </c>
      <c r="C29" s="143" t="n"/>
      <c r="D29" s="143" t="n"/>
      <c r="E29" s="143" t="n"/>
      <c r="F29" s="143" t="n"/>
    </row>
    <row r="30">
      <c r="A30" s="241" t="inlineStr">
        <is>
          <t>Investments</t>
        </is>
      </c>
      <c r="B30" s="243" t="n">
        <v>591.481</v>
      </c>
      <c r="C30" s="143" t="n"/>
      <c r="D30" s="143" t="n"/>
      <c r="E30" s="143" t="n"/>
      <c r="F30" s="143" t="n"/>
    </row>
    <row r="31">
      <c r="A31" s="241" t="inlineStr">
        <is>
          <t>Intangible Assets</t>
        </is>
      </c>
      <c r="B31" s="243" t="n">
        <v>307.295</v>
      </c>
      <c r="C31" s="143" t="n"/>
      <c r="D31" s="143" t="n"/>
      <c r="E31" s="143" t="n"/>
      <c r="F31" s="143" t="n"/>
    </row>
    <row r="32">
      <c r="A32" s="241" t="inlineStr">
        <is>
          <t>Other Assets</t>
        </is>
      </c>
      <c r="B32" s="143" t="n"/>
      <c r="C32" s="143" t="n"/>
      <c r="D32" s="143" t="n"/>
      <c r="E32" s="143" t="n"/>
      <c r="F32" s="143" t="n"/>
    </row>
    <row r="33">
      <c r="A33" s="241" t="inlineStr">
        <is>
          <t>Current Debt</t>
        </is>
      </c>
      <c r="B33" s="143" t="n"/>
      <c r="C33" s="143" t="n"/>
      <c r="D33" s="143" t="n"/>
      <c r="E33" s="143" t="n"/>
      <c r="F33" s="143" t="n"/>
    </row>
    <row r="34">
      <c r="A34" s="241" t="inlineStr">
        <is>
          <t>Accounts Payable</t>
        </is>
      </c>
      <c r="B34" s="243" t="n">
        <v>8.345000000000001</v>
      </c>
      <c r="C34" s="143" t="n"/>
      <c r="D34" s="143" t="n"/>
      <c r="E34" s="143" t="n"/>
      <c r="F34" s="143" t="n"/>
    </row>
    <row r="35">
      <c r="A35" s="241" t="inlineStr">
        <is>
          <t>Income Taxes Payable</t>
        </is>
      </c>
      <c r="B35" s="143" t="n"/>
      <c r="C35" s="143" t="n"/>
      <c r="D35" s="143" t="n"/>
      <c r="E35" s="143" t="n"/>
      <c r="F35" s="143" t="n"/>
    </row>
    <row r="36">
      <c r="A36" s="241" t="inlineStr">
        <is>
          <t>Other Current Liabilities</t>
        </is>
      </c>
      <c r="B36" s="243" t="n">
        <v>558.562</v>
      </c>
      <c r="C36" s="143" t="n"/>
      <c r="D36" s="143" t="n"/>
      <c r="E36" s="143" t="n"/>
      <c r="F36" s="143" t="n"/>
    </row>
    <row r="37">
      <c r="A37" s="241" t="inlineStr">
        <is>
          <t>Long-Term Debt</t>
        </is>
      </c>
      <c r="B37" s="143" t="n"/>
      <c r="C37" s="143" t="n"/>
      <c r="D37" s="143" t="n"/>
      <c r="E37" s="143" t="n"/>
      <c r="F37" s="143" t="n"/>
    </row>
    <row r="38">
      <c r="A38" s="241" t="inlineStr">
        <is>
          <t>Other Liabilities</t>
        </is>
      </c>
      <c r="B38" s="143" t="n"/>
      <c r="C38" s="143" t="n"/>
      <c r="D38" s="143" t="n"/>
      <c r="E38" s="143" t="n"/>
      <c r="F38" s="143" t="n"/>
    </row>
    <row r="39">
      <c r="A39" s="241" t="inlineStr">
        <is>
          <t>Deferred Taxes</t>
        </is>
      </c>
      <c r="B39" s="243" t="n">
        <v>749.759</v>
      </c>
      <c r="C39" s="143" t="n"/>
      <c r="D39" s="143" t="n"/>
      <c r="E39" s="143" t="n"/>
      <c r="F39" s="143" t="n"/>
    </row>
    <row r="40">
      <c r="A40" s="241" t="inlineStr">
        <is>
          <t>Noncontrolling Interest</t>
        </is>
      </c>
      <c r="B40" s="143" t="n"/>
      <c r="C40" s="143" t="n"/>
      <c r="D40" s="143" t="n"/>
      <c r="E40" s="143" t="n"/>
      <c r="F40" s="143" t="n"/>
    </row>
    <row r="41">
      <c r="A41" s="241" t="inlineStr">
        <is>
          <t>Preferred Stock</t>
        </is>
      </c>
      <c r="B41" s="143" t="n"/>
      <c r="C41" s="143" t="n"/>
      <c r="D41" s="143" t="n"/>
      <c r="E41" s="143" t="n"/>
      <c r="F41" s="143" t="n"/>
    </row>
    <row r="42">
      <c r="A42" s="241" t="inlineStr">
        <is>
          <t>Paid in Capital</t>
        </is>
      </c>
      <c r="B42" s="243" t="n">
        <v>0.305</v>
      </c>
      <c r="C42" s="143" t="n"/>
      <c r="D42" s="143" t="n"/>
      <c r="E42" s="143" t="n"/>
      <c r="F42" s="143" t="n"/>
    </row>
    <row r="43">
      <c r="A43" s="241" t="inlineStr">
        <is>
          <t>Retained Earnings</t>
        </is>
      </c>
      <c r="B43" s="243" t="n">
        <v>3799.518</v>
      </c>
      <c r="C43" s="143" t="n"/>
      <c r="D43" s="143" t="n"/>
      <c r="E43" s="143" t="n"/>
      <c r="F43" s="14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3">
    <outlinePr summaryBelow="1" summaryRight="1"/>
    <pageSetUpPr/>
  </sheetPr>
  <dimension ref="A1:K24"/>
  <sheetViews>
    <sheetView tabSelected="1" topLeftCell="A9" zoomScale="125" zoomScaleNormal="125" workbookViewId="0">
      <selection activeCell="D13" sqref="D13:H13"/>
    </sheetView>
  </sheetViews>
  <sheetFormatPr baseColWidth="8" defaultColWidth="8.830357142857141" defaultRowHeight="15" customHeight="1"/>
  <cols>
    <col width="8.830357142857141" customWidth="1" style="228" min="1" max="16384"/>
  </cols>
  <sheetData>
    <row r="1" s="16">
      <c r="A1" s="229" t="n"/>
      <c r="B1" s="229" t="n"/>
      <c r="C1" s="229" t="n"/>
      <c r="D1" s="229" t="n"/>
      <c r="E1" s="229" t="n"/>
      <c r="F1" s="229" t="n"/>
      <c r="G1" s="229" t="n"/>
      <c r="H1" s="229" t="n"/>
      <c r="I1" s="229" t="n"/>
      <c r="J1" s="229" t="n"/>
      <c r="K1" s="229" t="n"/>
    </row>
    <row r="2" s="16">
      <c r="A2" s="229" t="n"/>
      <c r="B2" s="229" t="n"/>
      <c r="C2" s="229" t="n"/>
      <c r="D2" s="229" t="n"/>
      <c r="E2" s="229" t="n"/>
      <c r="F2" s="235" t="n"/>
      <c r="G2" s="229" t="n"/>
      <c r="H2" s="229" t="n"/>
      <c r="I2" s="229" t="n"/>
      <c r="J2" s="229" t="n"/>
      <c r="K2" s="229" t="n"/>
    </row>
    <row r="3" s="16">
      <c r="A3" s="229" t="n"/>
      <c r="B3" s="229" t="n"/>
      <c r="C3" s="229" t="n"/>
      <c r="D3" s="229" t="n"/>
      <c r="E3" s="229" t="n"/>
      <c r="F3" s="229" t="n"/>
      <c r="G3" s="229" t="n"/>
      <c r="H3" s="229" t="n"/>
      <c r="I3" s="229" t="n"/>
      <c r="J3" s="229" t="n"/>
      <c r="K3" s="229" t="n"/>
    </row>
    <row r="4" s="16">
      <c r="A4" s="229" t="n"/>
      <c r="B4" s="229" t="n"/>
      <c r="C4" s="229" t="n"/>
      <c r="D4" s="229" t="n"/>
      <c r="E4" s="229" t="n"/>
      <c r="F4" s="236" t="n"/>
      <c r="G4" s="229" t="n"/>
      <c r="H4" s="229" t="n"/>
      <c r="I4" s="229" t="n"/>
      <c r="J4" s="229" t="n"/>
      <c r="K4" s="229" t="n"/>
    </row>
    <row r="5" s="16">
      <c r="A5" s="229" t="n"/>
      <c r="B5" s="229" t="n"/>
      <c r="C5" s="229" t="n"/>
      <c r="D5" s="229" t="n"/>
      <c r="E5" s="229" t="n"/>
      <c r="F5" s="229" t="n"/>
      <c r="G5" s="229" t="n"/>
      <c r="H5" s="229" t="n"/>
      <c r="I5" s="229" t="n"/>
      <c r="J5" s="229" t="n"/>
      <c r="K5" s="229" t="n"/>
    </row>
    <row r="6" s="16">
      <c r="A6" s="229" t="n"/>
      <c r="B6" s="229" t="n"/>
      <c r="C6" s="229" t="n"/>
      <c r="D6" s="229" t="n"/>
      <c r="E6" s="229" t="n"/>
      <c r="F6" s="229" t="n"/>
      <c r="G6" s="229" t="n"/>
      <c r="H6" s="229" t="n"/>
      <c r="I6" s="229" t="n"/>
      <c r="J6" s="229" t="n"/>
      <c r="K6" s="229" t="n"/>
    </row>
    <row r="7" s="16">
      <c r="A7" s="229" t="n"/>
      <c r="B7" s="229" t="n"/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</row>
    <row r="8" s="16">
      <c r="A8" s="229" t="n"/>
      <c r="B8" s="229" t="n"/>
      <c r="C8" s="229" t="n"/>
      <c r="D8" s="229" t="n"/>
      <c r="E8" s="229" t="n"/>
      <c r="F8" s="229" t="n"/>
      <c r="G8" s="229" t="n"/>
      <c r="H8" s="229" t="n"/>
      <c r="I8" s="229" t="n"/>
      <c r="J8" s="229" t="n"/>
      <c r="K8" s="229" t="n"/>
    </row>
    <row r="9" s="16">
      <c r="A9" s="229" t="n"/>
      <c r="B9" s="229" t="n"/>
      <c r="C9" s="229" t="n"/>
      <c r="D9" s="229" t="n"/>
      <c r="E9" s="229" t="n"/>
      <c r="F9" s="229" t="n"/>
      <c r="G9" s="229" t="n"/>
      <c r="H9" s="229" t="n"/>
      <c r="I9" s="229" t="n"/>
      <c r="J9" s="229" t="n"/>
      <c r="K9" s="229" t="n"/>
    </row>
    <row r="10" ht="15.2" customHeight="1" s="16">
      <c r="A10" s="229" t="n"/>
      <c r="B10" s="229" t="n"/>
      <c r="C10" s="229" t="n"/>
      <c r="D10" s="229" t="n"/>
      <c r="E10" s="229" t="n"/>
      <c r="F10" s="229" t="n"/>
      <c r="G10" s="229" t="n"/>
      <c r="H10" s="229" t="n"/>
      <c r="I10" s="229" t="n"/>
      <c r="J10" s="229" t="n"/>
      <c r="K10" s="229" t="n"/>
    </row>
    <row r="11" s="16">
      <c r="A11" s="229" t="n"/>
      <c r="B11" s="229" t="n"/>
      <c r="C11" s="229" t="n"/>
      <c r="D11" s="229" t="n"/>
      <c r="E11" s="229" t="n"/>
      <c r="F11" s="229" t="n"/>
      <c r="G11" s="229" t="n"/>
      <c r="H11" s="229" t="n"/>
      <c r="I11" s="229" t="n"/>
      <c r="J11" s="229" t="n"/>
      <c r="K11" s="229" t="n"/>
    </row>
    <row r="12" s="16">
      <c r="A12" s="229" t="n"/>
      <c r="B12" s="229" t="n"/>
      <c r="C12" s="229" t="n"/>
      <c r="D12" s="230" t="n"/>
      <c r="I12" s="229" t="n"/>
      <c r="J12" s="229" t="n"/>
      <c r="K12" s="229" t="n"/>
    </row>
    <row r="13" s="16">
      <c r="A13" s="229" t="n"/>
      <c r="B13" s="229" t="n"/>
      <c r="C13" s="229" t="n"/>
      <c r="D13" s="231" t="n"/>
      <c r="I13" s="229" t="n"/>
      <c r="J13" s="229" t="n"/>
      <c r="K13" s="229" t="n"/>
    </row>
    <row r="14" ht="5" customHeight="1" s="16">
      <c r="A14" s="229" t="n"/>
      <c r="B14" s="229" t="n"/>
      <c r="C14" s="229" t="n"/>
      <c r="D14" s="229" t="n"/>
      <c r="E14" s="229" t="n"/>
      <c r="F14" s="229" t="n"/>
      <c r="G14" s="229" t="n"/>
      <c r="H14" s="229" t="n"/>
      <c r="I14" s="229" t="n"/>
      <c r="J14" s="229" t="n"/>
      <c r="K14" s="229" t="n"/>
    </row>
    <row r="15" customFormat="1" s="227">
      <c r="A15" s="113" t="n"/>
      <c r="B15" s="232" t="n"/>
      <c r="C15" s="232" t="n"/>
      <c r="D15" s="233" t="n"/>
      <c r="I15" s="232" t="n"/>
      <c r="J15" s="232" t="n"/>
      <c r="K15" s="232" t="n"/>
    </row>
    <row r="16" customFormat="1" s="227">
      <c r="A16" s="113" t="n"/>
      <c r="B16" s="113" t="n"/>
      <c r="C16" s="229" t="n"/>
      <c r="D16" s="229" t="n"/>
      <c r="E16" s="229" t="n"/>
      <c r="F16" s="229" t="n"/>
      <c r="G16" s="229" t="n"/>
      <c r="H16" s="229" t="n"/>
      <c r="I16" s="229" t="n"/>
      <c r="J16" s="229" t="n"/>
      <c r="K16" s="229" t="n"/>
    </row>
    <row r="17" customFormat="1" s="227">
      <c r="A17" s="113" t="n"/>
      <c r="B17" s="113" t="n"/>
      <c r="C17" s="229" t="n"/>
      <c r="D17" s="229" t="n"/>
      <c r="E17" s="229" t="n"/>
      <c r="F17" s="229" t="n"/>
      <c r="G17" s="229" t="n"/>
      <c r="H17" s="229" t="n"/>
      <c r="I17" s="229" t="n"/>
      <c r="J17" s="229" t="n"/>
      <c r="K17" s="229" t="n"/>
    </row>
    <row r="18" customFormat="1" s="227">
      <c r="A18" s="113" t="n"/>
      <c r="B18" s="113" t="n"/>
      <c r="C18" s="229" t="n"/>
      <c r="D18" s="229" t="n"/>
      <c r="E18" s="229" t="n"/>
      <c r="F18" s="229" t="n"/>
      <c r="G18" s="229" t="n"/>
      <c r="H18" s="229" t="n"/>
      <c r="I18" s="229" t="n"/>
      <c r="J18" s="229" t="n"/>
      <c r="K18" s="229" t="n"/>
    </row>
    <row r="19" customFormat="1" s="227">
      <c r="A19" s="113" t="inlineStr">
        <is>
          <t>STEPS:</t>
        </is>
      </c>
      <c r="B19" s="113" t="n"/>
      <c r="C19" s="229" t="n"/>
      <c r="D19" s="229" t="n"/>
      <c r="E19" s="229" t="n"/>
      <c r="F19" s="229" t="n"/>
      <c r="G19" s="229" t="n"/>
      <c r="H19" s="229" t="n"/>
      <c r="I19" s="229" t="n"/>
      <c r="J19" s="229" t="n"/>
      <c r="K19" s="229" t="n"/>
    </row>
    <row r="20" s="16">
      <c r="A20" s="234" t="inlineStr">
        <is>
          <t>1) enter financial data on the Financial Statements sheet,</t>
        </is>
      </c>
      <c r="B20" s="229" t="n"/>
      <c r="C20" s="229" t="n"/>
      <c r="D20" s="229" t="n"/>
      <c r="E20" s="229" t="n"/>
      <c r="F20" s="229" t="n"/>
      <c r="G20" s="229" t="n"/>
      <c r="H20" s="229" t="n"/>
      <c r="I20" s="229" t="n"/>
      <c r="J20" s="229" t="n"/>
      <c r="K20" s="229" t="n"/>
    </row>
    <row r="21" s="16">
      <c r="A21" s="234" t="inlineStr">
        <is>
          <t>2) examine the Ratio Analysis and Cash Flow Analysis,</t>
        </is>
      </c>
      <c r="B21" s="229" t="n"/>
      <c r="C21" s="229" t="n"/>
      <c r="D21" s="229" t="n"/>
      <c r="E21" s="229" t="n"/>
      <c r="F21" s="229" t="n"/>
      <c r="G21" s="229" t="n"/>
      <c r="H21" s="229" t="n"/>
      <c r="I21" s="229" t="n"/>
      <c r="J21" s="229" t="n"/>
      <c r="K21" s="229" t="n"/>
    </row>
    <row r="22" s="16">
      <c r="A22" s="234" t="inlineStr">
        <is>
          <t xml:space="preserve">3) enter forecasts on the Forecasting Assumptions sheet to predict the future Financial Statements, </t>
        </is>
      </c>
      <c r="B22" s="229" t="n"/>
      <c r="C22" s="229" t="n"/>
      <c r="D22" s="229" t="n"/>
      <c r="E22" s="229" t="n"/>
      <c r="F22" s="229" t="n"/>
      <c r="G22" s="229" t="n"/>
      <c r="H22" s="229" t="n"/>
      <c r="I22" s="229" t="n"/>
      <c r="J22" s="229" t="n"/>
      <c r="K22" s="229" t="n"/>
    </row>
    <row r="23" s="16">
      <c r="A23" s="125" t="inlineStr">
        <is>
          <t>4) enter cost of capital assumptions on the Valuation Parameters Sheet to determine the company's value,</t>
        </is>
      </c>
      <c r="B23" s="229" t="n"/>
      <c r="C23" s="229" t="n"/>
      <c r="D23" s="229" t="n"/>
      <c r="E23" s="229" t="n"/>
      <c r="F23" s="229" t="n"/>
      <c r="G23" s="229" t="n"/>
      <c r="H23" s="229" t="n"/>
      <c r="I23" s="229" t="n"/>
      <c r="J23" s="229" t="n"/>
      <c r="K23" s="229" t="n"/>
    </row>
    <row r="24" s="16">
      <c r="A24" s="234" t="inlineStr">
        <is>
          <t>5) evaluate the details of the resulting valuation using either the Residual Income or Discounted Cash Flow Valuations.</t>
        </is>
      </c>
      <c r="B24" s="229" t="n"/>
      <c r="C24" s="229" t="n"/>
      <c r="D24" s="229" t="n"/>
      <c r="E24" s="229" t="n"/>
      <c r="F24" s="229" t="n"/>
      <c r="G24" s="229" t="n"/>
      <c r="H24" s="229" t="n"/>
      <c r="I24" s="229" t="n"/>
      <c r="J24" s="229" t="n"/>
      <c r="K24" s="229" t="n"/>
    </row>
  </sheetData>
  <mergeCells count="3">
    <mergeCell ref="D12:H12"/>
    <mergeCell ref="D15:H15"/>
    <mergeCell ref="D13:H13"/>
  </mergeCells>
  <hyperlinks>
    <hyperlink ref="A20" location="'Financial Statements'!A1" display="1) enter financial data on the Financial Statements sheet,"/>
    <hyperlink ref="A21" location="'Ratio Analysis'!A1" display="2) examine the Ratio Analysis and Cash Flow Analysis,"/>
    <hyperlink ref="A22" location="'Forecasting Assumptions'!A1" display="3) enter forecasts on the Forecasting Assumptions sheet to predict the future Financial Statements, "/>
    <hyperlink ref="A23" location="'Valuation Parameters'!A1" display="4) enter cost of capital assumptions on the Valuation Parameters Sheet to determine the company's value,"/>
    <hyperlink ref="A24" location="'Residual Income Valuations'!A1" display="5) evaluate the details of the resulting valuation using either the Residual Income or Discounted Cash Flow Valuations."/>
  </hyperlinks>
  <pageMargins left="0.75" right="0.75" top="1" bottom="1" header="0.5" footer="0.5"/>
  <pageSetup orientation="portrait" paperSize="1"/>
</worksheet>
</file>

<file path=xl/worksheets/sheet3.xml><?xml version="1.0" encoding="utf-8"?>
<worksheet xmlns="http://schemas.openxmlformats.org/spreadsheetml/2006/main">
  <sheetPr codeName="Sheet1">
    <outlinePr summaryBelow="1" summaryRight="1"/>
    <pageSetUpPr fitToPage="1"/>
  </sheetPr>
  <dimension ref="A1:W137"/>
  <sheetViews>
    <sheetView zoomScale="125" zoomScaleNormal="125" workbookViewId="0">
      <pane xSplit="1" ySplit="8" topLeftCell="B12" activePane="bottomRight" state="frozen"/>
      <selection activeCell="A1" sqref="A1"/>
      <selection pane="topRight" activeCell="A1" sqref="A1"/>
      <selection pane="bottomLeft" activeCell="A1" sqref="A1"/>
      <selection pane="bottomRight" activeCell="H12" sqref="H12"/>
    </sheetView>
  </sheetViews>
  <sheetFormatPr baseColWidth="8" defaultColWidth="8.830357142857141" defaultRowHeight="15.2"/>
  <cols>
    <col width="29.6607142857143" customWidth="1" style="16" min="1" max="1"/>
    <col width="15.6607142857143" customWidth="1" style="16" min="2" max="18"/>
  </cols>
  <sheetData>
    <row r="1" ht="20.4" customHeight="1" s="16">
      <c r="A1" s="197" t="inlineStr">
        <is>
          <t>Financial Statements</t>
        </is>
      </c>
      <c r="B1" s="164" t="inlineStr">
        <is>
          <t>($000s)</t>
        </is>
      </c>
      <c r="C1" s="198" t="inlineStr">
        <is>
          <t>Data can be entered manually in financial statements or as a block cut-and-paste from the Case Data Sheet to the Raw Data Input section below.</t>
        </is>
      </c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</row>
    <row r="2" ht="18" customHeight="1" s="16">
      <c r="A2" s="199" t="n"/>
      <c r="B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</row>
    <row r="3">
      <c r="A3" s="141" t="n"/>
      <c r="B3" s="141" t="n"/>
      <c r="C3" s="200" t="inlineStr">
        <is>
          <t>Jump to Raw Data Input</t>
        </is>
      </c>
      <c r="D3" s="159" t="n"/>
      <c r="E3" s="159" t="n"/>
      <c r="F3" s="159" t="n"/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</row>
    <row r="4">
      <c r="A4" s="10" t="inlineStr">
        <is>
          <t>Company Name, Ticker and SIC</t>
        </is>
      </c>
      <c r="B4" s="244">
        <f>B82</f>
        <v/>
      </c>
      <c r="C4" s="245" t="n"/>
      <c r="D4" s="203">
        <f>D82</f>
        <v/>
      </c>
      <c r="E4" s="246">
        <f>F82</f>
        <v/>
      </c>
      <c r="F4" s="210">
        <f>IF(D4="","",HYPERLINK(CONCATENATE("http://www.sec.gov/cgi-bin/browse-edgar?type=10-K&amp;action=getcompany&amp;CIK=",D4),"Link to Form 10-Ks"))</f>
        <v/>
      </c>
      <c r="I4" s="220" t="n"/>
    </row>
    <row r="5">
      <c r="A5" s="10" t="inlineStr">
        <is>
          <t>Common Shares Outstanding</t>
        </is>
      </c>
      <c r="B5" s="21">
        <f>B83</f>
        <v/>
      </c>
      <c r="C5" s="17" t="inlineStr">
        <is>
          <t xml:space="preserve">  (in 000s at most recent fiscal year end)</t>
        </is>
      </c>
      <c r="D5" s="17" t="n"/>
      <c r="F5" s="220" t="inlineStr">
        <is>
          <t>Link to Industry Comps</t>
        </is>
      </c>
    </row>
    <row r="6">
      <c r="A6" s="247">
        <f>"Estimated Price/Share="&amp;DOLLAR('Valuation Parameters'!B24)</f>
        <v/>
      </c>
      <c r="B6" s="17" t="n"/>
      <c r="C6" s="17" t="n"/>
      <c r="D6" s="17" t="n"/>
      <c r="E6" s="212" t="n"/>
    </row>
    <row r="7">
      <c r="A7" s="17" t="n"/>
      <c r="B7" s="145" t="inlineStr">
        <is>
          <t>Actual</t>
        </is>
      </c>
      <c r="C7" s="145" t="inlineStr">
        <is>
          <t>Actual</t>
        </is>
      </c>
      <c r="D7" s="145" t="inlineStr">
        <is>
          <t>Actual</t>
        </is>
      </c>
      <c r="E7" s="145" t="inlineStr">
        <is>
          <t>Actual</t>
        </is>
      </c>
      <c r="F7" s="145" t="inlineStr">
        <is>
          <t>Actual</t>
        </is>
      </c>
      <c r="G7" s="191" t="inlineStr">
        <is>
          <t>Forecast</t>
        </is>
      </c>
      <c r="H7" s="191" t="inlineStr">
        <is>
          <t>Forecast</t>
        </is>
      </c>
      <c r="I7" s="191" t="inlineStr">
        <is>
          <t>Forecast</t>
        </is>
      </c>
      <c r="J7" s="191" t="inlineStr">
        <is>
          <t>Forecast</t>
        </is>
      </c>
      <c r="K7" s="191" t="inlineStr">
        <is>
          <t>Forecast</t>
        </is>
      </c>
      <c r="L7" s="191" t="inlineStr">
        <is>
          <t>Forecast</t>
        </is>
      </c>
      <c r="M7" s="191" t="inlineStr">
        <is>
          <t>Forecast</t>
        </is>
      </c>
      <c r="N7" s="191" t="inlineStr">
        <is>
          <t>Forecast</t>
        </is>
      </c>
      <c r="O7" s="191" t="inlineStr">
        <is>
          <t>Forecast</t>
        </is>
      </c>
      <c r="P7" s="191" t="inlineStr">
        <is>
          <t>Forecast</t>
        </is>
      </c>
      <c r="Q7" s="191" t="inlineStr">
        <is>
          <t>Forecast</t>
        </is>
      </c>
      <c r="R7" s="191" t="inlineStr">
        <is>
          <t>Forecast</t>
        </is>
      </c>
      <c r="S7" s="191" t="n"/>
      <c r="T7" s="191" t="n"/>
      <c r="U7" s="191" t="n"/>
      <c r="V7" s="191" t="n"/>
      <c r="W7" s="191" t="n"/>
    </row>
    <row r="8" ht="15.95" customHeight="1" s="16">
      <c r="A8" s="106" t="inlineStr">
        <is>
          <t>Fiscal Year End (YYYY-MM-DD)</t>
        </is>
      </c>
      <c r="B8" s="248">
        <f>B84</f>
        <v/>
      </c>
      <c r="C8" s="248">
        <f>C84</f>
        <v/>
      </c>
      <c r="D8" s="248">
        <f>D84</f>
        <v/>
      </c>
      <c r="E8" s="248">
        <f>E84</f>
        <v/>
      </c>
      <c r="F8" s="248">
        <f>F84</f>
        <v/>
      </c>
      <c r="G8" s="249">
        <f>DATE(YEAR(F8)+1,MONTH(F8),DAY(F8))</f>
        <v/>
      </c>
      <c r="H8" s="249">
        <f>DATE(YEAR(G8)+1,MONTH(G8),DAY(G8))</f>
        <v/>
      </c>
      <c r="I8" s="249">
        <f>DATE(YEAR(H8)+1,MONTH(H8),DAY(H8))</f>
        <v/>
      </c>
      <c r="J8" s="249">
        <f>DATE(YEAR(I8)+1,MONTH(I8),DAY(I8))</f>
        <v/>
      </c>
      <c r="K8" s="249">
        <f>DATE(YEAR(J8)+1,MONTH(J8),DAY(J8))</f>
        <v/>
      </c>
      <c r="L8" s="249">
        <f>DATE(YEAR(K8)+1,MONTH(K8),DAY(K8))</f>
        <v/>
      </c>
      <c r="M8" s="249">
        <f>DATE(YEAR(L8)+1,MONTH(L8),DAY(L8))</f>
        <v/>
      </c>
      <c r="N8" s="249">
        <f>DATE(YEAR(M8)+1,MONTH(M8),DAY(M8))</f>
        <v/>
      </c>
      <c r="O8" s="249">
        <f>DATE(YEAR(N8)+1,MONTH(N8),DAY(N8))</f>
        <v/>
      </c>
      <c r="P8" s="249">
        <f>DATE(YEAR(O8)+1,MONTH(O8),DAY(O8))</f>
        <v/>
      </c>
      <c r="Q8" s="249">
        <f>DATE(YEAR(P8)+1,MONTH(P8),DAY(P8))</f>
        <v/>
      </c>
      <c r="R8" s="249">
        <f>DATE(YEAR(Q8)+1,MONTH(Q8),DAY(Q8))</f>
        <v/>
      </c>
      <c r="S8" s="191" t="n"/>
      <c r="T8" s="191" t="n"/>
      <c r="U8" s="191" t="n"/>
      <c r="V8" s="191" t="n"/>
      <c r="W8" s="191" t="n"/>
    </row>
    <row r="9">
      <c r="E9" s="61" t="n"/>
      <c r="F9" s="61" t="n"/>
    </row>
    <row r="10">
      <c r="A10" s="17" t="inlineStr">
        <is>
          <t>Income Statement</t>
        </is>
      </c>
      <c r="B10" s="17" t="n"/>
      <c r="C10" s="17" t="n"/>
      <c r="D10" s="17" t="n"/>
      <c r="E10" s="61" t="n"/>
      <c r="F10" s="61" t="n"/>
    </row>
    <row r="11">
      <c r="A11" s="17" t="n"/>
      <c r="B11" s="17" t="n"/>
      <c r="C11" s="17" t="n"/>
      <c r="D11" s="17" t="n"/>
      <c r="E11" s="61" t="n"/>
      <c r="F11" s="61" t="n"/>
    </row>
    <row r="12">
      <c r="A12" s="208" t="inlineStr">
        <is>
          <t>Sales (Net)</t>
        </is>
      </c>
      <c r="B12" s="11">
        <f>B85</f>
        <v/>
      </c>
      <c r="C12" s="11">
        <f>C85</f>
        <v/>
      </c>
      <c r="D12" s="11">
        <f>D85</f>
        <v/>
      </c>
      <c r="E12" s="11">
        <f>E85</f>
        <v/>
      </c>
      <c r="F12" s="11">
        <f>F85</f>
        <v/>
      </c>
      <c r="G12" s="214">
        <f>F12*(1+'Forecasting Assumptions'!G14)</f>
        <v/>
      </c>
      <c r="H12" s="68">
        <f>G12*(1+'Forecasting Assumptions'!H14)</f>
        <v/>
      </c>
      <c r="I12" s="68">
        <f>H12*(1+'Forecasting Assumptions'!I14)</f>
        <v/>
      </c>
      <c r="J12" s="68">
        <f>I12*(1+'Forecasting Assumptions'!J14)</f>
        <v/>
      </c>
      <c r="K12" s="68">
        <f>J12*(1+'Forecasting Assumptions'!K14)</f>
        <v/>
      </c>
      <c r="L12" s="68">
        <f>K12*(1+'Forecasting Assumptions'!L14)</f>
        <v/>
      </c>
      <c r="M12" s="68">
        <f>L12*(1+'Forecasting Assumptions'!M14)</f>
        <v/>
      </c>
      <c r="N12" s="68">
        <f>M12*(1+'Forecasting Assumptions'!N14)</f>
        <v/>
      </c>
      <c r="O12" s="68">
        <f>N12*(1+'Forecasting Assumptions'!O14)</f>
        <v/>
      </c>
      <c r="P12" s="68">
        <f>O12*(1+'Forecasting Assumptions'!P14)</f>
        <v/>
      </c>
      <c r="Q12" s="68">
        <f>P12*(1+'Forecasting Assumptions'!Q14)</f>
        <v/>
      </c>
      <c r="R12" s="68">
        <f>Q12*(1+'Forecasting Assumptions'!R14)</f>
        <v/>
      </c>
    </row>
    <row r="13">
      <c r="A13" s="208" t="inlineStr">
        <is>
          <t>Cost of Goods Sold</t>
        </is>
      </c>
      <c r="B13" s="11">
        <f>B86</f>
        <v/>
      </c>
      <c r="C13" s="11">
        <f>C86</f>
        <v/>
      </c>
      <c r="D13" s="11">
        <f>D86</f>
        <v/>
      </c>
      <c r="E13" s="11">
        <f>E86</f>
        <v/>
      </c>
      <c r="F13" s="11">
        <f>F86</f>
        <v/>
      </c>
      <c r="G13" s="214">
        <f>-G12*'Forecasting Assumptions'!G15</f>
        <v/>
      </c>
      <c r="H13" s="68">
        <f>-H12*'Forecasting Assumptions'!H15</f>
        <v/>
      </c>
      <c r="I13" s="68">
        <f>-I12*'Forecasting Assumptions'!I15</f>
        <v/>
      </c>
      <c r="J13" s="68">
        <f>-J12*'Forecasting Assumptions'!J15</f>
        <v/>
      </c>
      <c r="K13" s="68">
        <f>-K12*'Forecasting Assumptions'!K15</f>
        <v/>
      </c>
      <c r="L13" s="68">
        <f>-L12*'Forecasting Assumptions'!L15</f>
        <v/>
      </c>
      <c r="M13" s="68">
        <f>-M12*'Forecasting Assumptions'!M15</f>
        <v/>
      </c>
      <c r="N13" s="68">
        <f>-N12*'Forecasting Assumptions'!N15</f>
        <v/>
      </c>
      <c r="O13" s="68">
        <f>-O12*'Forecasting Assumptions'!O15</f>
        <v/>
      </c>
      <c r="P13" s="68">
        <f>-P12*'Forecasting Assumptions'!P15</f>
        <v/>
      </c>
      <c r="Q13" s="68">
        <f>-Q12*'Forecasting Assumptions'!Q15</f>
        <v/>
      </c>
      <c r="R13" s="68">
        <f>-R12*'Forecasting Assumptions'!R15</f>
        <v/>
      </c>
    </row>
    <row r="14">
      <c r="A14" s="208" t="inlineStr">
        <is>
          <t>Gross Profit</t>
        </is>
      </c>
      <c r="B14" s="189">
        <f>B12+B13</f>
        <v/>
      </c>
      <c r="C14" s="189">
        <f>C12+C13</f>
        <v/>
      </c>
      <c r="D14" s="189">
        <f>D12+D13</f>
        <v/>
      </c>
      <c r="E14" s="189">
        <f>E12+E13</f>
        <v/>
      </c>
      <c r="F14" s="189">
        <f>F12+F13</f>
        <v/>
      </c>
      <c r="G14" s="68">
        <f>G12+G13</f>
        <v/>
      </c>
      <c r="H14" s="68">
        <f>H12+H13</f>
        <v/>
      </c>
      <c r="I14" s="68">
        <f>I12+I13</f>
        <v/>
      </c>
      <c r="J14" s="68">
        <f>J12+J13</f>
        <v/>
      </c>
      <c r="K14" s="68">
        <f>K12+K13</f>
        <v/>
      </c>
      <c r="L14" s="68">
        <f>L12+L13</f>
        <v/>
      </c>
      <c r="M14" s="68">
        <f>M12+M13</f>
        <v/>
      </c>
      <c r="N14" s="68">
        <f>N12+N13</f>
        <v/>
      </c>
      <c r="O14" s="68">
        <f>O12+O13</f>
        <v/>
      </c>
      <c r="P14" s="68">
        <f>P12+P13</f>
        <v/>
      </c>
      <c r="Q14" s="68">
        <f>Q12+Q13</f>
        <v/>
      </c>
      <c r="R14" s="68">
        <f>R12+R13</f>
        <v/>
      </c>
    </row>
    <row r="15">
      <c r="A15" s="208" t="inlineStr">
        <is>
          <t>R&amp;D Expense</t>
        </is>
      </c>
      <c r="B15" s="11">
        <f>B87</f>
        <v/>
      </c>
      <c r="C15" s="11">
        <f>C87</f>
        <v/>
      </c>
      <c r="D15" s="11">
        <f>D87</f>
        <v/>
      </c>
      <c r="E15" s="11">
        <f>E87</f>
        <v/>
      </c>
      <c r="F15" s="11">
        <f>F87</f>
        <v/>
      </c>
      <c r="G15" s="214">
        <f>-G12*'Forecasting Assumptions'!G16</f>
        <v/>
      </c>
      <c r="H15" s="68">
        <f>-H12*'Forecasting Assumptions'!H16</f>
        <v/>
      </c>
      <c r="I15" s="68">
        <f>-I12*'Forecasting Assumptions'!I16</f>
        <v/>
      </c>
      <c r="J15" s="68">
        <f>-J12*'Forecasting Assumptions'!J16</f>
        <v/>
      </c>
      <c r="K15" s="68">
        <f>-K12*'Forecasting Assumptions'!K16</f>
        <v/>
      </c>
      <c r="L15" s="68">
        <f>-L12*'Forecasting Assumptions'!L16</f>
        <v/>
      </c>
      <c r="M15" s="68">
        <f>-M12*'Forecasting Assumptions'!M16</f>
        <v/>
      </c>
      <c r="N15" s="68">
        <f>-N12*'Forecasting Assumptions'!N16</f>
        <v/>
      </c>
      <c r="O15" s="68">
        <f>-O12*'Forecasting Assumptions'!O16</f>
        <v/>
      </c>
      <c r="P15" s="68">
        <f>-P12*'Forecasting Assumptions'!P16</f>
        <v/>
      </c>
      <c r="Q15" s="68">
        <f>-Q12*'Forecasting Assumptions'!Q16</f>
        <v/>
      </c>
      <c r="R15" s="68">
        <f>-R12*'Forecasting Assumptions'!R16</f>
        <v/>
      </c>
    </row>
    <row r="16">
      <c r="A16" s="208" t="inlineStr">
        <is>
          <t>SG&amp;A Expense</t>
        </is>
      </c>
      <c r="B16" s="11">
        <f>B88</f>
        <v/>
      </c>
      <c r="C16" s="11">
        <f>C88</f>
        <v/>
      </c>
      <c r="D16" s="11">
        <f>D88</f>
        <v/>
      </c>
      <c r="E16" s="11">
        <f>E88</f>
        <v/>
      </c>
      <c r="F16" s="11">
        <f>F88</f>
        <v/>
      </c>
      <c r="G16" s="214">
        <f>-G12*'Forecasting Assumptions'!G17</f>
        <v/>
      </c>
      <c r="H16" s="68">
        <f>-H12*'Forecasting Assumptions'!H17</f>
        <v/>
      </c>
      <c r="I16" s="68">
        <f>-I12*'Forecasting Assumptions'!I17</f>
        <v/>
      </c>
      <c r="J16" s="68">
        <f>-J12*'Forecasting Assumptions'!J17</f>
        <v/>
      </c>
      <c r="K16" s="68">
        <f>-K12*'Forecasting Assumptions'!K17</f>
        <v/>
      </c>
      <c r="L16" s="68">
        <f>-L12*'Forecasting Assumptions'!L17</f>
        <v/>
      </c>
      <c r="M16" s="68">
        <f>-M12*'Forecasting Assumptions'!M17</f>
        <v/>
      </c>
      <c r="N16" s="68">
        <f>-N12*'Forecasting Assumptions'!N17</f>
        <v/>
      </c>
      <c r="O16" s="68">
        <f>-O12*'Forecasting Assumptions'!O17</f>
        <v/>
      </c>
      <c r="P16" s="68">
        <f>-P12*'Forecasting Assumptions'!P17</f>
        <v/>
      </c>
      <c r="Q16" s="68">
        <f>-Q12*'Forecasting Assumptions'!Q17</f>
        <v/>
      </c>
      <c r="R16" s="68">
        <f>-R12*'Forecasting Assumptions'!R17</f>
        <v/>
      </c>
    </row>
    <row r="17">
      <c r="A17" s="208" t="inlineStr">
        <is>
          <t>EBITDA</t>
        </is>
      </c>
      <c r="B17" s="189">
        <f>B14+B15+B16</f>
        <v/>
      </c>
      <c r="C17" s="189">
        <f>C14+C15+C16</f>
        <v/>
      </c>
      <c r="D17" s="189">
        <f>D14+D15+D16</f>
        <v/>
      </c>
      <c r="E17" s="189">
        <f>E14+E15+E16</f>
        <v/>
      </c>
      <c r="F17" s="189">
        <f>F14+F15+F16</f>
        <v/>
      </c>
      <c r="G17" s="68">
        <f>G14+G15+G16</f>
        <v/>
      </c>
      <c r="H17" s="68">
        <f>H14+H15+H16</f>
        <v/>
      </c>
      <c r="I17" s="68">
        <f>I14+I15+I16</f>
        <v/>
      </c>
      <c r="J17" s="68">
        <f>J14+J15+J16</f>
        <v/>
      </c>
      <c r="K17" s="68">
        <f>K14+K15+K16</f>
        <v/>
      </c>
      <c r="L17" s="68">
        <f>L14+L15+L16</f>
        <v/>
      </c>
      <c r="M17" s="68">
        <f>M14+M15+M16</f>
        <v/>
      </c>
      <c r="N17" s="68">
        <f>N14+N15+N16</f>
        <v/>
      </c>
      <c r="O17" s="68">
        <f>O14+O15+O16</f>
        <v/>
      </c>
      <c r="P17" s="68">
        <f>P14+P15+P16</f>
        <v/>
      </c>
      <c r="Q17" s="68">
        <f>Q14+Q15+Q16</f>
        <v/>
      </c>
      <c r="R17" s="68">
        <f>R14+R15+R16</f>
        <v/>
      </c>
    </row>
    <row r="18">
      <c r="A18" s="208" t="inlineStr">
        <is>
          <t>Depreciation &amp; Amortization</t>
        </is>
      </c>
      <c r="B18" s="11">
        <f>B89</f>
        <v/>
      </c>
      <c r="C18" s="11">
        <f>C89</f>
        <v/>
      </c>
      <c r="D18" s="11">
        <f>D89</f>
        <v/>
      </c>
      <c r="E18" s="11">
        <f>E89</f>
        <v/>
      </c>
      <c r="F18" s="11">
        <f>F89</f>
        <v/>
      </c>
      <c r="G18" s="214">
        <f>-((F38+G38+F40+G40)/2)*'Forecasting Assumptions'!G18</f>
        <v/>
      </c>
      <c r="H18" s="68">
        <f>-((G38+H38+G40+H40)/2)*'Forecasting Assumptions'!H18</f>
        <v/>
      </c>
      <c r="I18" s="68">
        <f>-((H38+I38+H40+I40)/2)*'Forecasting Assumptions'!I18</f>
        <v/>
      </c>
      <c r="J18" s="68">
        <f>-((I38+J38+I40+J40)/2)*'Forecasting Assumptions'!J18</f>
        <v/>
      </c>
      <c r="K18" s="68">
        <f>-((J38+K38+J40+K40)/2)*'Forecasting Assumptions'!K18</f>
        <v/>
      </c>
      <c r="L18" s="68">
        <f>-((K38+L38+K40+L40)/2)*'Forecasting Assumptions'!L18</f>
        <v/>
      </c>
      <c r="M18" s="68">
        <f>-((L38+M38+L40+M40)/2)*'Forecasting Assumptions'!M18</f>
        <v/>
      </c>
      <c r="N18" s="68">
        <f>-((M38+N38+M40+N40)/2)*'Forecasting Assumptions'!N18</f>
        <v/>
      </c>
      <c r="O18" s="68">
        <f>-((N38+O38+N40+O40)/2)*'Forecasting Assumptions'!O18</f>
        <v/>
      </c>
      <c r="P18" s="68">
        <f>-((O38+P38+O40+P40)/2)*'Forecasting Assumptions'!P18</f>
        <v/>
      </c>
      <c r="Q18" s="68">
        <f>-((P38+Q38+P40+Q40)/2)*'Forecasting Assumptions'!Q18</f>
        <v/>
      </c>
      <c r="R18" s="68">
        <f>-((Q38+R38+Q40+R40)/2)*'Forecasting Assumptions'!R18</f>
        <v/>
      </c>
    </row>
    <row r="19">
      <c r="A19" s="208" t="inlineStr">
        <is>
          <t>EBIT</t>
        </is>
      </c>
      <c r="B19" s="189">
        <f>B17+B18</f>
        <v/>
      </c>
      <c r="C19" s="189">
        <f>C17+C18</f>
        <v/>
      </c>
      <c r="D19" s="189">
        <f>D17+D18</f>
        <v/>
      </c>
      <c r="E19" s="189">
        <f>E17+E18</f>
        <v/>
      </c>
      <c r="F19" s="189">
        <f>F17+F18</f>
        <v/>
      </c>
      <c r="G19" s="68">
        <f>G17+G18</f>
        <v/>
      </c>
      <c r="H19" s="68">
        <f>H17+H18</f>
        <v/>
      </c>
      <c r="I19" s="68">
        <f>I17+I18</f>
        <v/>
      </c>
      <c r="J19" s="68">
        <f>J17+J18</f>
        <v/>
      </c>
      <c r="K19" s="68">
        <f>K17+K18</f>
        <v/>
      </c>
      <c r="L19" s="68">
        <f>L17+L18</f>
        <v/>
      </c>
      <c r="M19" s="68">
        <f>M17+M18</f>
        <v/>
      </c>
      <c r="N19" s="68">
        <f>N17+N18</f>
        <v/>
      </c>
      <c r="O19" s="68">
        <f>O17+O18</f>
        <v/>
      </c>
      <c r="P19" s="68">
        <f>P17+P18</f>
        <v/>
      </c>
      <c r="Q19" s="68">
        <f>Q17+Q18</f>
        <v/>
      </c>
      <c r="R19" s="68">
        <f>R17+R18</f>
        <v/>
      </c>
    </row>
    <row r="20">
      <c r="A20" s="208" t="inlineStr">
        <is>
          <t>Net Interest Expense</t>
        </is>
      </c>
      <c r="B20" s="11">
        <f>B90</f>
        <v/>
      </c>
      <c r="C20" s="11">
        <f>C90</f>
        <v/>
      </c>
      <c r="D20" s="11">
        <f>D90</f>
        <v/>
      </c>
      <c r="E20" s="11">
        <f>E90</f>
        <v/>
      </c>
      <c r="F20" s="11">
        <f>F90</f>
        <v/>
      </c>
      <c r="G20" s="214">
        <f>-((F44+G44+F49+G49)/2)*'Forecasting Assumptions'!G19</f>
        <v/>
      </c>
      <c r="H20" s="68">
        <f>-((G44+H44+G49+H49)/2)*'Forecasting Assumptions'!H19</f>
        <v/>
      </c>
      <c r="I20" s="68">
        <f>-((H44+I44+H49+I49)/2)*'Forecasting Assumptions'!I19</f>
        <v/>
      </c>
      <c r="J20" s="68">
        <f>-((I44+J44+I49+J49)/2)*'Forecasting Assumptions'!J19</f>
        <v/>
      </c>
      <c r="K20" s="68">
        <f>-((J44+K44+J49+K49)/2)*'Forecasting Assumptions'!K19</f>
        <v/>
      </c>
      <c r="L20" s="68">
        <f>-((K44+L44+K49+L49)/2)*'Forecasting Assumptions'!L19</f>
        <v/>
      </c>
      <c r="M20" s="68">
        <f>-((L44+M44+L49+M49)/2)*'Forecasting Assumptions'!M19</f>
        <v/>
      </c>
      <c r="N20" s="68">
        <f>-((M44+N44+M49+N49)/2)*'Forecasting Assumptions'!N19</f>
        <v/>
      </c>
      <c r="O20" s="68">
        <f>-((N44+O44+N49+O49)/2)*'Forecasting Assumptions'!O19</f>
        <v/>
      </c>
      <c r="P20" s="68">
        <f>-((O44+P44+O49+P49)/2)*'Forecasting Assumptions'!P19</f>
        <v/>
      </c>
      <c r="Q20" s="68">
        <f>-((P44+Q44+P49+Q49)/2)*'Forecasting Assumptions'!Q19</f>
        <v/>
      </c>
      <c r="R20" s="68">
        <f>-((Q44+R44+Q49+R49)/2)*'Forecasting Assumptions'!R19</f>
        <v/>
      </c>
    </row>
    <row r="21">
      <c r="A21" s="208" t="inlineStr">
        <is>
          <t>Non-Operating Income (Loss)</t>
        </is>
      </c>
      <c r="B21" s="11">
        <f>B91</f>
        <v/>
      </c>
      <c r="C21" s="11">
        <f>C91</f>
        <v/>
      </c>
      <c r="D21" s="11">
        <f>D91</f>
        <v/>
      </c>
      <c r="E21" s="11">
        <f>E91</f>
        <v/>
      </c>
      <c r="F21" s="11">
        <f>F91</f>
        <v/>
      </c>
      <c r="G21" s="214">
        <f>G12*'Forecasting Assumptions'!G20</f>
        <v/>
      </c>
      <c r="H21" s="68">
        <f>H12*'Forecasting Assumptions'!H20</f>
        <v/>
      </c>
      <c r="I21" s="68">
        <f>I12*'Forecasting Assumptions'!I20</f>
        <v/>
      </c>
      <c r="J21" s="68">
        <f>J12*'Forecasting Assumptions'!J20</f>
        <v/>
      </c>
      <c r="K21" s="68">
        <f>K12*'Forecasting Assumptions'!K20</f>
        <v/>
      </c>
      <c r="L21" s="68">
        <f>L12*'Forecasting Assumptions'!L20</f>
        <v/>
      </c>
      <c r="M21" s="68">
        <f>M12*'Forecasting Assumptions'!M20</f>
        <v/>
      </c>
      <c r="N21" s="68">
        <f>N12*'Forecasting Assumptions'!N20</f>
        <v/>
      </c>
      <c r="O21" s="68">
        <f>O12*'Forecasting Assumptions'!O20</f>
        <v/>
      </c>
      <c r="P21" s="68">
        <f>P12*'Forecasting Assumptions'!P20</f>
        <v/>
      </c>
      <c r="Q21" s="68">
        <f>Q12*'Forecasting Assumptions'!Q20</f>
        <v/>
      </c>
      <c r="R21" s="68">
        <f>R12*'Forecasting Assumptions'!R20</f>
        <v/>
      </c>
    </row>
    <row r="22">
      <c r="A22" s="208" t="inlineStr">
        <is>
          <t>EBT</t>
        </is>
      </c>
      <c r="B22" s="189">
        <f>B19+B20+B21</f>
        <v/>
      </c>
      <c r="C22" s="189">
        <f>C19+C20+C21</f>
        <v/>
      </c>
      <c r="D22" s="189">
        <f>D19+D20+D21</f>
        <v/>
      </c>
      <c r="E22" s="189">
        <f>E19+E20+E21</f>
        <v/>
      </c>
      <c r="F22" s="189">
        <f>F19+F20+F21</f>
        <v/>
      </c>
      <c r="G22" s="68">
        <f>G19+G20+G21</f>
        <v/>
      </c>
      <c r="H22" s="68">
        <f>H19+H20+H21</f>
        <v/>
      </c>
      <c r="I22" s="68">
        <f>I19+I20+I21</f>
        <v/>
      </c>
      <c r="J22" s="68">
        <f>J19+J20+J21</f>
        <v/>
      </c>
      <c r="K22" s="68">
        <f>K19+K20+K21</f>
        <v/>
      </c>
      <c r="L22" s="68">
        <f>L19+L20+L21</f>
        <v/>
      </c>
      <c r="M22" s="68">
        <f>M19+M20+M21</f>
        <v/>
      </c>
      <c r="N22" s="68">
        <f>N19+N20+N21</f>
        <v/>
      </c>
      <c r="O22" s="68">
        <f>O19+O20+O21</f>
        <v/>
      </c>
      <c r="P22" s="68">
        <f>P19+P20+P21</f>
        <v/>
      </c>
      <c r="Q22" s="68">
        <f>Q19+Q20+Q21</f>
        <v/>
      </c>
      <c r="R22" s="68">
        <f>R19+R20+R21</f>
        <v/>
      </c>
    </row>
    <row r="23">
      <c r="A23" s="208" t="inlineStr">
        <is>
          <t>Income Taxes</t>
        </is>
      </c>
      <c r="B23" s="11">
        <f>B92</f>
        <v/>
      </c>
      <c r="C23" s="11">
        <f>C92</f>
        <v/>
      </c>
      <c r="D23" s="11">
        <f>D92</f>
        <v/>
      </c>
      <c r="E23" s="11">
        <f>E92</f>
        <v/>
      </c>
      <c r="F23" s="11">
        <f>F92</f>
        <v/>
      </c>
      <c r="G23" s="214">
        <f>-G22*'Forecasting Assumptions'!G21</f>
        <v/>
      </c>
      <c r="H23" s="68">
        <f>-H22*'Forecasting Assumptions'!H21</f>
        <v/>
      </c>
      <c r="I23" s="68">
        <f>-I22*'Forecasting Assumptions'!I21</f>
        <v/>
      </c>
      <c r="J23" s="68">
        <f>-J22*'Forecasting Assumptions'!J21</f>
        <v/>
      </c>
      <c r="K23" s="68">
        <f>-K22*'Forecasting Assumptions'!K21</f>
        <v/>
      </c>
      <c r="L23" s="68">
        <f>-L22*'Forecasting Assumptions'!L21</f>
        <v/>
      </c>
      <c r="M23" s="68">
        <f>-M22*'Forecasting Assumptions'!M21</f>
        <v/>
      </c>
      <c r="N23" s="68">
        <f>-N22*'Forecasting Assumptions'!N21</f>
        <v/>
      </c>
      <c r="O23" s="68">
        <f>-O22*'Forecasting Assumptions'!O21</f>
        <v/>
      </c>
      <c r="P23" s="68">
        <f>-P22*'Forecasting Assumptions'!P21</f>
        <v/>
      </c>
      <c r="Q23" s="68">
        <f>-Q22*'Forecasting Assumptions'!Q21</f>
        <v/>
      </c>
      <c r="R23" s="68">
        <f>-R22*'Forecasting Assumptions'!R21</f>
        <v/>
      </c>
    </row>
    <row r="24">
      <c r="A24" s="208" t="inlineStr">
        <is>
          <t>Other Income (Loss)</t>
        </is>
      </c>
      <c r="B24" s="11">
        <f>B94</f>
        <v/>
      </c>
      <c r="C24" s="11">
        <f>C94</f>
        <v/>
      </c>
      <c r="D24" s="11">
        <f>D94</f>
        <v/>
      </c>
      <c r="E24" s="11">
        <f>E94</f>
        <v/>
      </c>
      <c r="F24" s="11">
        <f>F94</f>
        <v/>
      </c>
      <c r="G24" s="214">
        <f>G12*'Forecasting Assumptions'!G23</f>
        <v/>
      </c>
      <c r="H24" s="68">
        <f>H12*'Forecasting Assumptions'!H23</f>
        <v/>
      </c>
      <c r="I24" s="68">
        <f>I12*'Forecasting Assumptions'!I23</f>
        <v/>
      </c>
      <c r="J24" s="68">
        <f>J12*'Forecasting Assumptions'!J23</f>
        <v/>
      </c>
      <c r="K24" s="68">
        <f>K12*'Forecasting Assumptions'!K23</f>
        <v/>
      </c>
      <c r="L24" s="68">
        <f>L12*'Forecasting Assumptions'!L23</f>
        <v/>
      </c>
      <c r="M24" s="68">
        <f>M12*'Forecasting Assumptions'!M23</f>
        <v/>
      </c>
      <c r="N24" s="68">
        <f>N12*'Forecasting Assumptions'!N23</f>
        <v/>
      </c>
      <c r="O24" s="68">
        <f>O12*'Forecasting Assumptions'!O23</f>
        <v/>
      </c>
      <c r="P24" s="68">
        <f>P12*'Forecasting Assumptions'!P23</f>
        <v/>
      </c>
      <c r="Q24" s="68">
        <f>Q12*'Forecasting Assumptions'!Q23</f>
        <v/>
      </c>
      <c r="R24" s="68">
        <f>R12*'Forecasting Assumptions'!R23</f>
        <v/>
      </c>
    </row>
    <row r="25">
      <c r="A25" s="208" t="inlineStr">
        <is>
          <t>Net Income Before Ext. Items</t>
        </is>
      </c>
      <c r="B25" s="189">
        <f>B22+B23+B24</f>
        <v/>
      </c>
      <c r="C25" s="189">
        <f>C22+C23+C24</f>
        <v/>
      </c>
      <c r="D25" s="189">
        <f>D22+D23+D24</f>
        <v/>
      </c>
      <c r="E25" s="189">
        <f>E22+E23+E24</f>
        <v/>
      </c>
      <c r="F25" s="189">
        <f>F22+F23+F24</f>
        <v/>
      </c>
      <c r="G25" s="68">
        <f>G22+G23+G24</f>
        <v/>
      </c>
      <c r="H25" s="68">
        <f>H22+H23+H24</f>
        <v/>
      </c>
      <c r="I25" s="68">
        <f>I22+I23+I24</f>
        <v/>
      </c>
      <c r="J25" s="68">
        <f>J22+J23+J24</f>
        <v/>
      </c>
      <c r="K25" s="68">
        <f>K22+K23+K24</f>
        <v/>
      </c>
      <c r="L25" s="68">
        <f>L22+L23+L24</f>
        <v/>
      </c>
      <c r="M25" s="68">
        <f>M22+M23+M24</f>
        <v/>
      </c>
      <c r="N25" s="68">
        <f>N22+N23+N24</f>
        <v/>
      </c>
      <c r="O25" s="68">
        <f>O22+O23+O24</f>
        <v/>
      </c>
      <c r="P25" s="68">
        <f>P22+P23+P24</f>
        <v/>
      </c>
      <c r="Q25" s="68">
        <f>Q22+Q23+Q24</f>
        <v/>
      </c>
      <c r="R25" s="68">
        <f>R22+R23+R24</f>
        <v/>
      </c>
    </row>
    <row r="26">
      <c r="A26" s="208" t="inlineStr">
        <is>
          <t>Ext. Items &amp; Disc. Ops.</t>
        </is>
      </c>
      <c r="B26" s="11">
        <f>B95</f>
        <v/>
      </c>
      <c r="C26" s="11">
        <f>C95</f>
        <v/>
      </c>
      <c r="D26" s="11">
        <f>D95</f>
        <v/>
      </c>
      <c r="E26" s="11">
        <f>E95</f>
        <v/>
      </c>
      <c r="F26" s="11">
        <f>F95</f>
        <v/>
      </c>
      <c r="G26" s="214">
        <f>G12*'Forecasting Assumptions'!G24</f>
        <v/>
      </c>
      <c r="H26" s="68">
        <f>H12*'Forecasting Assumptions'!H24</f>
        <v/>
      </c>
      <c r="I26" s="68">
        <f>I12*'Forecasting Assumptions'!I24</f>
        <v/>
      </c>
      <c r="J26" s="68">
        <f>J12*'Forecasting Assumptions'!J24</f>
        <v/>
      </c>
      <c r="K26" s="68">
        <f>K12*'Forecasting Assumptions'!K24</f>
        <v/>
      </c>
      <c r="L26" s="68">
        <f>L12*'Forecasting Assumptions'!L24</f>
        <v/>
      </c>
      <c r="M26" s="68">
        <f>M12*'Forecasting Assumptions'!M24</f>
        <v/>
      </c>
      <c r="N26" s="68">
        <f>N12*'Forecasting Assumptions'!N24</f>
        <v/>
      </c>
      <c r="O26" s="68">
        <f>O12*'Forecasting Assumptions'!O24</f>
        <v/>
      </c>
      <c r="P26" s="68">
        <f>P12*'Forecasting Assumptions'!P24</f>
        <v/>
      </c>
      <c r="Q26" s="68">
        <f>Q12*'Forecasting Assumptions'!Q24</f>
        <v/>
      </c>
      <c r="R26" s="68">
        <f>R12*'Forecasting Assumptions'!R24</f>
        <v/>
      </c>
    </row>
    <row r="27">
      <c r="A27" s="208" t="inlineStr">
        <is>
          <t>Noncontrolling Interest in Earnings</t>
        </is>
      </c>
      <c r="B27" s="11">
        <f>B93</f>
        <v/>
      </c>
      <c r="C27" s="11">
        <f>C93</f>
        <v/>
      </c>
      <c r="D27" s="11">
        <f>D93</f>
        <v/>
      </c>
      <c r="E27" s="11">
        <f>E93</f>
        <v/>
      </c>
      <c r="F27" s="11">
        <f>F93</f>
        <v/>
      </c>
      <c r="G27" s="214">
        <f>-(G22+G23)*'Forecasting Assumptions'!G22</f>
        <v/>
      </c>
      <c r="H27" s="68">
        <f>-(H22+H23)*'Forecasting Assumptions'!H22</f>
        <v/>
      </c>
      <c r="I27" s="68">
        <f>-(I22+I23)*'Forecasting Assumptions'!I22</f>
        <v/>
      </c>
      <c r="J27" s="68">
        <f>-(J22+J23)*'Forecasting Assumptions'!J22</f>
        <v/>
      </c>
      <c r="K27" s="68">
        <f>-(K22+K23)*'Forecasting Assumptions'!K22</f>
        <v/>
      </c>
      <c r="L27" s="68">
        <f>-(L22+L23)*'Forecasting Assumptions'!L22</f>
        <v/>
      </c>
      <c r="M27" s="68">
        <f>-(M22+M23)*'Forecasting Assumptions'!M22</f>
        <v/>
      </c>
      <c r="N27" s="68">
        <f>-(N22+N23)*'Forecasting Assumptions'!N22</f>
        <v/>
      </c>
      <c r="O27" s="68">
        <f>-(O22+O23)*'Forecasting Assumptions'!O22</f>
        <v/>
      </c>
      <c r="P27" s="68">
        <f>-(P22+P23)*'Forecasting Assumptions'!P22</f>
        <v/>
      </c>
      <c r="Q27" s="68">
        <f>-(Q22+Q23)*'Forecasting Assumptions'!Q22</f>
        <v/>
      </c>
      <c r="R27" s="68">
        <f>-(R22+R23)*'Forecasting Assumptions'!R22</f>
        <v/>
      </c>
    </row>
    <row r="28">
      <c r="A28" s="208" t="inlineStr">
        <is>
          <t>Preferred Dividends</t>
        </is>
      </c>
      <c r="B28" s="11">
        <f>B96</f>
        <v/>
      </c>
      <c r="C28" s="11">
        <f>C96</f>
        <v/>
      </c>
      <c r="D28" s="11">
        <f>D96</f>
        <v/>
      </c>
      <c r="E28" s="11">
        <f>E96</f>
        <v/>
      </c>
      <c r="F28" s="11">
        <f>F96</f>
        <v/>
      </c>
      <c r="G28" s="217">
        <f>-((G54+F54)/2)*'Forecasting Assumptions'!G25</f>
        <v/>
      </c>
      <c r="H28" s="218">
        <f>-((H54+G54)/2)*'Forecasting Assumptions'!H25</f>
        <v/>
      </c>
      <c r="I28" s="218">
        <f>-((I54+H54)/2)*'Forecasting Assumptions'!I25</f>
        <v/>
      </c>
      <c r="J28" s="218">
        <f>-((J54+I54)/2)*'Forecasting Assumptions'!J25</f>
        <v/>
      </c>
      <c r="K28" s="218">
        <f>-((K54+J54)/2)*'Forecasting Assumptions'!K25</f>
        <v/>
      </c>
      <c r="L28" s="218">
        <f>-((L54+K54)/2)*'Forecasting Assumptions'!L25</f>
        <v/>
      </c>
      <c r="M28" s="68">
        <f>-((M54+L54)/2)*'Forecasting Assumptions'!M25</f>
        <v/>
      </c>
      <c r="N28" s="68">
        <f>-((N54+M54)/2)*'Forecasting Assumptions'!N25</f>
        <v/>
      </c>
      <c r="O28" s="68">
        <f>-((O54+N54)/2)*'Forecasting Assumptions'!O25</f>
        <v/>
      </c>
      <c r="P28" s="68">
        <f>-((P54+O54)/2)*'Forecasting Assumptions'!P25</f>
        <v/>
      </c>
      <c r="Q28" s="68">
        <f>-((Q54+P54)/2)*'Forecasting Assumptions'!Q25</f>
        <v/>
      </c>
      <c r="R28" s="68">
        <f>-((R54+Q54)/2)*'Forecasting Assumptions'!R25</f>
        <v/>
      </c>
    </row>
    <row r="29" ht="15.95" customHeight="1" s="16">
      <c r="A29" s="208" t="inlineStr">
        <is>
          <t>Net Income (available to common)</t>
        </is>
      </c>
      <c r="B29" s="190">
        <f>B25+B26+B27+B28</f>
        <v/>
      </c>
      <c r="C29" s="190">
        <f>C25+C26+C27+C28</f>
        <v/>
      </c>
      <c r="D29" s="190">
        <f>D25+D26+D27+D28</f>
        <v/>
      </c>
      <c r="E29" s="190">
        <f>E25+E26+E27+E28</f>
        <v/>
      </c>
      <c r="F29" s="190">
        <f>F25+F26+F27+F28</f>
        <v/>
      </c>
      <c r="G29" s="219">
        <f>G25+G26+G27+G28</f>
        <v/>
      </c>
      <c r="H29" s="219">
        <f>H25+H26+H27+H28</f>
        <v/>
      </c>
      <c r="I29" s="219">
        <f>I25+I26+I27+I28</f>
        <v/>
      </c>
      <c r="J29" s="219">
        <f>J25+J26+J27+J28</f>
        <v/>
      </c>
      <c r="K29" s="219">
        <f>K25+K26+K27+K28</f>
        <v/>
      </c>
      <c r="L29" s="219">
        <f>L25+L26+L27+L28</f>
        <v/>
      </c>
      <c r="M29" s="219">
        <f>M25+M26+M27+M28</f>
        <v/>
      </c>
      <c r="N29" s="219">
        <f>N25+N26+N27+N28</f>
        <v/>
      </c>
      <c r="O29" s="219">
        <f>O25+O26+O27+O28</f>
        <v/>
      </c>
      <c r="P29" s="219">
        <f>P25+P26+P27+P28</f>
        <v/>
      </c>
      <c r="Q29" s="219">
        <f>Q25+Q26+Q27+Q28</f>
        <v/>
      </c>
      <c r="R29" s="219">
        <f>R25+R26+R27+R28</f>
        <v/>
      </c>
    </row>
    <row r="30" ht="15.95" customHeight="1" s="16">
      <c r="A30" s="205" t="n"/>
      <c r="B30" s="206">
        <f>IF(B13&gt;0,"Error! -Exp?",IF(B15&gt;0,"Error! -Exp?",IF(B16&gt;0,"Error! -Exp?","")))</f>
        <v/>
      </c>
      <c r="C30" s="206" t="inlineStr"/>
      <c r="D30" s="206" t="inlineStr"/>
      <c r="E30" s="206" t="inlineStr"/>
      <c r="F30" s="206" t="inlineStr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</row>
    <row r="31">
      <c r="A31" s="17" t="inlineStr">
        <is>
          <t>Balance Sheet</t>
        </is>
      </c>
      <c r="B31" s="207" t="n"/>
      <c r="C31" s="207" t="n"/>
      <c r="D31" s="207" t="n"/>
      <c r="E31" s="189" t="n"/>
      <c r="F31" s="189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</row>
    <row r="32">
      <c r="A32" s="17" t="n"/>
      <c r="B32" s="207" t="n"/>
      <c r="C32" s="207" t="n"/>
      <c r="D32" s="207" t="n"/>
      <c r="E32" s="189" t="n"/>
      <c r="F32" s="189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</row>
    <row r="33">
      <c r="A33" s="208" t="inlineStr">
        <is>
          <t>Operating Cash and Market. Sec.</t>
        </is>
      </c>
      <c r="B33" s="11">
        <f>B97</f>
        <v/>
      </c>
      <c r="C33" s="11">
        <f>C97</f>
        <v/>
      </c>
      <c r="D33" s="11">
        <f>D97</f>
        <v/>
      </c>
      <c r="E33" s="11">
        <f>E97</f>
        <v/>
      </c>
      <c r="F33" s="11">
        <f>F97</f>
        <v/>
      </c>
      <c r="G33" s="214">
        <f>G12*'Forecasting Assumptions'!G29</f>
        <v/>
      </c>
      <c r="H33" s="68">
        <f>H12*'Forecasting Assumptions'!H29</f>
        <v/>
      </c>
      <c r="I33" s="68">
        <f>I12*'Forecasting Assumptions'!I29</f>
        <v/>
      </c>
      <c r="J33" s="68">
        <f>J12*'Forecasting Assumptions'!J29</f>
        <v/>
      </c>
      <c r="K33" s="68">
        <f>K12*'Forecasting Assumptions'!K29</f>
        <v/>
      </c>
      <c r="L33" s="68">
        <f>L12*'Forecasting Assumptions'!L29</f>
        <v/>
      </c>
      <c r="M33" s="68">
        <f>M12*'Forecasting Assumptions'!M29</f>
        <v/>
      </c>
      <c r="N33" s="68">
        <f>N12*'Forecasting Assumptions'!N29</f>
        <v/>
      </c>
      <c r="O33" s="68">
        <f>O12*'Forecasting Assumptions'!O29</f>
        <v/>
      </c>
      <c r="P33" s="68">
        <f>P12*'Forecasting Assumptions'!P29</f>
        <v/>
      </c>
      <c r="Q33" s="68">
        <f>Q12*'Forecasting Assumptions'!Q29</f>
        <v/>
      </c>
      <c r="R33" s="68">
        <f>R12*'Forecasting Assumptions'!R29</f>
        <v/>
      </c>
    </row>
    <row r="34">
      <c r="A34" s="208" t="inlineStr">
        <is>
          <t>Receivables</t>
        </is>
      </c>
      <c r="B34" s="11">
        <f>B98</f>
        <v/>
      </c>
      <c r="C34" s="11">
        <f>C98</f>
        <v/>
      </c>
      <c r="D34" s="11">
        <f>D98</f>
        <v/>
      </c>
      <c r="E34" s="11">
        <f>E98</f>
        <v/>
      </c>
      <c r="F34" s="11">
        <f>F98</f>
        <v/>
      </c>
      <c r="G34" s="214">
        <f>G12*'Forecasting Assumptions'!G30</f>
        <v/>
      </c>
      <c r="H34" s="68">
        <f>H12*'Forecasting Assumptions'!H30</f>
        <v/>
      </c>
      <c r="I34" s="68">
        <f>I12*'Forecasting Assumptions'!I30</f>
        <v/>
      </c>
      <c r="J34" s="68">
        <f>J12*'Forecasting Assumptions'!J30</f>
        <v/>
      </c>
      <c r="K34" s="68">
        <f>K12*'Forecasting Assumptions'!K30</f>
        <v/>
      </c>
      <c r="L34" s="68">
        <f>L12*'Forecasting Assumptions'!L30</f>
        <v/>
      </c>
      <c r="M34" s="68">
        <f>M12*'Forecasting Assumptions'!M30</f>
        <v/>
      </c>
      <c r="N34" s="68">
        <f>N12*'Forecasting Assumptions'!N30</f>
        <v/>
      </c>
      <c r="O34" s="68">
        <f>O12*'Forecasting Assumptions'!O30</f>
        <v/>
      </c>
      <c r="P34" s="68">
        <f>P12*'Forecasting Assumptions'!P30</f>
        <v/>
      </c>
      <c r="Q34" s="68">
        <f>Q12*'Forecasting Assumptions'!Q30</f>
        <v/>
      </c>
      <c r="R34" s="68">
        <f>R12*'Forecasting Assumptions'!R30</f>
        <v/>
      </c>
    </row>
    <row r="35">
      <c r="A35" s="208" t="inlineStr">
        <is>
          <t>Inventories</t>
        </is>
      </c>
      <c r="B35" s="11">
        <f>B99</f>
        <v/>
      </c>
      <c r="C35" s="11">
        <f>C99</f>
        <v/>
      </c>
      <c r="D35" s="11">
        <f>D99</f>
        <v/>
      </c>
      <c r="E35" s="11">
        <f>E99</f>
        <v/>
      </c>
      <c r="F35" s="11">
        <f>F99</f>
        <v/>
      </c>
      <c r="G35" s="214">
        <f>-G13*'Forecasting Assumptions'!G31</f>
        <v/>
      </c>
      <c r="H35" s="68">
        <f>-H13*'Forecasting Assumptions'!H31</f>
        <v/>
      </c>
      <c r="I35" s="68">
        <f>-I13*'Forecasting Assumptions'!I31</f>
        <v/>
      </c>
      <c r="J35" s="68">
        <f>-J13*'Forecasting Assumptions'!J31</f>
        <v/>
      </c>
      <c r="K35" s="68">
        <f>-K13*'Forecasting Assumptions'!K31</f>
        <v/>
      </c>
      <c r="L35" s="68">
        <f>-L13*'Forecasting Assumptions'!L31</f>
        <v/>
      </c>
      <c r="M35" s="68">
        <f>-M13*'Forecasting Assumptions'!M31</f>
        <v/>
      </c>
      <c r="N35" s="68">
        <f>-N13*'Forecasting Assumptions'!N31</f>
        <v/>
      </c>
      <c r="O35" s="68">
        <f>-O13*'Forecasting Assumptions'!O31</f>
        <v/>
      </c>
      <c r="P35" s="68">
        <f>-P13*'Forecasting Assumptions'!P31</f>
        <v/>
      </c>
      <c r="Q35" s="68">
        <f>-Q13*'Forecasting Assumptions'!Q31</f>
        <v/>
      </c>
      <c r="R35" s="68">
        <f>-R13*'Forecasting Assumptions'!R31</f>
        <v/>
      </c>
    </row>
    <row r="36">
      <c r="A36" s="208" t="inlineStr">
        <is>
          <t>Other Current Assets</t>
        </is>
      </c>
      <c r="B36" s="11">
        <f>B100</f>
        <v/>
      </c>
      <c r="C36" s="11">
        <f>C100</f>
        <v/>
      </c>
      <c r="D36" s="11">
        <f>D100</f>
        <v/>
      </c>
      <c r="E36" s="11">
        <f>E100</f>
        <v/>
      </c>
      <c r="F36" s="11">
        <f>F100</f>
        <v/>
      </c>
      <c r="G36" s="214">
        <f>G12*'Forecasting Assumptions'!G32</f>
        <v/>
      </c>
      <c r="H36" s="68">
        <f>H12*'Forecasting Assumptions'!H32</f>
        <v/>
      </c>
      <c r="I36" s="68">
        <f>I12*'Forecasting Assumptions'!I32</f>
        <v/>
      </c>
      <c r="J36" s="68">
        <f>J12*'Forecasting Assumptions'!J32</f>
        <v/>
      </c>
      <c r="K36" s="68">
        <f>K12*'Forecasting Assumptions'!K32</f>
        <v/>
      </c>
      <c r="L36" s="68">
        <f>L12*'Forecasting Assumptions'!L32</f>
        <v/>
      </c>
      <c r="M36" s="68">
        <f>M12*'Forecasting Assumptions'!M32</f>
        <v/>
      </c>
      <c r="N36" s="68">
        <f>N12*'Forecasting Assumptions'!N32</f>
        <v/>
      </c>
      <c r="O36" s="68">
        <f>O12*'Forecasting Assumptions'!O32</f>
        <v/>
      </c>
      <c r="P36" s="68">
        <f>P12*'Forecasting Assumptions'!P32</f>
        <v/>
      </c>
      <c r="Q36" s="68">
        <f>Q12*'Forecasting Assumptions'!Q32</f>
        <v/>
      </c>
      <c r="R36" s="68">
        <f>R12*'Forecasting Assumptions'!R32</f>
        <v/>
      </c>
    </row>
    <row r="37">
      <c r="A37" s="208" t="inlineStr">
        <is>
          <t>Total Current Assets</t>
        </is>
      </c>
      <c r="B37" s="189">
        <f>SUM(B33:B36)</f>
        <v/>
      </c>
      <c r="C37" s="189">
        <f>SUM(C33:C36)</f>
        <v/>
      </c>
      <c r="D37" s="189">
        <f>SUM(D33:D36)</f>
        <v/>
      </c>
      <c r="E37" s="189">
        <f>SUM(E33:E36)</f>
        <v/>
      </c>
      <c r="F37" s="189">
        <f>SUM(F33:F36)</f>
        <v/>
      </c>
      <c r="G37" s="68">
        <f>SUM(G33:G36)</f>
        <v/>
      </c>
      <c r="H37" s="68">
        <f>SUM(H33:H36)</f>
        <v/>
      </c>
      <c r="I37" s="68">
        <f>SUM(I33:I36)</f>
        <v/>
      </c>
      <c r="J37" s="68">
        <f>SUM(J33:J36)</f>
        <v/>
      </c>
      <c r="K37" s="68">
        <f>SUM(K33:K36)</f>
        <v/>
      </c>
      <c r="L37" s="68">
        <f>SUM(L33:L36)</f>
        <v/>
      </c>
      <c r="M37" s="68">
        <f>SUM(M33:M36)</f>
        <v/>
      </c>
      <c r="N37" s="68">
        <f>SUM(N33:N36)</f>
        <v/>
      </c>
      <c r="O37" s="68">
        <f>SUM(O33:O36)</f>
        <v/>
      </c>
      <c r="P37" s="68">
        <f>SUM(P33:P36)</f>
        <v/>
      </c>
      <c r="Q37" s="68">
        <f>SUM(Q33:Q36)</f>
        <v/>
      </c>
      <c r="R37" s="68">
        <f>SUM(R33:R36)</f>
        <v/>
      </c>
    </row>
    <row r="38">
      <c r="A38" s="208" t="inlineStr">
        <is>
          <t>PP&amp;E (Net)</t>
        </is>
      </c>
      <c r="B38" s="11">
        <f>B101</f>
        <v/>
      </c>
      <c r="C38" s="11">
        <f>C101</f>
        <v/>
      </c>
      <c r="D38" s="11">
        <f>D101</f>
        <v/>
      </c>
      <c r="E38" s="11">
        <f>E101</f>
        <v/>
      </c>
      <c r="F38" s="11">
        <f>F101</f>
        <v/>
      </c>
      <c r="G38" s="214">
        <f>G12*'Forecasting Assumptions'!G37</f>
        <v/>
      </c>
      <c r="H38" s="68">
        <f>H12*'Forecasting Assumptions'!H37</f>
        <v/>
      </c>
      <c r="I38" s="68">
        <f>I12*'Forecasting Assumptions'!I37</f>
        <v/>
      </c>
      <c r="J38" s="68">
        <f>J12*'Forecasting Assumptions'!J37</f>
        <v/>
      </c>
      <c r="K38" s="68">
        <f>K12*'Forecasting Assumptions'!K37</f>
        <v/>
      </c>
      <c r="L38" s="68">
        <f>L12*'Forecasting Assumptions'!L37</f>
        <v/>
      </c>
      <c r="M38" s="68">
        <f>M12*'Forecasting Assumptions'!M37</f>
        <v/>
      </c>
      <c r="N38" s="68">
        <f>N12*'Forecasting Assumptions'!N37</f>
        <v/>
      </c>
      <c r="O38" s="68">
        <f>O12*'Forecasting Assumptions'!O37</f>
        <v/>
      </c>
      <c r="P38" s="68">
        <f>P12*'Forecasting Assumptions'!P37</f>
        <v/>
      </c>
      <c r="Q38" s="68">
        <f>Q12*'Forecasting Assumptions'!Q37</f>
        <v/>
      </c>
      <c r="R38" s="68">
        <f>R12*'Forecasting Assumptions'!R37</f>
        <v/>
      </c>
    </row>
    <row r="39">
      <c r="A39" s="208" t="inlineStr">
        <is>
          <t>Investments</t>
        </is>
      </c>
      <c r="B39" s="11">
        <f>B102</f>
        <v/>
      </c>
      <c r="C39" s="11">
        <f>C102</f>
        <v/>
      </c>
      <c r="D39" s="11">
        <f>D102</f>
        <v/>
      </c>
      <c r="E39" s="11">
        <f>E102</f>
        <v/>
      </c>
      <c r="F39" s="11">
        <f>F102</f>
        <v/>
      </c>
      <c r="G39" s="214">
        <f>G12*'Forecasting Assumptions'!G38</f>
        <v/>
      </c>
      <c r="H39" s="68">
        <f>H12*'Forecasting Assumptions'!H38</f>
        <v/>
      </c>
      <c r="I39" s="68">
        <f>I12*'Forecasting Assumptions'!I38</f>
        <v/>
      </c>
      <c r="J39" s="68">
        <f>J12*'Forecasting Assumptions'!J38</f>
        <v/>
      </c>
      <c r="K39" s="68">
        <f>K12*'Forecasting Assumptions'!K38</f>
        <v/>
      </c>
      <c r="L39" s="68">
        <f>L12*'Forecasting Assumptions'!L38</f>
        <v/>
      </c>
      <c r="M39" s="68">
        <f>M12*'Forecasting Assumptions'!M38</f>
        <v/>
      </c>
      <c r="N39" s="68">
        <f>N12*'Forecasting Assumptions'!N38</f>
        <v/>
      </c>
      <c r="O39" s="68">
        <f>O12*'Forecasting Assumptions'!O38</f>
        <v/>
      </c>
      <c r="P39" s="68">
        <f>P12*'Forecasting Assumptions'!P38</f>
        <v/>
      </c>
      <c r="Q39" s="68">
        <f>Q12*'Forecasting Assumptions'!Q38</f>
        <v/>
      </c>
      <c r="R39" s="68">
        <f>R12*'Forecasting Assumptions'!R38</f>
        <v/>
      </c>
    </row>
    <row r="40">
      <c r="A40" s="208" t="inlineStr">
        <is>
          <t>Intangibles</t>
        </is>
      </c>
      <c r="B40" s="11">
        <f>B103</f>
        <v/>
      </c>
      <c r="C40" s="11">
        <f>C103</f>
        <v/>
      </c>
      <c r="D40" s="11">
        <f>D103</f>
        <v/>
      </c>
      <c r="E40" s="11">
        <f>E103</f>
        <v/>
      </c>
      <c r="F40" s="11">
        <f>F103</f>
        <v/>
      </c>
      <c r="G40" s="214">
        <f>G12*'Forecasting Assumptions'!G39</f>
        <v/>
      </c>
      <c r="H40" s="68">
        <f>H12*'Forecasting Assumptions'!H39</f>
        <v/>
      </c>
      <c r="I40" s="68">
        <f>I12*'Forecasting Assumptions'!I39</f>
        <v/>
      </c>
      <c r="J40" s="68">
        <f>J12*'Forecasting Assumptions'!J39</f>
        <v/>
      </c>
      <c r="K40" s="68">
        <f>K12*'Forecasting Assumptions'!K39</f>
        <v/>
      </c>
      <c r="L40" s="68">
        <f>L12*'Forecasting Assumptions'!L39</f>
        <v/>
      </c>
      <c r="M40" s="68">
        <f>M12*'Forecasting Assumptions'!M39</f>
        <v/>
      </c>
      <c r="N40" s="68">
        <f>N12*'Forecasting Assumptions'!N39</f>
        <v/>
      </c>
      <c r="O40" s="68">
        <f>O12*'Forecasting Assumptions'!O39</f>
        <v/>
      </c>
      <c r="P40" s="68">
        <f>P12*'Forecasting Assumptions'!P39</f>
        <v/>
      </c>
      <c r="Q40" s="68">
        <f>Q12*'Forecasting Assumptions'!Q39</f>
        <v/>
      </c>
      <c r="R40" s="68">
        <f>R12*'Forecasting Assumptions'!R39</f>
        <v/>
      </c>
    </row>
    <row r="41">
      <c r="A41" s="208" t="inlineStr">
        <is>
          <t>Other Assets</t>
        </is>
      </c>
      <c r="B41" s="11">
        <f>B104</f>
        <v/>
      </c>
      <c r="C41" s="11">
        <f>C104</f>
        <v/>
      </c>
      <c r="D41" s="11">
        <f>D104</f>
        <v/>
      </c>
      <c r="E41" s="11">
        <f>E104</f>
        <v/>
      </c>
      <c r="F41" s="11">
        <f>F104</f>
        <v/>
      </c>
      <c r="G41" s="217">
        <f>G12*'Forecasting Assumptions'!G40</f>
        <v/>
      </c>
      <c r="H41" s="218">
        <f>H12*'Forecasting Assumptions'!H40</f>
        <v/>
      </c>
      <c r="I41" s="218">
        <f>I12*'Forecasting Assumptions'!I40</f>
        <v/>
      </c>
      <c r="J41" s="218">
        <f>J12*'Forecasting Assumptions'!J40</f>
        <v/>
      </c>
      <c r="K41" s="218">
        <f>K12*'Forecasting Assumptions'!K40</f>
        <v/>
      </c>
      <c r="L41" s="218">
        <f>L12*'Forecasting Assumptions'!L40</f>
        <v/>
      </c>
      <c r="M41" s="68">
        <f>M12*'Forecasting Assumptions'!M40</f>
        <v/>
      </c>
      <c r="N41" s="68">
        <f>N12*'Forecasting Assumptions'!N40</f>
        <v/>
      </c>
      <c r="O41" s="68">
        <f>O12*'Forecasting Assumptions'!O40</f>
        <v/>
      </c>
      <c r="P41" s="68">
        <f>P12*'Forecasting Assumptions'!P40</f>
        <v/>
      </c>
      <c r="Q41" s="68">
        <f>Q12*'Forecasting Assumptions'!Q40</f>
        <v/>
      </c>
      <c r="R41" s="68">
        <f>R12*'Forecasting Assumptions'!R40</f>
        <v/>
      </c>
    </row>
    <row r="42" ht="15.95" customHeight="1" s="16">
      <c r="A42" s="208" t="inlineStr">
        <is>
          <t>Total Assets</t>
        </is>
      </c>
      <c r="B42" s="190">
        <f>SUM(B37:B41)</f>
        <v/>
      </c>
      <c r="C42" s="190">
        <f>SUM(C37:C41)</f>
        <v/>
      </c>
      <c r="D42" s="190">
        <f>SUM(D37:D41)</f>
        <v/>
      </c>
      <c r="E42" s="190">
        <f>SUM(E37:E41)</f>
        <v/>
      </c>
      <c r="F42" s="190">
        <f>SUM(F37:F41)</f>
        <v/>
      </c>
      <c r="G42" s="219">
        <f>G37+G38+G39+G40+G41</f>
        <v/>
      </c>
      <c r="H42" s="219">
        <f>H37+H38+H39+H40+H41</f>
        <v/>
      </c>
      <c r="I42" s="219">
        <f>I37+I38+I39+I40+I41</f>
        <v/>
      </c>
      <c r="J42" s="219">
        <f>J37+J38+J39+J40+J41</f>
        <v/>
      </c>
      <c r="K42" s="219">
        <f>K37+K38+K39+K40+K41</f>
        <v/>
      </c>
      <c r="L42" s="219">
        <f>L37+L38+L39+L40+L41</f>
        <v/>
      </c>
      <c r="M42" s="219">
        <f>M37+M38+M39+M40+M41</f>
        <v/>
      </c>
      <c r="N42" s="219">
        <f>N37+N38+N39+N40+N41</f>
        <v/>
      </c>
      <c r="O42" s="219">
        <f>O37+O38+O39+O40+O41</f>
        <v/>
      </c>
      <c r="P42" s="219">
        <f>P37+P38+P39+P40+P41</f>
        <v/>
      </c>
      <c r="Q42" s="219">
        <f>Q37+Q38+Q39+Q40+Q41</f>
        <v/>
      </c>
      <c r="R42" s="219">
        <f>R37+R38+R39+R40+R41</f>
        <v/>
      </c>
    </row>
    <row r="43" ht="15.95" customHeight="1" s="16">
      <c r="A43" s="205" t="n"/>
      <c r="B43" s="189" t="n"/>
      <c r="C43" s="189" t="n"/>
      <c r="D43" s="189" t="n"/>
      <c r="E43" s="189" t="n"/>
      <c r="F43" s="189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</row>
    <row r="44">
      <c r="A44" s="208" t="inlineStr">
        <is>
          <t>Current Debt</t>
        </is>
      </c>
      <c r="B44" s="11">
        <f>B105</f>
        <v/>
      </c>
      <c r="C44" s="11">
        <f>C105</f>
        <v/>
      </c>
      <c r="D44" s="11">
        <f>D105</f>
        <v/>
      </c>
      <c r="E44" s="11">
        <f>E105</f>
        <v/>
      </c>
      <c r="F44" s="11">
        <f>F105</f>
        <v/>
      </c>
      <c r="G44" s="214">
        <f>G42*'Forecasting Assumptions'!G45</f>
        <v/>
      </c>
      <c r="H44" s="68">
        <f>H42*'Forecasting Assumptions'!H45</f>
        <v/>
      </c>
      <c r="I44" s="68">
        <f>I42*'Forecasting Assumptions'!I45</f>
        <v/>
      </c>
      <c r="J44" s="68">
        <f>J42*'Forecasting Assumptions'!J45</f>
        <v/>
      </c>
      <c r="K44" s="68">
        <f>K42*'Forecasting Assumptions'!K45</f>
        <v/>
      </c>
      <c r="L44" s="68">
        <f>L42*'Forecasting Assumptions'!L45</f>
        <v/>
      </c>
      <c r="M44" s="68">
        <f>M42*'Forecasting Assumptions'!M45</f>
        <v/>
      </c>
      <c r="N44" s="68">
        <f>N42*'Forecasting Assumptions'!N45</f>
        <v/>
      </c>
      <c r="O44" s="68">
        <f>O42*'Forecasting Assumptions'!O45</f>
        <v/>
      </c>
      <c r="P44" s="68">
        <f>P42*'Forecasting Assumptions'!P45</f>
        <v/>
      </c>
      <c r="Q44" s="68">
        <f>Q42*'Forecasting Assumptions'!Q45</f>
        <v/>
      </c>
      <c r="R44" s="68">
        <f>R42*'Forecasting Assumptions'!R45</f>
        <v/>
      </c>
    </row>
    <row r="45">
      <c r="A45" s="208" t="inlineStr">
        <is>
          <t>Accounts Payable</t>
        </is>
      </c>
      <c r="B45" s="11">
        <f>B106</f>
        <v/>
      </c>
      <c r="C45" s="11">
        <f>C106</f>
        <v/>
      </c>
      <c r="D45" s="11">
        <f>D106</f>
        <v/>
      </c>
      <c r="E45" s="11">
        <f>E106</f>
        <v/>
      </c>
      <c r="F45" s="11">
        <f>F106</f>
        <v/>
      </c>
      <c r="G45" s="214">
        <f>-G13*'Forecasting Assumptions'!G33</f>
        <v/>
      </c>
      <c r="H45" s="68">
        <f>-H13*'Forecasting Assumptions'!H33</f>
        <v/>
      </c>
      <c r="I45" s="68">
        <f>-I13*'Forecasting Assumptions'!I33</f>
        <v/>
      </c>
      <c r="J45" s="68">
        <f>-J13*'Forecasting Assumptions'!J33</f>
        <v/>
      </c>
      <c r="K45" s="68">
        <f>-K13*'Forecasting Assumptions'!K33</f>
        <v/>
      </c>
      <c r="L45" s="68">
        <f>-L13*'Forecasting Assumptions'!L33</f>
        <v/>
      </c>
      <c r="M45" s="68">
        <f>-M13*'Forecasting Assumptions'!M33</f>
        <v/>
      </c>
      <c r="N45" s="68">
        <f>-N13*'Forecasting Assumptions'!N33</f>
        <v/>
      </c>
      <c r="O45" s="68">
        <f>-O13*'Forecasting Assumptions'!O33</f>
        <v/>
      </c>
      <c r="P45" s="68">
        <f>-P13*'Forecasting Assumptions'!P33</f>
        <v/>
      </c>
      <c r="Q45" s="68">
        <f>-Q13*'Forecasting Assumptions'!Q33</f>
        <v/>
      </c>
      <c r="R45" s="68">
        <f>-R13*'Forecasting Assumptions'!R33</f>
        <v/>
      </c>
    </row>
    <row r="46">
      <c r="A46" s="208" t="inlineStr">
        <is>
          <t>Income Taxes Payable</t>
        </is>
      </c>
      <c r="B46" s="11">
        <f>B107</f>
        <v/>
      </c>
      <c r="C46" s="11">
        <f>C107</f>
        <v/>
      </c>
      <c r="D46" s="11">
        <f>D107</f>
        <v/>
      </c>
      <c r="E46" s="11">
        <f>E107</f>
        <v/>
      </c>
      <c r="F46" s="11">
        <f>F107</f>
        <v/>
      </c>
      <c r="G46" s="214">
        <f>G12*'Forecasting Assumptions'!G34</f>
        <v/>
      </c>
      <c r="H46" s="68">
        <f>H12*'Forecasting Assumptions'!H34</f>
        <v/>
      </c>
      <c r="I46" s="68">
        <f>I12*'Forecasting Assumptions'!I34</f>
        <v/>
      </c>
      <c r="J46" s="68">
        <f>J12*'Forecasting Assumptions'!J34</f>
        <v/>
      </c>
      <c r="K46" s="68">
        <f>K12*'Forecasting Assumptions'!K34</f>
        <v/>
      </c>
      <c r="L46" s="68">
        <f>L12*'Forecasting Assumptions'!L34</f>
        <v/>
      </c>
      <c r="M46" s="68">
        <f>M12*'Forecasting Assumptions'!M34</f>
        <v/>
      </c>
      <c r="N46" s="68">
        <f>N12*'Forecasting Assumptions'!N34</f>
        <v/>
      </c>
      <c r="O46" s="68">
        <f>O12*'Forecasting Assumptions'!O34</f>
        <v/>
      </c>
      <c r="P46" s="68">
        <f>P12*'Forecasting Assumptions'!P34</f>
        <v/>
      </c>
      <c r="Q46" s="68">
        <f>Q12*'Forecasting Assumptions'!Q34</f>
        <v/>
      </c>
      <c r="R46" s="68">
        <f>R12*'Forecasting Assumptions'!R34</f>
        <v/>
      </c>
    </row>
    <row r="47">
      <c r="A47" s="208" t="inlineStr">
        <is>
          <t>Other Current Liabilities</t>
        </is>
      </c>
      <c r="B47" s="11">
        <f>B108</f>
        <v/>
      </c>
      <c r="C47" s="11">
        <f>C108</f>
        <v/>
      </c>
      <c r="D47" s="11">
        <f>D108</f>
        <v/>
      </c>
      <c r="E47" s="11">
        <f>E108</f>
        <v/>
      </c>
      <c r="F47" s="11">
        <f>F108</f>
        <v/>
      </c>
      <c r="G47" s="214">
        <f>G12*'Forecasting Assumptions'!G35</f>
        <v/>
      </c>
      <c r="H47" s="68">
        <f>H12*'Forecasting Assumptions'!H35</f>
        <v/>
      </c>
      <c r="I47" s="68">
        <f>I12*'Forecasting Assumptions'!I35</f>
        <v/>
      </c>
      <c r="J47" s="68">
        <f>J12*'Forecasting Assumptions'!J35</f>
        <v/>
      </c>
      <c r="K47" s="68">
        <f>K12*'Forecasting Assumptions'!K35</f>
        <v/>
      </c>
      <c r="L47" s="68">
        <f>L12*'Forecasting Assumptions'!L35</f>
        <v/>
      </c>
      <c r="M47" s="68">
        <f>M12*'Forecasting Assumptions'!M35</f>
        <v/>
      </c>
      <c r="N47" s="68">
        <f>N12*'Forecasting Assumptions'!N35</f>
        <v/>
      </c>
      <c r="O47" s="68">
        <f>O12*'Forecasting Assumptions'!O35</f>
        <v/>
      </c>
      <c r="P47" s="68">
        <f>P12*'Forecasting Assumptions'!P35</f>
        <v/>
      </c>
      <c r="Q47" s="68">
        <f>Q12*'Forecasting Assumptions'!Q35</f>
        <v/>
      </c>
      <c r="R47" s="68">
        <f>R12*'Forecasting Assumptions'!R35</f>
        <v/>
      </c>
    </row>
    <row r="48">
      <c r="A48" s="208" t="inlineStr">
        <is>
          <t>Total Current Liabilities</t>
        </is>
      </c>
      <c r="B48" s="189">
        <f>SUM(B44:B47)</f>
        <v/>
      </c>
      <c r="C48" s="189">
        <f>SUM(C44:C47)</f>
        <v/>
      </c>
      <c r="D48" s="189">
        <f>SUM(D44:D47)</f>
        <v/>
      </c>
      <c r="E48" s="189">
        <f>SUM(E44:E47)</f>
        <v/>
      </c>
      <c r="F48" s="189">
        <f>SUM(F44:F47)</f>
        <v/>
      </c>
      <c r="G48" s="68">
        <f>G44+G45+G46+G47</f>
        <v/>
      </c>
      <c r="H48" s="68">
        <f>H44+H45+H46+H47</f>
        <v/>
      </c>
      <c r="I48" s="68">
        <f>I44+I45+I46+I47</f>
        <v/>
      </c>
      <c r="J48" s="68">
        <f>J44+J45+J46+J47</f>
        <v/>
      </c>
      <c r="K48" s="68">
        <f>K44+K45+K46+K47</f>
        <v/>
      </c>
      <c r="L48" s="68">
        <f>L44+L45+L46+L47</f>
        <v/>
      </c>
      <c r="M48" s="68">
        <f>M44+M45+M46+M47</f>
        <v/>
      </c>
      <c r="N48" s="68">
        <f>N44+N45+N46+N47</f>
        <v/>
      </c>
      <c r="O48" s="68">
        <f>O44+O45+O46+O47</f>
        <v/>
      </c>
      <c r="P48" s="68">
        <f>P44+P45+P46+P47</f>
        <v/>
      </c>
      <c r="Q48" s="68">
        <f>Q44+Q45+Q46+Q47</f>
        <v/>
      </c>
      <c r="R48" s="68">
        <f>R44+R45+R46+R47</f>
        <v/>
      </c>
    </row>
    <row r="49">
      <c r="A49" s="208" t="inlineStr">
        <is>
          <t>Long-Term Debt</t>
        </is>
      </c>
      <c r="B49" s="11">
        <f>B109</f>
        <v/>
      </c>
      <c r="C49" s="11">
        <f>C109</f>
        <v/>
      </c>
      <c r="D49" s="11">
        <f>D109</f>
        <v/>
      </c>
      <c r="E49" s="11">
        <f>E109</f>
        <v/>
      </c>
      <c r="F49" s="11">
        <f>F109</f>
        <v/>
      </c>
      <c r="G49" s="214">
        <f>G42*'Forecasting Assumptions'!G46</f>
        <v/>
      </c>
      <c r="H49" s="68">
        <f>H42*'Forecasting Assumptions'!H46</f>
        <v/>
      </c>
      <c r="I49" s="68">
        <f>I42*'Forecasting Assumptions'!I46</f>
        <v/>
      </c>
      <c r="J49" s="68">
        <f>J42*'Forecasting Assumptions'!J46</f>
        <v/>
      </c>
      <c r="K49" s="68">
        <f>K42*'Forecasting Assumptions'!K46</f>
        <v/>
      </c>
      <c r="L49" s="68">
        <f>L42*'Forecasting Assumptions'!L46</f>
        <v/>
      </c>
      <c r="M49" s="68">
        <f>M42*'Forecasting Assumptions'!M46</f>
        <v/>
      </c>
      <c r="N49" s="68">
        <f>N42*'Forecasting Assumptions'!N46</f>
        <v/>
      </c>
      <c r="O49" s="68">
        <f>O42*'Forecasting Assumptions'!O46</f>
        <v/>
      </c>
      <c r="P49" s="68">
        <f>P42*'Forecasting Assumptions'!P46</f>
        <v/>
      </c>
      <c r="Q49" s="68">
        <f>Q42*'Forecasting Assumptions'!Q46</f>
        <v/>
      </c>
      <c r="R49" s="68">
        <f>R42*'Forecasting Assumptions'!R46</f>
        <v/>
      </c>
    </row>
    <row r="50">
      <c r="A50" s="208" t="inlineStr">
        <is>
          <t>Other Liabilities</t>
        </is>
      </c>
      <c r="B50" s="11">
        <f>B110</f>
        <v/>
      </c>
      <c r="C50" s="11">
        <f>C110</f>
        <v/>
      </c>
      <c r="D50" s="11">
        <f>D110</f>
        <v/>
      </c>
      <c r="E50" s="11">
        <f>E110</f>
        <v/>
      </c>
      <c r="F50" s="11">
        <f>F110</f>
        <v/>
      </c>
      <c r="G50" s="214">
        <f>G12*'Forecasting Assumptions'!G42</f>
        <v/>
      </c>
      <c r="H50" s="68">
        <f>H12*'Forecasting Assumptions'!H42</f>
        <v/>
      </c>
      <c r="I50" s="68">
        <f>I12*'Forecasting Assumptions'!I42</f>
        <v/>
      </c>
      <c r="J50" s="68">
        <f>J12*'Forecasting Assumptions'!J42</f>
        <v/>
      </c>
      <c r="K50" s="68">
        <f>K12*'Forecasting Assumptions'!K42</f>
        <v/>
      </c>
      <c r="L50" s="68">
        <f>L12*'Forecasting Assumptions'!L42</f>
        <v/>
      </c>
      <c r="M50" s="68">
        <f>M12*'Forecasting Assumptions'!M42</f>
        <v/>
      </c>
      <c r="N50" s="68">
        <f>N12*'Forecasting Assumptions'!N42</f>
        <v/>
      </c>
      <c r="O50" s="68">
        <f>O12*'Forecasting Assumptions'!O42</f>
        <v/>
      </c>
      <c r="P50" s="68">
        <f>P12*'Forecasting Assumptions'!P42</f>
        <v/>
      </c>
      <c r="Q50" s="68">
        <f>Q12*'Forecasting Assumptions'!Q42</f>
        <v/>
      </c>
      <c r="R50" s="68">
        <f>R12*'Forecasting Assumptions'!R42</f>
        <v/>
      </c>
    </row>
    <row r="51">
      <c r="A51" s="208" t="inlineStr">
        <is>
          <t>Deferred Taxes</t>
        </is>
      </c>
      <c r="B51" s="11">
        <f>B111</f>
        <v/>
      </c>
      <c r="C51" s="11">
        <f>C111</f>
        <v/>
      </c>
      <c r="D51" s="11">
        <f>D111</f>
        <v/>
      </c>
      <c r="E51" s="11">
        <f>E111</f>
        <v/>
      </c>
      <c r="F51" s="11">
        <f>F111</f>
        <v/>
      </c>
      <c r="G51" s="214">
        <f>G12*'Forecasting Assumptions'!G43</f>
        <v/>
      </c>
      <c r="H51" s="68">
        <f>H12*'Forecasting Assumptions'!H43</f>
        <v/>
      </c>
      <c r="I51" s="68">
        <f>I12*'Forecasting Assumptions'!I43</f>
        <v/>
      </c>
      <c r="J51" s="68">
        <f>J12*'Forecasting Assumptions'!J43</f>
        <v/>
      </c>
      <c r="K51" s="68">
        <f>K12*'Forecasting Assumptions'!K43</f>
        <v/>
      </c>
      <c r="L51" s="68">
        <f>L12*'Forecasting Assumptions'!L43</f>
        <v/>
      </c>
      <c r="M51" s="68">
        <f>M12*'Forecasting Assumptions'!M43</f>
        <v/>
      </c>
      <c r="N51" s="68">
        <f>N12*'Forecasting Assumptions'!N43</f>
        <v/>
      </c>
      <c r="O51" s="68">
        <f>O12*'Forecasting Assumptions'!O43</f>
        <v/>
      </c>
      <c r="P51" s="68">
        <f>P12*'Forecasting Assumptions'!P43</f>
        <v/>
      </c>
      <c r="Q51" s="68">
        <f>Q12*'Forecasting Assumptions'!Q43</f>
        <v/>
      </c>
      <c r="R51" s="68">
        <f>R12*'Forecasting Assumptions'!R43</f>
        <v/>
      </c>
    </row>
    <row r="52">
      <c r="A52" s="208" t="inlineStr">
        <is>
          <t>Total Liabilities</t>
        </is>
      </c>
      <c r="B52" s="189">
        <f>SUM(B48:B51)</f>
        <v/>
      </c>
      <c r="C52" s="189">
        <f>SUM(C48:C51)</f>
        <v/>
      </c>
      <c r="D52" s="189">
        <f>SUM(D48:D51)</f>
        <v/>
      </c>
      <c r="E52" s="189">
        <f>SUM(E48:E51)</f>
        <v/>
      </c>
      <c r="F52" s="189">
        <f>SUM(F48:F51)</f>
        <v/>
      </c>
      <c r="G52" s="68">
        <f>SUM(G48:G51)</f>
        <v/>
      </c>
      <c r="H52" s="68">
        <f>SUM(H48:H51)</f>
        <v/>
      </c>
      <c r="I52" s="68">
        <f>SUM(I48:I51)</f>
        <v/>
      </c>
      <c r="J52" s="68">
        <f>SUM(J48:J51)</f>
        <v/>
      </c>
      <c r="K52" s="68">
        <f>SUM(K48:K51)</f>
        <v/>
      </c>
      <c r="L52" s="68">
        <f>SUM(L48:L51)</f>
        <v/>
      </c>
      <c r="M52" s="68">
        <f>SUM(M48:M51)</f>
        <v/>
      </c>
      <c r="N52" s="68">
        <f>SUM(N48:N51)</f>
        <v/>
      </c>
      <c r="O52" s="68">
        <f>SUM(O48:O51)</f>
        <v/>
      </c>
      <c r="P52" s="68">
        <f>SUM(P48:P51)</f>
        <v/>
      </c>
      <c r="Q52" s="68">
        <f>SUM(Q48:Q51)</f>
        <v/>
      </c>
      <c r="R52" s="68">
        <f>SUM(R48:R51)</f>
        <v/>
      </c>
    </row>
    <row r="53">
      <c r="A53" s="208" t="inlineStr">
        <is>
          <t>Noncontrolling Interest</t>
        </is>
      </c>
      <c r="B53" s="11">
        <f>B112</f>
        <v/>
      </c>
      <c r="C53" s="11">
        <f>C112</f>
        <v/>
      </c>
      <c r="D53" s="11">
        <f>D112</f>
        <v/>
      </c>
      <c r="E53" s="11">
        <f>E112</f>
        <v/>
      </c>
      <c r="F53" s="11">
        <f>F112</f>
        <v/>
      </c>
      <c r="G53" s="214">
        <f>G42*'Forecasting Assumptions'!G47</f>
        <v/>
      </c>
      <c r="H53" s="68">
        <f>H42*'Forecasting Assumptions'!H47</f>
        <v/>
      </c>
      <c r="I53" s="68">
        <f>I42*'Forecasting Assumptions'!I47</f>
        <v/>
      </c>
      <c r="J53" s="68">
        <f>J42*'Forecasting Assumptions'!J47</f>
        <v/>
      </c>
      <c r="K53" s="68">
        <f>K42*'Forecasting Assumptions'!K47</f>
        <v/>
      </c>
      <c r="L53" s="68">
        <f>L42*'Forecasting Assumptions'!L47</f>
        <v/>
      </c>
      <c r="M53" s="68">
        <f>M42*'Forecasting Assumptions'!M47</f>
        <v/>
      </c>
      <c r="N53" s="68">
        <f>N42*'Forecasting Assumptions'!N47</f>
        <v/>
      </c>
      <c r="O53" s="68">
        <f>O42*'Forecasting Assumptions'!O47</f>
        <v/>
      </c>
      <c r="P53" s="68">
        <f>P42*'Forecasting Assumptions'!P47</f>
        <v/>
      </c>
      <c r="Q53" s="68">
        <f>Q42*'Forecasting Assumptions'!Q47</f>
        <v/>
      </c>
      <c r="R53" s="68">
        <f>R42*'Forecasting Assumptions'!R47</f>
        <v/>
      </c>
    </row>
    <row r="54">
      <c r="A54" s="208" t="inlineStr">
        <is>
          <t>Preferred Stock</t>
        </is>
      </c>
      <c r="B54" s="11">
        <f>B113</f>
        <v/>
      </c>
      <c r="C54" s="11">
        <f>C113</f>
        <v/>
      </c>
      <c r="D54" s="11">
        <f>D113</f>
        <v/>
      </c>
      <c r="E54" s="11">
        <f>E113</f>
        <v/>
      </c>
      <c r="F54" s="11">
        <f>F113</f>
        <v/>
      </c>
      <c r="G54" s="214">
        <f>G42*'Forecasting Assumptions'!G48</f>
        <v/>
      </c>
      <c r="H54" s="68">
        <f>H42*'Forecasting Assumptions'!H48</f>
        <v/>
      </c>
      <c r="I54" s="68">
        <f>I42*'Forecasting Assumptions'!I48</f>
        <v/>
      </c>
      <c r="J54" s="68">
        <f>J42*'Forecasting Assumptions'!J48</f>
        <v/>
      </c>
      <c r="K54" s="68">
        <f>K42*'Forecasting Assumptions'!K48</f>
        <v/>
      </c>
      <c r="L54" s="68">
        <f>L42*'Forecasting Assumptions'!L48</f>
        <v/>
      </c>
      <c r="M54" s="68">
        <f>M42*'Forecasting Assumptions'!M48</f>
        <v/>
      </c>
      <c r="N54" s="68">
        <f>N42*'Forecasting Assumptions'!N48</f>
        <v/>
      </c>
      <c r="O54" s="68">
        <f>O42*'Forecasting Assumptions'!O48</f>
        <v/>
      </c>
      <c r="P54" s="68">
        <f>P42*'Forecasting Assumptions'!P48</f>
        <v/>
      </c>
      <c r="Q54" s="68">
        <f>Q42*'Forecasting Assumptions'!Q48</f>
        <v/>
      </c>
      <c r="R54" s="68">
        <f>R42*'Forecasting Assumptions'!R48</f>
        <v/>
      </c>
    </row>
    <row r="55">
      <c r="A55" s="208" t="inlineStr">
        <is>
          <t>Paid in Common Capital (Net)</t>
        </is>
      </c>
      <c r="B55" s="11">
        <f>B114</f>
        <v/>
      </c>
      <c r="C55" s="11">
        <f>C114</f>
        <v/>
      </c>
      <c r="D55" s="11">
        <f>D114</f>
        <v/>
      </c>
      <c r="E55" s="11">
        <f>E114</f>
        <v/>
      </c>
      <c r="F55" s="11">
        <f>F114</f>
        <v/>
      </c>
      <c r="G55" s="214">
        <f>G57-G56</f>
        <v/>
      </c>
      <c r="H55" s="68">
        <f>H57-H56</f>
        <v/>
      </c>
      <c r="I55" s="68">
        <f>I57-I56</f>
        <v/>
      </c>
      <c r="J55" s="68">
        <f>J57-J56</f>
        <v/>
      </c>
      <c r="K55" s="68">
        <f>K57-K56</f>
        <v/>
      </c>
      <c r="L55" s="68">
        <f>L57-L56</f>
        <v/>
      </c>
      <c r="M55" s="68">
        <f>M57-M56</f>
        <v/>
      </c>
      <c r="N55" s="68">
        <f>N57-N56</f>
        <v/>
      </c>
      <c r="O55" s="68">
        <f>O57-O56</f>
        <v/>
      </c>
      <c r="P55" s="68">
        <f>P57-P56</f>
        <v/>
      </c>
      <c r="Q55" s="68">
        <f>Q57-Q56</f>
        <v/>
      </c>
      <c r="R55" s="68">
        <f>R57-R56</f>
        <v/>
      </c>
    </row>
    <row r="56">
      <c r="A56" s="208" t="inlineStr">
        <is>
          <t>Retained Earnings</t>
        </is>
      </c>
      <c r="B56" s="11">
        <f>B115</f>
        <v/>
      </c>
      <c r="C56" s="11">
        <f>C115</f>
        <v/>
      </c>
      <c r="D56" s="11">
        <f>D115</f>
        <v/>
      </c>
      <c r="E56" s="11">
        <f>E115</f>
        <v/>
      </c>
      <c r="F56" s="11">
        <f>F115</f>
        <v/>
      </c>
      <c r="G56" s="214">
        <f>G66</f>
        <v/>
      </c>
      <c r="H56" s="68">
        <f>H66</f>
        <v/>
      </c>
      <c r="I56" s="68">
        <f>I66</f>
        <v/>
      </c>
      <c r="J56" s="68">
        <f>J66</f>
        <v/>
      </c>
      <c r="K56" s="68">
        <f>K66</f>
        <v/>
      </c>
      <c r="L56" s="68">
        <f>L66</f>
        <v/>
      </c>
      <c r="M56" s="68">
        <f>M66</f>
        <v/>
      </c>
      <c r="N56" s="68">
        <f>N66</f>
        <v/>
      </c>
      <c r="O56" s="68">
        <f>O66</f>
        <v/>
      </c>
      <c r="P56" s="68">
        <f>P66</f>
        <v/>
      </c>
      <c r="Q56" s="68">
        <f>Q66</f>
        <v/>
      </c>
      <c r="R56" s="68">
        <f>R66</f>
        <v/>
      </c>
    </row>
    <row r="57">
      <c r="A57" s="208" t="inlineStr">
        <is>
          <t>Total Common Equity</t>
        </is>
      </c>
      <c r="B57" s="189">
        <f>SUM(B55:B56)</f>
        <v/>
      </c>
      <c r="C57" s="189">
        <f>SUM(C55:C56)</f>
        <v/>
      </c>
      <c r="D57" s="189">
        <f>SUM(D55:D56)</f>
        <v/>
      </c>
      <c r="E57" s="189">
        <f>SUM(E55:E56)</f>
        <v/>
      </c>
      <c r="F57" s="189">
        <f>SUM(F55:F56)</f>
        <v/>
      </c>
      <c r="G57" s="68">
        <f>G58-G52-G53-G54</f>
        <v/>
      </c>
      <c r="H57" s="68">
        <f>H58-H52-H53-H54</f>
        <v/>
      </c>
      <c r="I57" s="68">
        <f>I58-I52-I53-I54</f>
        <v/>
      </c>
      <c r="J57" s="68">
        <f>J58-J52-J53-J54</f>
        <v/>
      </c>
      <c r="K57" s="68">
        <f>K58-K52-K53-K54</f>
        <v/>
      </c>
      <c r="L57" s="68">
        <f>L58-L52-L53-L54</f>
        <v/>
      </c>
      <c r="M57" s="68">
        <f>M58-M52-M53-M54</f>
        <v/>
      </c>
      <c r="N57" s="68">
        <f>N58-N52-N53-N54</f>
        <v/>
      </c>
      <c r="O57" s="68">
        <f>O58-O52-O53-O54</f>
        <v/>
      </c>
      <c r="P57" s="68">
        <f>P58-P52-P53-P54</f>
        <v/>
      </c>
      <c r="Q57" s="68">
        <f>Q58-Q52-Q53-Q54</f>
        <v/>
      </c>
      <c r="R57" s="68">
        <f>R58-R52-R53-R54</f>
        <v/>
      </c>
    </row>
    <row r="58" ht="15.95" customHeight="1" s="16">
      <c r="A58" s="208" t="inlineStr">
        <is>
          <t>Total Liabilities and Equity</t>
        </is>
      </c>
      <c r="B58" s="190">
        <f>SUM(B52:B56)</f>
        <v/>
      </c>
      <c r="C58" s="190">
        <f>SUM(C52:C56)</f>
        <v/>
      </c>
      <c r="D58" s="190">
        <f>SUM(D52:D56)</f>
        <v/>
      </c>
      <c r="E58" s="190">
        <f>SUM(E52:E56)</f>
        <v/>
      </c>
      <c r="F58" s="190">
        <f>SUM(F52:F56)</f>
        <v/>
      </c>
      <c r="G58" s="219">
        <f>G42</f>
        <v/>
      </c>
      <c r="H58" s="219">
        <f>H42</f>
        <v/>
      </c>
      <c r="I58" s="219">
        <f>I42</f>
        <v/>
      </c>
      <c r="J58" s="219">
        <f>J42</f>
        <v/>
      </c>
      <c r="K58" s="219">
        <f>K42</f>
        <v/>
      </c>
      <c r="L58" s="219">
        <f>L42</f>
        <v/>
      </c>
      <c r="M58" s="219">
        <f>M42</f>
        <v/>
      </c>
      <c r="N58" s="219">
        <f>N42</f>
        <v/>
      </c>
      <c r="O58" s="219">
        <f>O42</f>
        <v/>
      </c>
      <c r="P58" s="219">
        <f>P42</f>
        <v/>
      </c>
      <c r="Q58" s="219">
        <f>Q42</f>
        <v/>
      </c>
      <c r="R58" s="219">
        <f>R42</f>
        <v/>
      </c>
    </row>
    <row r="59" ht="15.95" customHeight="1" s="16">
      <c r="A59" s="208" t="n"/>
      <c r="B59" s="206">
        <f>IF(B58=B42," ","Error! A =L+E?")</f>
        <v/>
      </c>
      <c r="C59" s="206">
        <f>IF(C58=C42," ","Error! A =L+E?")</f>
        <v/>
      </c>
      <c r="D59" s="206">
        <f>IF(D58=D42," ","Error! A =L+E?")</f>
        <v/>
      </c>
      <c r="E59" s="206">
        <f>IF(E58=E42," ","Error! A =L+E?")</f>
        <v/>
      </c>
      <c r="F59" s="206">
        <f>IF(F58=F42," ","Error! A =L+E?")</f>
        <v/>
      </c>
      <c r="G59" s="206">
        <f>IF(G58=G42," ","Error! A =L+E?")</f>
        <v/>
      </c>
      <c r="H59" s="206">
        <f>IF(H58=H42," ","Error! A =L+E?")</f>
        <v/>
      </c>
      <c r="I59" s="206">
        <f>IF(I58=I42," ","Error! A =L+E?")</f>
        <v/>
      </c>
      <c r="J59" s="206">
        <f>IF(J58=J42," ","Error! A =L+E?")</f>
        <v/>
      </c>
      <c r="K59" s="206">
        <f>IF(K58=K42," ","Error! A =L+E?")</f>
        <v/>
      </c>
      <c r="L59" s="206">
        <f>IF(L58=L42," ","Error! A =L+E?")</f>
        <v/>
      </c>
      <c r="M59" s="206">
        <f>IF(M58=M42," ","Error! A =L+E?")</f>
        <v/>
      </c>
      <c r="N59" s="206">
        <f>IF(N58=N42," ","Error! A =L+E?")</f>
        <v/>
      </c>
      <c r="O59" s="206">
        <f>IF(O58=O42," ","Error! A =L+E?")</f>
        <v/>
      </c>
      <c r="P59" s="206">
        <f>IF(P58=P42," ","Error! A =L+E?")</f>
        <v/>
      </c>
      <c r="Q59" s="206">
        <f>IF(Q58=Q42," ","Error! A =L+E?")</f>
        <v/>
      </c>
      <c r="R59" s="206">
        <f>IF(R58=R42," ","Error! A =L+E?")</f>
        <v/>
      </c>
    </row>
    <row r="60">
      <c r="A60" s="17" t="inlineStr">
        <is>
          <t>Statement of Retained Earnings</t>
        </is>
      </c>
      <c r="B60" s="207" t="n"/>
      <c r="C60" s="207" t="n"/>
      <c r="D60" s="207" t="n"/>
      <c r="E60" s="189" t="n"/>
      <c r="F60" s="189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</row>
    <row r="61">
      <c r="A61" s="17" t="n"/>
      <c r="B61" s="207" t="n"/>
      <c r="C61" s="207" t="n"/>
      <c r="D61" s="207" t="n"/>
      <c r="E61" s="189" t="n"/>
      <c r="F61" s="189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</row>
    <row r="62">
      <c r="A62" s="208" t="inlineStr">
        <is>
          <t>Beg. Retained Earnings</t>
        </is>
      </c>
      <c r="B62" s="189" t="n"/>
      <c r="C62" s="189">
        <f>B56</f>
        <v/>
      </c>
      <c r="D62" s="189">
        <f>C56</f>
        <v/>
      </c>
      <c r="E62" s="189">
        <f>D56</f>
        <v/>
      </c>
      <c r="F62" s="189">
        <f>E56</f>
        <v/>
      </c>
      <c r="G62" s="68">
        <f>F56</f>
        <v/>
      </c>
      <c r="H62" s="68">
        <f>G56</f>
        <v/>
      </c>
      <c r="I62" s="68">
        <f>H56</f>
        <v/>
      </c>
      <c r="J62" s="68">
        <f>I56</f>
        <v/>
      </c>
      <c r="K62" s="68">
        <f>J56</f>
        <v/>
      </c>
      <c r="L62" s="68">
        <f>K56</f>
        <v/>
      </c>
      <c r="M62" s="68">
        <f>L56</f>
        <v/>
      </c>
      <c r="N62" s="68">
        <f>M56</f>
        <v/>
      </c>
      <c r="O62" s="68">
        <f>N56</f>
        <v/>
      </c>
      <c r="P62" s="68">
        <f>O56</f>
        <v/>
      </c>
      <c r="Q62" s="68">
        <f>P56</f>
        <v/>
      </c>
      <c r="R62" s="68">
        <f>Q56</f>
        <v/>
      </c>
    </row>
    <row r="63">
      <c r="A63" s="237" t="inlineStr">
        <is>
          <t>+Net Income</t>
        </is>
      </c>
      <c r="B63" s="189" t="n"/>
      <c r="C63" s="189">
        <f>C29</f>
        <v/>
      </c>
      <c r="D63" s="189">
        <f>D29</f>
        <v/>
      </c>
      <c r="E63" s="189">
        <f>E29</f>
        <v/>
      </c>
      <c r="F63" s="189">
        <f>F29</f>
        <v/>
      </c>
      <c r="G63" s="68">
        <f>G29</f>
        <v/>
      </c>
      <c r="H63" s="68">
        <f>H29</f>
        <v/>
      </c>
      <c r="I63" s="68">
        <f>I29</f>
        <v/>
      </c>
      <c r="J63" s="68">
        <f>J29</f>
        <v/>
      </c>
      <c r="K63" s="68">
        <f>K29</f>
        <v/>
      </c>
      <c r="L63" s="68">
        <f>L29</f>
        <v/>
      </c>
      <c r="M63" s="68">
        <f>M29</f>
        <v/>
      </c>
      <c r="N63" s="68">
        <f>N29</f>
        <v/>
      </c>
      <c r="O63" s="68">
        <f>O29</f>
        <v/>
      </c>
      <c r="P63" s="68">
        <f>P29</f>
        <v/>
      </c>
      <c r="Q63" s="68">
        <f>Q29</f>
        <v/>
      </c>
      <c r="R63" s="68">
        <f>R29</f>
        <v/>
      </c>
    </row>
    <row r="64">
      <c r="A64" s="237" t="inlineStr">
        <is>
          <t>-Common Dividends</t>
        </is>
      </c>
      <c r="B64" s="11">
        <f>-B116</f>
        <v/>
      </c>
      <c r="C64" s="11">
        <f>-C116</f>
        <v/>
      </c>
      <c r="D64" s="11">
        <f>-D116</f>
        <v/>
      </c>
      <c r="E64" s="11">
        <f>-E116</f>
        <v/>
      </c>
      <c r="F64" s="11">
        <f>-F116</f>
        <v/>
      </c>
      <c r="G64" s="214">
        <f>-G29*'Forecasting Assumptions'!G49</f>
        <v/>
      </c>
      <c r="H64" s="68">
        <f>-H29*'Forecasting Assumptions'!H49</f>
        <v/>
      </c>
      <c r="I64" s="68">
        <f>-I29*'Forecasting Assumptions'!I49</f>
        <v/>
      </c>
      <c r="J64" s="68">
        <f>-J29*'Forecasting Assumptions'!J49</f>
        <v/>
      </c>
      <c r="K64" s="68">
        <f>-K29*'Forecasting Assumptions'!K49</f>
        <v/>
      </c>
      <c r="L64" s="68">
        <f>-L29*'Forecasting Assumptions'!L49</f>
        <v/>
      </c>
      <c r="M64" s="68">
        <f>-M29*'Forecasting Assumptions'!M49</f>
        <v/>
      </c>
      <c r="N64" s="68">
        <f>-N29*'Forecasting Assumptions'!N49</f>
        <v/>
      </c>
      <c r="O64" s="68">
        <f>-O29*'Forecasting Assumptions'!O49</f>
        <v/>
      </c>
      <c r="P64" s="68">
        <f>-P29*'Forecasting Assumptions'!P49</f>
        <v/>
      </c>
      <c r="Q64" s="68">
        <f>-Q29*'Forecasting Assumptions'!Q49</f>
        <v/>
      </c>
      <c r="R64" s="68">
        <f>-R29*'Forecasting Assumptions'!R49</f>
        <v/>
      </c>
    </row>
    <row r="65">
      <c r="A65" s="237" t="inlineStr">
        <is>
          <t>+/-Clean Surplus Plug (Ignore)</t>
        </is>
      </c>
      <c r="B65" s="189" t="n"/>
      <c r="C65" s="189">
        <f>C66-C62-C63-C64</f>
        <v/>
      </c>
      <c r="D65" s="189">
        <f>D66-D62-D63-D64</f>
        <v/>
      </c>
      <c r="E65" s="189">
        <f>E66-E62-E63-E64</f>
        <v/>
      </c>
      <c r="F65" s="189">
        <f>F66-F62-F63-F64</f>
        <v/>
      </c>
      <c r="G65" s="68" t="n">
        <v>0</v>
      </c>
      <c r="H65" s="68" t="n">
        <v>0</v>
      </c>
      <c r="I65" s="68" t="n">
        <v>0</v>
      </c>
      <c r="J65" s="68" t="n">
        <v>0</v>
      </c>
      <c r="K65" s="68" t="n">
        <v>0</v>
      </c>
      <c r="L65" s="68" t="n">
        <v>0</v>
      </c>
      <c r="M65" s="68" t="n">
        <v>0</v>
      </c>
      <c r="N65" s="68" t="n">
        <v>0</v>
      </c>
      <c r="O65" s="68" t="n">
        <v>0</v>
      </c>
      <c r="P65" s="68" t="n">
        <v>0</v>
      </c>
      <c r="Q65" s="68" t="n">
        <v>0</v>
      </c>
      <c r="R65" s="68" t="n">
        <v>0</v>
      </c>
    </row>
    <row r="66" ht="13.5" customHeight="1" s="16">
      <c r="A66" s="237" t="inlineStr">
        <is>
          <t>=End. Retained Earnings</t>
        </is>
      </c>
      <c r="B66" s="190" t="n"/>
      <c r="C66" s="190">
        <f>C56</f>
        <v/>
      </c>
      <c r="D66" s="190">
        <f>D56</f>
        <v/>
      </c>
      <c r="E66" s="190">
        <f>E56</f>
        <v/>
      </c>
      <c r="F66" s="190">
        <f>F56</f>
        <v/>
      </c>
      <c r="G66" s="219">
        <f>G62+G63+G64+G65</f>
        <v/>
      </c>
      <c r="H66" s="219">
        <f>H62+H63+H64+H65</f>
        <v/>
      </c>
      <c r="I66" s="219">
        <f>I62+I63+I64+I65</f>
        <v/>
      </c>
      <c r="J66" s="219">
        <f>J62+J63+J64+J65</f>
        <v/>
      </c>
      <c r="K66" s="219">
        <f>K62+K63+K64+K65</f>
        <v/>
      </c>
      <c r="L66" s="219">
        <f>L62+L63+L64+L65</f>
        <v/>
      </c>
      <c r="M66" s="219">
        <f>M62+M63+M64+M65</f>
        <v/>
      </c>
      <c r="N66" s="219">
        <f>N62+N63+N64+N65</f>
        <v/>
      </c>
      <c r="O66" s="219">
        <f>O62+O63+O64+O65</f>
        <v/>
      </c>
      <c r="P66" s="219">
        <f>P62+P63+P64+P65</f>
        <v/>
      </c>
      <c r="Q66" s="219">
        <f>Q62+Q63+Q64+Q65</f>
        <v/>
      </c>
      <c r="R66" s="219">
        <f>R62+R63+R64+R65</f>
        <v/>
      </c>
    </row>
    <row r="67" ht="15.95" customHeight="1" s="16">
      <c r="A67" s="205" t="n"/>
    </row>
    <row r="69">
      <c r="A69" s="17" t="inlineStr">
        <is>
          <t>Values for Dupont Analysis and Valuation</t>
        </is>
      </c>
    </row>
    <row r="70">
      <c r="A70" s="17" t="n"/>
    </row>
    <row r="71">
      <c r="A71" t="inlineStr">
        <is>
          <t>Net Operating Income</t>
        </is>
      </c>
      <c r="B71" s="189">
        <f>B73-B72</f>
        <v/>
      </c>
      <c r="C71" s="189">
        <f>C73-C72</f>
        <v/>
      </c>
      <c r="D71" s="189">
        <f>D73-D72</f>
        <v/>
      </c>
      <c r="E71" s="189">
        <f>E73-E72</f>
        <v/>
      </c>
      <c r="F71" s="189">
        <f>F73-F72</f>
        <v/>
      </c>
      <c r="G71" s="68">
        <f>G73-G72</f>
        <v/>
      </c>
      <c r="H71" s="68">
        <f>H73-H72</f>
        <v/>
      </c>
      <c r="I71" s="68">
        <f>I73-I72</f>
        <v/>
      </c>
      <c r="J71" s="68">
        <f>J73-J72</f>
        <v/>
      </c>
      <c r="K71" s="68">
        <f>K73-K72</f>
        <v/>
      </c>
      <c r="L71" s="68">
        <f>L73-L72</f>
        <v/>
      </c>
      <c r="M71" s="68">
        <f>M73-M72</f>
        <v/>
      </c>
      <c r="N71" s="68">
        <f>N73-N72</f>
        <v/>
      </c>
      <c r="O71" s="68">
        <f>O73-O72</f>
        <v/>
      </c>
      <c r="P71" s="68">
        <f>P73-P72</f>
        <v/>
      </c>
      <c r="Q71" s="68">
        <f>Q73-Q72</f>
        <v/>
      </c>
      <c r="R71" s="68">
        <f>R73-R72</f>
        <v/>
      </c>
    </row>
    <row r="72">
      <c r="A72" t="inlineStr">
        <is>
          <t>Net Financial Expense</t>
        </is>
      </c>
      <c r="B72" s="189">
        <f>B20*(1-B74)+B28+B27</f>
        <v/>
      </c>
      <c r="C72" s="189">
        <f>C20*(1-C74)+C28+C27</f>
        <v/>
      </c>
      <c r="D72" s="189">
        <f>D20*(1-D74)+D28+D27</f>
        <v/>
      </c>
      <c r="E72" s="189">
        <f>E20*(1-E74)+E28+E27</f>
        <v/>
      </c>
      <c r="F72" s="189">
        <f>F20*(1-F74)+F28+F27</f>
        <v/>
      </c>
      <c r="G72" s="68">
        <f>G20*(1-G74)+G28+G27</f>
        <v/>
      </c>
      <c r="H72" s="68">
        <f>H20*(1-H74)+H28+H27</f>
        <v/>
      </c>
      <c r="I72" s="68">
        <f>I20*(1-I74)+I28+I27</f>
        <v/>
      </c>
      <c r="J72" s="68">
        <f>J20*(1-J74)+J28+J27</f>
        <v/>
      </c>
      <c r="K72" s="68">
        <f>K20*(1-K74)+K28+K27</f>
        <v/>
      </c>
      <c r="L72" s="68">
        <f>L20*(1-L74)+L28+L27</f>
        <v/>
      </c>
      <c r="M72" s="68">
        <f>M20*(1-M74)+M28+M27</f>
        <v/>
      </c>
      <c r="N72" s="68">
        <f>N20*(1-N74)+N28+N27</f>
        <v/>
      </c>
      <c r="O72" s="68">
        <f>O20*(1-O74)+O28+O27</f>
        <v/>
      </c>
      <c r="P72" s="68">
        <f>P20*(1-P74)+P28+P27</f>
        <v/>
      </c>
      <c r="Q72" s="68">
        <f>Q20*(1-Q74)+Q28+Q27</f>
        <v/>
      </c>
      <c r="R72" s="68">
        <f>R20*(1-R74)+R28+R27</f>
        <v/>
      </c>
    </row>
    <row r="73">
      <c r="A73" t="inlineStr">
        <is>
          <t>Net Income</t>
        </is>
      </c>
      <c r="B73" s="189">
        <f>B29</f>
        <v/>
      </c>
      <c r="C73" s="189">
        <f>C29</f>
        <v/>
      </c>
      <c r="D73" s="189">
        <f>D29</f>
        <v/>
      </c>
      <c r="E73" s="189">
        <f>E29</f>
        <v/>
      </c>
      <c r="F73" s="189">
        <f>F29</f>
        <v/>
      </c>
      <c r="G73" s="68">
        <f>G29</f>
        <v/>
      </c>
      <c r="H73" s="68">
        <f>H29</f>
        <v/>
      </c>
      <c r="I73" s="68">
        <f>I29</f>
        <v/>
      </c>
      <c r="J73" s="68">
        <f>J29</f>
        <v/>
      </c>
      <c r="K73" s="68">
        <f>K29</f>
        <v/>
      </c>
      <c r="L73" s="68">
        <f>L29</f>
        <v/>
      </c>
      <c r="M73" s="68">
        <f>M29</f>
        <v/>
      </c>
      <c r="N73" s="68">
        <f>N29</f>
        <v/>
      </c>
      <c r="O73" s="68">
        <f>O29</f>
        <v/>
      </c>
      <c r="P73" s="68">
        <f>P29</f>
        <v/>
      </c>
      <c r="Q73" s="68">
        <f>Q29</f>
        <v/>
      </c>
      <c r="R73" s="68">
        <f>R29</f>
        <v/>
      </c>
    </row>
    <row r="74">
      <c r="A74" t="inlineStr">
        <is>
          <t>Effective Tax Rate</t>
        </is>
      </c>
      <c r="B74" s="250">
        <f>-B23/B22</f>
        <v/>
      </c>
      <c r="C74" s="250">
        <f>-C23/C22</f>
        <v/>
      </c>
      <c r="D74" s="250">
        <f>-D23/D22</f>
        <v/>
      </c>
      <c r="E74" s="250">
        <f>-E23/E22</f>
        <v/>
      </c>
      <c r="F74" s="250">
        <f>-F23/F22</f>
        <v/>
      </c>
      <c r="G74" s="251">
        <f>-G23/G22</f>
        <v/>
      </c>
      <c r="H74" s="251">
        <f>-H23/H22</f>
        <v/>
      </c>
      <c r="I74" s="251">
        <f>-I23/I22</f>
        <v/>
      </c>
      <c r="J74" s="251">
        <f>-J23/J22</f>
        <v/>
      </c>
      <c r="K74" s="251">
        <f>-K23/K22</f>
        <v/>
      </c>
      <c r="L74" s="251">
        <f>-L23/L22</f>
        <v/>
      </c>
      <c r="M74" s="251">
        <f>-M23/M22</f>
        <v/>
      </c>
      <c r="N74" s="251">
        <f>-N23/N22</f>
        <v/>
      </c>
      <c r="O74" s="251">
        <f>-O23/O22</f>
        <v/>
      </c>
      <c r="P74" s="251">
        <f>-P23/P22</f>
        <v/>
      </c>
      <c r="Q74" s="251">
        <f>-Q23/Q22</f>
        <v/>
      </c>
      <c r="R74" s="251">
        <f>-R23/R22</f>
        <v/>
      </c>
    </row>
    <row r="75">
      <c r="A75" t="inlineStr">
        <is>
          <t>Net Operating Assets</t>
        </is>
      </c>
      <c r="B75" s="189">
        <f>B77+B76</f>
        <v/>
      </c>
      <c r="C75" s="189">
        <f>C77+C76</f>
        <v/>
      </c>
      <c r="D75" s="189">
        <f>D77+D76</f>
        <v/>
      </c>
      <c r="E75" s="189">
        <f>E77+E76</f>
        <v/>
      </c>
      <c r="F75" s="189">
        <f>F77+F76</f>
        <v/>
      </c>
      <c r="G75" s="68">
        <f>G77+G76</f>
        <v/>
      </c>
      <c r="H75" s="68">
        <f>H77+H76</f>
        <v/>
      </c>
      <c r="I75" s="68">
        <f>I77+I76</f>
        <v/>
      </c>
      <c r="J75" s="68">
        <f>J77+J76</f>
        <v/>
      </c>
      <c r="K75" s="68">
        <f>K77+K76</f>
        <v/>
      </c>
      <c r="L75" s="68">
        <f>L77+L76</f>
        <v/>
      </c>
      <c r="M75" s="68">
        <f>M77+M76</f>
        <v/>
      </c>
      <c r="N75" s="68">
        <f>N77+N76</f>
        <v/>
      </c>
      <c r="O75" s="68">
        <f>O77+O76</f>
        <v/>
      </c>
      <c r="P75" s="68">
        <f>P77+P76</f>
        <v/>
      </c>
      <c r="Q75" s="68">
        <f>Q77+Q76</f>
        <v/>
      </c>
      <c r="R75" s="68">
        <f>R77+R76</f>
        <v/>
      </c>
    </row>
    <row r="76">
      <c r="A76" t="inlineStr">
        <is>
          <t>Net Financial Obligations</t>
        </is>
      </c>
      <c r="B76" s="189">
        <f>B44+B49+B54+B53</f>
        <v/>
      </c>
      <c r="C76" s="189">
        <f>C44+C49+C54+C53</f>
        <v/>
      </c>
      <c r="D76" s="189">
        <f>D44+D49+D54+D53</f>
        <v/>
      </c>
      <c r="E76" s="189">
        <f>E44+E49+E54+E53</f>
        <v/>
      </c>
      <c r="F76" s="189">
        <f>F44+F49+F54+F53</f>
        <v/>
      </c>
      <c r="G76" s="68">
        <f>G44+G49+G54+G53</f>
        <v/>
      </c>
      <c r="H76" s="68">
        <f>H44+H49+H54+H53</f>
        <v/>
      </c>
      <c r="I76" s="68">
        <f>I44+I49+I54+I53</f>
        <v/>
      </c>
      <c r="J76" s="68">
        <f>J44+J49+J54+J53</f>
        <v/>
      </c>
      <c r="K76" s="68">
        <f>K44+K49+K54+K53</f>
        <v/>
      </c>
      <c r="L76" s="68">
        <f>L44+L49+L54+L53</f>
        <v/>
      </c>
      <c r="M76" s="68">
        <f>M44+M49+M54+M53</f>
        <v/>
      </c>
      <c r="N76" s="68">
        <f>N44+N49+N54+N53</f>
        <v/>
      </c>
      <c r="O76" s="68">
        <f>O44+O49+O54+O53</f>
        <v/>
      </c>
      <c r="P76" s="68">
        <f>P44+P49+P54+P53</f>
        <v/>
      </c>
      <c r="Q76" s="68">
        <f>Q44+Q49+Q54+Q53</f>
        <v/>
      </c>
      <c r="R76" s="68">
        <f>R44+R49+R54+R53</f>
        <v/>
      </c>
    </row>
    <row r="77">
      <c r="A77" t="inlineStr">
        <is>
          <t>Total Common Equity</t>
        </is>
      </c>
      <c r="B77" s="189">
        <f>B57</f>
        <v/>
      </c>
      <c r="C77" s="189">
        <f>C57</f>
        <v/>
      </c>
      <c r="D77" s="189">
        <f>D57</f>
        <v/>
      </c>
      <c r="E77" s="189">
        <f>E57</f>
        <v/>
      </c>
      <c r="F77" s="189">
        <f>F57</f>
        <v/>
      </c>
      <c r="G77" s="68">
        <f>G57</f>
        <v/>
      </c>
      <c r="H77" s="68">
        <f>H57</f>
        <v/>
      </c>
      <c r="I77" s="68">
        <f>I57</f>
        <v/>
      </c>
      <c r="J77" s="68">
        <f>J57</f>
        <v/>
      </c>
      <c r="K77" s="68">
        <f>K57</f>
        <v/>
      </c>
      <c r="L77" s="68">
        <f>L57</f>
        <v/>
      </c>
      <c r="M77" s="68">
        <f>M57</f>
        <v/>
      </c>
      <c r="N77" s="68">
        <f>N57</f>
        <v/>
      </c>
      <c r="O77" s="68">
        <f>O57</f>
        <v/>
      </c>
      <c r="P77" s="68">
        <f>P57</f>
        <v/>
      </c>
      <c r="Q77" s="68">
        <f>Q57</f>
        <v/>
      </c>
      <c r="R77" s="68">
        <f>R57</f>
        <v/>
      </c>
    </row>
    <row r="80">
      <c r="A80" s="17" t="inlineStr">
        <is>
          <t>Raw Data Inputs</t>
        </is>
      </c>
      <c r="B80" s="17" t="inlineStr">
        <is>
          <t>cut-and-paste raw data block from DataMaker file here</t>
        </is>
      </c>
    </row>
    <row r="82">
      <c r="A82" t="inlineStr">
        <is>
          <t>Company Name and Ticker</t>
        </is>
      </c>
      <c r="B82" s="11" t="inlineStr">
        <is>
          <t>Zoom Communications, Inc. ZM</t>
        </is>
      </c>
      <c r="C82" s="11" t="n"/>
      <c r="D82" s="11" t="inlineStr">
        <is>
          <t>DLTR</t>
        </is>
      </c>
      <c r="E82" s="252" t="n"/>
      <c r="F82" s="252" t="n">
        <v>5331</v>
      </c>
      <c r="G82" s="225" t="inlineStr">
        <is>
          <t>A Windows vs Macintosh issue can cause the fiscal year end dates to be off by roughly 4 years.  If this occurs, select and copy the 1462 cell below, select the cells with the dates, choose Paste Special Values and select Subtract or Add.</t>
        </is>
      </c>
    </row>
    <row r="83">
      <c r="A83" t="inlineStr">
        <is>
          <t>Common Shares Outstanding</t>
        </is>
      </c>
      <c r="B83" s="11" t="n"/>
      <c r="C83" s="11" t="n"/>
      <c r="D83" s="11" t="n"/>
      <c r="E83" s="11" t="n"/>
      <c r="F83" s="11" t="n"/>
      <c r="G83" s="253" t="n"/>
    </row>
    <row r="84" ht="15.95" customHeight="1" s="16">
      <c r="A84" s="106" t="inlineStr">
        <is>
          <t>Fiscal Year End (YYYY-MM-DD)</t>
        </is>
      </c>
      <c r="B84" s="254" t="n">
        <v>44560</v>
      </c>
      <c r="C84" s="254" t="n">
        <v>42034</v>
      </c>
      <c r="D84" s="254" t="n">
        <v>42399</v>
      </c>
      <c r="E84" s="254" t="n">
        <v>42765</v>
      </c>
      <c r="F84" s="254" t="n">
        <v>43130</v>
      </c>
      <c r="G84" s="253" t="n"/>
    </row>
    <row r="85">
      <c r="A85" t="inlineStr">
        <is>
          <t>Sales (Net)</t>
        </is>
      </c>
      <c r="B85" s="11" t="n">
        <v>4665.433</v>
      </c>
      <c r="C85" s="11" t="n">
        <v>22823300</v>
      </c>
      <c r="D85" s="11" t="n">
        <v>23610800</v>
      </c>
      <c r="E85" s="11" t="n">
        <v>25509300</v>
      </c>
      <c r="F85" s="11" t="n">
        <v>26321200</v>
      </c>
      <c r="G85" s="253" t="n"/>
    </row>
    <row r="86">
      <c r="A86" t="inlineStr">
        <is>
          <t>Cost of Goods Sold</t>
        </is>
      </c>
      <c r="B86" s="11" t="n"/>
      <c r="C86" s="11" t="n">
        <v>-15875800</v>
      </c>
      <c r="D86" s="11" t="n">
        <v>-16570100</v>
      </c>
      <c r="E86" s="11" t="n">
        <v>-17721900</v>
      </c>
      <c r="F86" s="11" t="n">
        <v>-18595300</v>
      </c>
    </row>
    <row r="87">
      <c r="A87" t="inlineStr">
        <is>
          <t>R&amp;D Expense</t>
        </is>
      </c>
      <c r="B87" s="11" t="n">
        <v>852.415</v>
      </c>
      <c r="C87" s="11" t="n">
        <v>0</v>
      </c>
      <c r="D87" s="11" t="n">
        <v>0</v>
      </c>
      <c r="E87" s="11" t="n">
        <v>0</v>
      </c>
      <c r="F87" s="11" t="n">
        <v>0</v>
      </c>
      <c r="G87" t="n">
        <v>1462</v>
      </c>
    </row>
    <row r="88">
      <c r="A88" t="inlineStr">
        <is>
          <t>SG&amp;A Expense</t>
        </is>
      </c>
      <c r="B88" s="11" t="n"/>
      <c r="C88" s="11" t="n">
        <v>-7887000</v>
      </c>
      <c r="D88" s="11" t="n">
        <v>-5778500</v>
      </c>
      <c r="E88" s="11" t="n">
        <v>-5899500</v>
      </c>
      <c r="F88" s="11" t="n">
        <v>-5914500</v>
      </c>
    </row>
    <row r="89">
      <c r="A89" t="inlineStr">
        <is>
          <t>Depreciation &amp; Amortization</t>
        </is>
      </c>
      <c r="B89" s="11" t="n"/>
      <c r="C89" s="11" t="n">
        <v>0</v>
      </c>
      <c r="D89" s="11" t="n">
        <v>0</v>
      </c>
      <c r="E89" s="11" t="n">
        <v>0</v>
      </c>
      <c r="F89" s="11" t="n">
        <v>0</v>
      </c>
    </row>
    <row r="90">
      <c r="A90" t="inlineStr">
        <is>
          <t>Interest Expense</t>
        </is>
      </c>
      <c r="B90" s="11" t="n"/>
      <c r="C90" s="11" t="n">
        <v>-370000</v>
      </c>
      <c r="D90" s="11" t="n">
        <v>-162100</v>
      </c>
      <c r="E90" s="11" t="n">
        <v>-147300</v>
      </c>
      <c r="F90" s="11" t="n">
        <v>-178900</v>
      </c>
    </row>
    <row r="91">
      <c r="A91" t="inlineStr">
        <is>
          <t>Non-Operating Income (Loss)</t>
        </is>
      </c>
      <c r="B91" s="11" t="n">
        <v>325.147</v>
      </c>
      <c r="C91" s="11" t="n">
        <v>500</v>
      </c>
      <c r="D91" s="11" t="n">
        <v>-1400</v>
      </c>
      <c r="E91" s="11" t="n">
        <v>-800</v>
      </c>
      <c r="F91" s="11" t="n">
        <v>-300</v>
      </c>
    </row>
    <row r="92">
      <c r="A92" t="inlineStr">
        <is>
          <t>Income Taxes</t>
        </is>
      </c>
      <c r="B92" s="11" t="n">
        <v>305.346</v>
      </c>
      <c r="C92" s="11" t="n">
        <v>-281800</v>
      </c>
      <c r="D92" s="11" t="n">
        <v>-271700</v>
      </c>
      <c r="E92" s="11" t="n">
        <v>-397900</v>
      </c>
      <c r="F92" s="11" t="n">
        <v>-304300</v>
      </c>
    </row>
    <row r="93">
      <c r="A93" t="inlineStr">
        <is>
          <t>Noncontrolling Interest in Earnings</t>
        </is>
      </c>
      <c r="B93" s="11" t="n"/>
      <c r="C93" s="11" t="n">
        <v>0</v>
      </c>
      <c r="D93" s="11" t="n">
        <v>0</v>
      </c>
      <c r="E93" s="11" t="n">
        <v>0</v>
      </c>
      <c r="F93" s="11" t="n">
        <v>0</v>
      </c>
    </row>
    <row r="94">
      <c r="A94" t="inlineStr">
        <is>
          <t>Other Income (Loss)</t>
        </is>
      </c>
      <c r="B94" s="11" t="n">
        <v>325.147</v>
      </c>
      <c r="C94" s="11" t="n">
        <v>0</v>
      </c>
      <c r="D94" s="11" t="n">
        <v>0</v>
      </c>
      <c r="E94" s="11" t="n">
        <v>0</v>
      </c>
      <c r="F94" s="11" t="n">
        <v>0</v>
      </c>
    </row>
    <row r="95">
      <c r="A95" t="inlineStr">
        <is>
          <t>Ext. Items &amp; Disc. Ops.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</row>
    <row r="96">
      <c r="A96" t="inlineStr">
        <is>
          <t>Preferred Dividends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</row>
    <row r="97">
      <c r="A97" t="inlineStr">
        <is>
          <t>Operating Cash and Market. Sec.</t>
        </is>
      </c>
      <c r="B97" s="11" t="n">
        <v>1097800</v>
      </c>
      <c r="C97" s="11" t="n">
        <v>446700</v>
      </c>
      <c r="D97" s="11" t="n">
        <v>586000</v>
      </c>
      <c r="E97" s="11" t="n">
        <v>1463600</v>
      </c>
      <c r="F97" s="11" t="n">
        <v>1038300</v>
      </c>
    </row>
    <row r="98">
      <c r="A98" t="inlineStr">
        <is>
          <t>Receivables</t>
        </is>
      </c>
      <c r="B98" s="11" t="n">
        <v>0</v>
      </c>
      <c r="C98" s="11" t="n">
        <v>100900</v>
      </c>
      <c r="D98" s="11" t="n">
        <v>0</v>
      </c>
      <c r="E98" s="11" t="n">
        <v>0</v>
      </c>
      <c r="F98" s="11" t="n">
        <v>0</v>
      </c>
    </row>
    <row r="99">
      <c r="A99" t="inlineStr">
        <is>
          <t>Inventories</t>
        </is>
      </c>
      <c r="B99" s="11" t="n">
        <v>3169300</v>
      </c>
      <c r="C99" s="11" t="n">
        <v>3536000</v>
      </c>
      <c r="D99" s="11" t="n">
        <v>3522000</v>
      </c>
      <c r="E99" s="11" t="n">
        <v>3427000</v>
      </c>
      <c r="F99" s="11" t="n">
        <v>4367300</v>
      </c>
    </row>
    <row r="100">
      <c r="A100" t="inlineStr">
        <is>
          <t>Other Current Assets</t>
        </is>
      </c>
      <c r="B100" s="11" t="n">
        <v>309200</v>
      </c>
      <c r="C100" s="11" t="n">
        <v>209700</v>
      </c>
      <c r="D100" s="11" t="n">
        <v>161400</v>
      </c>
      <c r="E100" s="11" t="n">
        <v>160200</v>
      </c>
      <c r="F100" s="11" t="n">
        <v>203600</v>
      </c>
    </row>
    <row r="101">
      <c r="A101" t="inlineStr">
        <is>
          <t>PP&amp;E (Net)</t>
        </is>
      </c>
      <c r="B101" s="11" t="n">
        <v>3200700</v>
      </c>
      <c r="C101" s="11" t="n">
        <v>3445300</v>
      </c>
      <c r="D101" s="11" t="n">
        <v>3881800</v>
      </c>
      <c r="E101" s="11" t="n">
        <v>4116300</v>
      </c>
      <c r="F101" s="11" t="n">
        <v>4477300</v>
      </c>
    </row>
    <row r="102">
      <c r="A102" t="inlineStr">
        <is>
          <t>Investments</t>
        </is>
      </c>
      <c r="B102" s="11" t="n">
        <v>0</v>
      </c>
      <c r="C102" s="11" t="n">
        <v>0</v>
      </c>
      <c r="D102" s="11" t="n">
        <v>0</v>
      </c>
      <c r="E102" s="11" t="n">
        <v>0</v>
      </c>
      <c r="F102" s="11" t="n">
        <v>0</v>
      </c>
    </row>
    <row r="103">
      <c r="A103" t="inlineStr">
        <is>
          <t>Intangibles</t>
        </is>
      </c>
      <c r="B103" s="11" t="n">
        <v>5025200</v>
      </c>
      <c r="C103" s="11" t="n">
        <v>5685300</v>
      </c>
      <c r="D103" s="11" t="n">
        <v>5083300</v>
      </c>
      <c r="E103" s="11" t="n">
        <v>5084400</v>
      </c>
      <c r="F103" s="11" t="n">
        <v>5084400</v>
      </c>
    </row>
    <row r="104">
      <c r="A104" t="inlineStr">
        <is>
          <t>Other Assets</t>
        </is>
      </c>
      <c r="B104" s="11" t="n">
        <v>3530600</v>
      </c>
      <c r="C104" s="11" t="n">
        <v>77300</v>
      </c>
      <c r="D104" s="11" t="n">
        <v>6340100</v>
      </c>
      <c r="E104" s="11" t="n">
        <v>6444500</v>
      </c>
      <c r="F104" s="11" t="n">
        <v>6550900</v>
      </c>
    </row>
    <row r="105">
      <c r="A105" t="inlineStr">
        <is>
          <t>Current Debt</t>
        </is>
      </c>
      <c r="B105" s="11" t="n">
        <v>915900</v>
      </c>
      <c r="C105" s="11" t="n">
        <v>0</v>
      </c>
      <c r="D105" s="11" t="n">
        <v>250000</v>
      </c>
      <c r="E105" s="11" t="n">
        <v>0</v>
      </c>
      <c r="F105" s="11" t="n">
        <v>0</v>
      </c>
    </row>
    <row r="106">
      <c r="A106" t="inlineStr">
        <is>
          <t>Accounts Payable</t>
        </is>
      </c>
      <c r="B106" s="11" t="n">
        <v>1174800</v>
      </c>
      <c r="C106" s="11" t="n">
        <v>1416400</v>
      </c>
      <c r="D106" s="11" t="n">
        <v>1336500</v>
      </c>
      <c r="E106" s="11" t="n">
        <v>1480500</v>
      </c>
      <c r="F106" s="11" t="n">
        <v>1884200</v>
      </c>
    </row>
    <row r="107">
      <c r="A107" t="inlineStr">
        <is>
          <t>Income Taxes Payable</t>
        </is>
      </c>
      <c r="B107" s="11" t="n">
        <v>31500</v>
      </c>
      <c r="C107" s="11" t="n">
        <v>60000</v>
      </c>
      <c r="D107" s="11" t="n">
        <v>62700</v>
      </c>
      <c r="E107" s="11" t="n">
        <v>86300</v>
      </c>
      <c r="F107" s="11" t="n">
        <v>82600</v>
      </c>
    </row>
    <row r="108">
      <c r="A108" t="inlineStr">
        <is>
          <t>Other Current Liabilities</t>
        </is>
      </c>
      <c r="B108" s="11" t="n">
        <v>736900</v>
      </c>
      <c r="C108" s="11" t="n">
        <v>619300</v>
      </c>
      <c r="D108" s="11" t="n">
        <v>1897300</v>
      </c>
      <c r="E108" s="11" t="n">
        <v>2163500</v>
      </c>
      <c r="F108" s="11" t="n">
        <v>2209800</v>
      </c>
    </row>
    <row r="109">
      <c r="A109" t="inlineStr">
        <is>
          <t>Long-Term Debt</t>
        </is>
      </c>
      <c r="B109" s="11" t="n">
        <v>4762100</v>
      </c>
      <c r="C109" s="11" t="n">
        <v>4265300</v>
      </c>
      <c r="D109" s="11" t="n">
        <v>3522200</v>
      </c>
      <c r="E109" s="11" t="n">
        <v>3226200</v>
      </c>
      <c r="F109" s="11" t="n">
        <v>3417000</v>
      </c>
    </row>
    <row r="110">
      <c r="A110" t="inlineStr">
        <is>
          <t>Other Liabilities</t>
        </is>
      </c>
      <c r="B110" s="11" t="n">
        <v>544100</v>
      </c>
      <c r="C110" s="11" t="n">
        <v>524100</v>
      </c>
      <c r="D110" s="11" t="n">
        <v>5266400</v>
      </c>
      <c r="E110" s="11" t="n">
        <v>5440700</v>
      </c>
      <c r="F110" s="11" t="n">
        <v>5422500</v>
      </c>
    </row>
    <row r="111">
      <c r="A111" t="inlineStr">
        <is>
          <t>Deferred Taxes</t>
        </is>
      </c>
      <c r="B111" s="11" t="n">
        <v>985200</v>
      </c>
      <c r="C111" s="11" t="n">
        <v>973200</v>
      </c>
      <c r="D111" s="11" t="n">
        <v>984700</v>
      </c>
      <c r="E111" s="11" t="n">
        <v>1013500</v>
      </c>
      <c r="F111" s="11" t="n">
        <v>987200</v>
      </c>
    </row>
    <row r="112">
      <c r="A112" s="208" t="inlineStr">
        <is>
          <t>Noncontrolling Interest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0</v>
      </c>
    </row>
    <row r="113">
      <c r="A113" t="inlineStr">
        <is>
          <t>Preferred Stock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</row>
    <row r="114">
      <c r="A114" t="inlineStr">
        <is>
          <t>Paid in Common Capital (Net)</t>
        </is>
      </c>
      <c r="B114" s="11" t="n">
        <v>2515400</v>
      </c>
      <c r="C114" s="11" t="n">
        <v>2566800</v>
      </c>
      <c r="D114" s="11" t="n">
        <v>2417000</v>
      </c>
      <c r="E114" s="11" t="n">
        <v>2105600</v>
      </c>
      <c r="F114" s="11" t="n">
        <v>1210900</v>
      </c>
    </row>
    <row r="115">
      <c r="A115" t="inlineStr">
        <is>
          <t>Retained Earnings</t>
        </is>
      </c>
      <c r="B115" s="11" t="n">
        <v>4666900</v>
      </c>
      <c r="C115" s="11" t="n">
        <v>3076100</v>
      </c>
      <c r="D115" s="11" t="n">
        <v>3837800</v>
      </c>
      <c r="E115" s="11" t="n">
        <v>5179700</v>
      </c>
      <c r="F115" s="11" t="n">
        <v>6507600</v>
      </c>
    </row>
    <row r="116">
      <c r="A116" t="inlineStr">
        <is>
          <t>Common Dividends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</row>
    <row r="119">
      <c r="A119" s="17" t="inlineStr">
        <is>
          <t>Industry Analysis</t>
        </is>
      </c>
      <c r="B119" s="220" t="inlineStr">
        <is>
          <t>Link to Financial Statements</t>
        </is>
      </c>
    </row>
    <row r="120">
      <c r="A120" s="17" t="n"/>
      <c r="B120" s="17" t="n"/>
    </row>
    <row r="121">
      <c r="A121" t="inlineStr">
        <is>
          <t>Sector (Fama-French 12 Industry)</t>
        </is>
      </c>
      <c r="B121">
        <f>VLOOKUP(E4,Master!$F$1:$I$445,2,FALSE)</f>
        <v/>
      </c>
    </row>
    <row r="122">
      <c r="A122" t="inlineStr">
        <is>
          <t>Industry (Fama-French 49 Industry)</t>
        </is>
      </c>
      <c r="B122">
        <f>VLOOKUP(E4,Master!$F$1:$I$445,3,FALSE)</f>
        <v/>
      </c>
    </row>
    <row r="123">
      <c r="A123" t="inlineStr">
        <is>
          <t>Sub-Industry (SEC SIC Code Title)</t>
        </is>
      </c>
      <c r="B123">
        <f>VLOOKUP(E4,Master!$F$1:$I$445,4,FALSE)</f>
        <v/>
      </c>
    </row>
    <row r="124">
      <c r="A124" s="106" t="n"/>
    </row>
    <row r="125">
      <c r="A125" t="inlineStr">
        <is>
          <t>Comparables (Same SIC Code)</t>
        </is>
      </c>
    </row>
    <row r="126">
      <c r="A126" s="223" t="inlineStr">
        <is>
          <t>Ticker</t>
        </is>
      </c>
      <c r="B126" s="223" t="inlineStr">
        <is>
          <t>Company Name</t>
        </is>
      </c>
    </row>
    <row r="127">
      <c r="A127">
        <f t="array" ref="A127:B137">_xlfn._xlws.FILTER(Master!B1:C4184,Master!D1:D4184='Financial Statements'!E4)</f>
        <v/>
      </c>
      <c r="B127" t="inlineStr">
        <is>
          <t>BIG LOTS INC</t>
        </is>
      </c>
    </row>
    <row r="128">
      <c r="A128" t="inlineStr">
        <is>
          <t>BJ</t>
        </is>
      </c>
      <c r="B128" t="inlineStr">
        <is>
          <t>BJ'S WHOLESALE CLUB HOLDINGS, INC.</t>
        </is>
      </c>
    </row>
    <row r="129">
      <c r="A129" t="inlineStr">
        <is>
          <t>COST</t>
        </is>
      </c>
      <c r="B129" t="inlineStr">
        <is>
          <t>COSTCO WHOLESALE CORP /NEW</t>
        </is>
      </c>
    </row>
    <row r="130">
      <c r="A130" t="inlineStr">
        <is>
          <t>DG</t>
        </is>
      </c>
      <c r="B130" t="inlineStr">
        <is>
          <t>DOLLAR GENERAL CORP</t>
        </is>
      </c>
    </row>
    <row r="131">
      <c r="A131" t="inlineStr">
        <is>
          <t>DLTR</t>
        </is>
      </c>
      <c r="B131" t="inlineStr">
        <is>
          <t>DOLLAR TREE, INC.</t>
        </is>
      </c>
    </row>
    <row r="132">
      <c r="A132" t="inlineStr">
        <is>
          <t>FIVE</t>
        </is>
      </c>
      <c r="B132" t="inlineStr">
        <is>
          <t>FIVE BELOW, INC</t>
        </is>
      </c>
    </row>
    <row r="133">
      <c r="A133" t="inlineStr">
        <is>
          <t>OLLI</t>
        </is>
      </c>
      <c r="B133" t="inlineStr">
        <is>
          <t>OLLIE'S BARGAIN OUTLET HOLDINGS, INC.</t>
        </is>
      </c>
    </row>
    <row r="134">
      <c r="A134" t="inlineStr">
        <is>
          <t>PSMT</t>
        </is>
      </c>
      <c r="B134" t="inlineStr">
        <is>
          <t>PRICESMART INC</t>
        </is>
      </c>
    </row>
    <row r="135">
      <c r="A135" t="inlineStr">
        <is>
          <t>TGT</t>
        </is>
      </c>
      <c r="B135" t="inlineStr">
        <is>
          <t>TARGET CORP</t>
        </is>
      </c>
    </row>
    <row r="136">
      <c r="A136" t="inlineStr">
        <is>
          <t>TUEM</t>
        </is>
      </c>
      <c r="B136" t="inlineStr">
        <is>
          <t>TUESDAY MORNING CORP/DE</t>
        </is>
      </c>
    </row>
    <row r="137">
      <c r="A137" t="inlineStr">
        <is>
          <t>WMT</t>
        </is>
      </c>
      <c r="B137" t="inlineStr">
        <is>
          <t>WALMART INC.</t>
        </is>
      </c>
    </row>
  </sheetData>
  <mergeCells count="3">
    <mergeCell ref="G82:I85"/>
    <mergeCell ref="B4:C4"/>
    <mergeCell ref="C1:F2"/>
  </mergeCells>
  <hyperlinks>
    <hyperlink ref="C3" location="A100" display="Jump to Raw Data Input"/>
    <hyperlink ref="F5" location="'Financial Statements'!A135" display="Link to Industry Comps"/>
    <hyperlink ref="B119" location="'Financial Statements'!A9" display="Link to Financial Statements"/>
  </hyperlinks>
  <pageMargins left="0.75" right="0.75" top="1" bottom="1" header="0.5" footer="0.5"/>
  <pageSetup orientation="portrait" paperSize="1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R72"/>
  <sheetViews>
    <sheetView zoomScale="125" zoomScaleNormal="125" workbookViewId="0">
      <pane xSplit="1" ySplit="7" topLeftCell="B8" activePane="bottomRight" state="frozenSplit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30357142857141" defaultRowHeight="15.2"/>
  <cols>
    <col width="29.5" customWidth="1" style="16" min="1" max="1"/>
    <col width="10.6607142857143" customWidth="1" style="16" min="2" max="18"/>
  </cols>
  <sheetData>
    <row r="1" ht="20.4" customFormat="1" customHeight="1" s="56">
      <c r="A1" s="163" t="inlineStr">
        <is>
          <t>Ratio Analysis</t>
        </is>
      </c>
      <c r="B1" s="164" t="n"/>
      <c r="C1" s="164" t="n"/>
      <c r="D1" s="164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</row>
    <row r="2" ht="18" customHeight="1" s="16">
      <c r="A2" s="138" t="n"/>
      <c r="B2" s="138" t="n"/>
      <c r="C2" s="138" t="n"/>
      <c r="D2" s="138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</row>
    <row r="3" ht="12.75" customHeight="1" s="16">
      <c r="A3" s="90" t="inlineStr">
        <is>
          <t xml:space="preserve"> </t>
        </is>
      </c>
      <c r="B3" s="90" t="n"/>
      <c r="C3" s="90" t="n"/>
      <c r="D3" s="90" t="n"/>
      <c r="E3" s="141" t="n"/>
      <c r="F3" s="141" t="n"/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</row>
    <row r="4">
      <c r="A4" s="17" t="inlineStr">
        <is>
          <t>Company Name</t>
        </is>
      </c>
      <c r="B4" s="61">
        <f>'Financial Statements'!B4</f>
        <v/>
      </c>
      <c r="C4" s="17" t="n"/>
      <c r="D4" s="17" t="n"/>
      <c r="E4" s="94" t="n"/>
      <c r="L4" s="161" t="n"/>
    </row>
    <row r="5">
      <c r="A5" s="17" t="n"/>
      <c r="B5" s="17" t="n"/>
      <c r="C5" s="17" t="n"/>
      <c r="D5" s="17" t="n"/>
      <c r="L5" s="161" t="n"/>
    </row>
    <row r="6">
      <c r="A6" s="17" t="n"/>
      <c r="B6" s="145" t="inlineStr">
        <is>
          <t>Actual</t>
        </is>
      </c>
      <c r="C6" s="145" t="inlineStr">
        <is>
          <t>Actual</t>
        </is>
      </c>
      <c r="D6" s="145" t="inlineStr">
        <is>
          <t>Actual</t>
        </is>
      </c>
      <c r="E6" s="145" t="inlineStr">
        <is>
          <t>Actual</t>
        </is>
      </c>
      <c r="F6" s="145" t="inlineStr">
        <is>
          <t>Actual</t>
        </is>
      </c>
      <c r="G6" s="191" t="inlineStr">
        <is>
          <t>Forecast</t>
        </is>
      </c>
      <c r="H6" s="191" t="inlineStr">
        <is>
          <t>Forecast</t>
        </is>
      </c>
      <c r="I6" s="191" t="inlineStr">
        <is>
          <t>Forecast</t>
        </is>
      </c>
      <c r="J6" s="191" t="inlineStr">
        <is>
          <t>Forecast</t>
        </is>
      </c>
      <c r="K6" s="191" t="inlineStr">
        <is>
          <t>Forecast</t>
        </is>
      </c>
      <c r="L6" s="191" t="inlineStr">
        <is>
          <t>Forecast</t>
        </is>
      </c>
      <c r="M6" s="191" t="inlineStr">
        <is>
          <t>Forecast</t>
        </is>
      </c>
      <c r="N6" s="191" t="inlineStr">
        <is>
          <t>Forecast</t>
        </is>
      </c>
      <c r="O6" s="191" t="inlineStr">
        <is>
          <t>Forecast</t>
        </is>
      </c>
      <c r="P6" s="191" t="inlineStr">
        <is>
          <t>Forecast</t>
        </is>
      </c>
      <c r="Q6" s="191" t="inlineStr">
        <is>
          <t>Forecast</t>
        </is>
      </c>
      <c r="R6" s="191" t="inlineStr">
        <is>
          <t>Forecast</t>
        </is>
      </c>
    </row>
    <row r="7" ht="15.95" customHeight="1" s="16">
      <c r="A7" s="17" t="inlineStr">
        <is>
          <t>Fiscal Year End Date</t>
        </is>
      </c>
      <c r="B7" s="255">
        <f>'Financial Statements'!B8</f>
        <v/>
      </c>
      <c r="C7" s="255">
        <f>'Financial Statements'!C8</f>
        <v/>
      </c>
      <c r="D7" s="255">
        <f>'Financial Statements'!D8</f>
        <v/>
      </c>
      <c r="E7" s="255">
        <f>'Financial Statements'!E8</f>
        <v/>
      </c>
      <c r="F7" s="255">
        <f>'Financial Statements'!F8</f>
        <v/>
      </c>
      <c r="G7" s="249">
        <f>'Financial Statements'!G8</f>
        <v/>
      </c>
      <c r="H7" s="249">
        <f>'Financial Statements'!H8</f>
        <v/>
      </c>
      <c r="I7" s="249">
        <f>'Financial Statements'!I8</f>
        <v/>
      </c>
      <c r="J7" s="249">
        <f>'Financial Statements'!J8</f>
        <v/>
      </c>
      <c r="K7" s="249">
        <f>'Financial Statements'!K8</f>
        <v/>
      </c>
      <c r="L7" s="249">
        <f>'Financial Statements'!L8</f>
        <v/>
      </c>
      <c r="M7" s="249">
        <f>'Financial Statements'!M8</f>
        <v/>
      </c>
      <c r="N7" s="249">
        <f>'Financial Statements'!N8</f>
        <v/>
      </c>
      <c r="O7" s="249">
        <f>'Financial Statements'!O8</f>
        <v/>
      </c>
      <c r="P7" s="249">
        <f>'Financial Statements'!P8</f>
        <v/>
      </c>
      <c r="Q7" s="249">
        <f>'Financial Statements'!Q8</f>
        <v/>
      </c>
      <c r="R7" s="249">
        <f>'Financial Statements'!R8</f>
        <v/>
      </c>
    </row>
    <row r="9">
      <c r="A9" s="100" t="inlineStr">
        <is>
          <t>Annual Growth Rates</t>
        </is>
      </c>
      <c r="B9" s="17" t="n"/>
      <c r="C9" s="17" t="n"/>
      <c r="D9" s="17" t="n"/>
    </row>
    <row r="10">
      <c r="A10" t="inlineStr">
        <is>
          <t>Sales</t>
        </is>
      </c>
      <c r="B10" s="256" t="n"/>
      <c r="C10" s="256">
        <f>'Financial Statements'!C12/'Financial Statements'!B12-1</f>
        <v/>
      </c>
      <c r="D10" s="256">
        <f>'Financial Statements'!D12/'Financial Statements'!C12-1</f>
        <v/>
      </c>
      <c r="E10" s="256">
        <f>'Financial Statements'!E12/'Financial Statements'!D12-1</f>
        <v/>
      </c>
      <c r="F10" s="256">
        <f>'Financial Statements'!F12/'Financial Statements'!E12-1</f>
        <v/>
      </c>
      <c r="G10" s="257">
        <f>'Financial Statements'!G12/'Financial Statements'!F12-1</f>
        <v/>
      </c>
      <c r="H10" s="257">
        <f>'Financial Statements'!H12/'Financial Statements'!G12-1</f>
        <v/>
      </c>
      <c r="I10" s="257">
        <f>'Financial Statements'!I12/'Financial Statements'!H12-1</f>
        <v/>
      </c>
      <c r="J10" s="257">
        <f>'Financial Statements'!J12/'Financial Statements'!I12-1</f>
        <v/>
      </c>
      <c r="K10" s="257">
        <f>'Financial Statements'!K12/'Financial Statements'!J12-1</f>
        <v/>
      </c>
      <c r="L10" s="257">
        <f>'Financial Statements'!L12/'Financial Statements'!K12-1</f>
        <v/>
      </c>
      <c r="M10" s="257">
        <f>'Financial Statements'!M12/'Financial Statements'!L12-1</f>
        <v/>
      </c>
      <c r="N10" s="257">
        <f>'Financial Statements'!N12/'Financial Statements'!M12-1</f>
        <v/>
      </c>
      <c r="O10" s="257">
        <f>'Financial Statements'!O12/'Financial Statements'!N12-1</f>
        <v/>
      </c>
      <c r="P10" s="257">
        <f>'Financial Statements'!P12/'Financial Statements'!O12-1</f>
        <v/>
      </c>
      <c r="Q10" s="257">
        <f>'Financial Statements'!Q12/'Financial Statements'!P12-1</f>
        <v/>
      </c>
      <c r="R10" s="257">
        <f>'Financial Statements'!R12/'Financial Statements'!Q12-1</f>
        <v/>
      </c>
    </row>
    <row r="11">
      <c r="A11" t="inlineStr">
        <is>
          <t>Assets</t>
        </is>
      </c>
      <c r="B11" s="256" t="n"/>
      <c r="C11" s="256">
        <f>IF('Financial Statements'!B42&lt;=0,#N/A,'Financial Statements'!C42/'Financial Statements'!B42-1)</f>
        <v/>
      </c>
      <c r="D11" s="256">
        <f>IF('Financial Statements'!C42&lt;=0,#N/A,'Financial Statements'!D42/'Financial Statements'!C42-1)</f>
        <v/>
      </c>
      <c r="E11" s="256">
        <f>IF('Financial Statements'!D42&lt;=0,#N/A,'Financial Statements'!E42/'Financial Statements'!D42-1)</f>
        <v/>
      </c>
      <c r="F11" s="256">
        <f>IF('Financial Statements'!E42&lt;=0,#N/A,'Financial Statements'!F42/'Financial Statements'!E42-1)</f>
        <v/>
      </c>
      <c r="G11" s="257">
        <f>IF('Financial Statements'!F42&lt;=0,#N/A,'Financial Statements'!G42/'Financial Statements'!F42-1)</f>
        <v/>
      </c>
      <c r="H11" s="257">
        <f>IF('Financial Statements'!G42&lt;=0,#N/A,'Financial Statements'!H42/'Financial Statements'!G42-1)</f>
        <v/>
      </c>
      <c r="I11" s="257">
        <f>IF('Financial Statements'!H42&lt;=0,#N/A,'Financial Statements'!I42/'Financial Statements'!H42-1)</f>
        <v/>
      </c>
      <c r="J11" s="257">
        <f>IF('Financial Statements'!I42&lt;=0,#N/A,'Financial Statements'!J42/'Financial Statements'!I42-1)</f>
        <v/>
      </c>
      <c r="K11" s="257">
        <f>IF('Financial Statements'!J42&lt;=0,#N/A,'Financial Statements'!K42/'Financial Statements'!J42-1)</f>
        <v/>
      </c>
      <c r="L11" s="257">
        <f>IF('Financial Statements'!K42&lt;=0,#N/A,'Financial Statements'!L42/'Financial Statements'!K42-1)</f>
        <v/>
      </c>
      <c r="M11" s="257">
        <f>IF('Financial Statements'!L42&lt;=0,#N/A,'Financial Statements'!M42/'Financial Statements'!L42-1)</f>
        <v/>
      </c>
      <c r="N11" s="257">
        <f>IF('Financial Statements'!M42&lt;=0,#N/A,'Financial Statements'!N42/'Financial Statements'!M42-1)</f>
        <v/>
      </c>
      <c r="O11" s="257">
        <f>IF('Financial Statements'!N42&lt;=0,#N/A,'Financial Statements'!O42/'Financial Statements'!N42-1)</f>
        <v/>
      </c>
      <c r="P11" s="257">
        <f>IF('Financial Statements'!O42&lt;=0,#N/A,'Financial Statements'!P42/'Financial Statements'!O42-1)</f>
        <v/>
      </c>
      <c r="Q11" s="257">
        <f>IF('Financial Statements'!P42&lt;=0,#N/A,'Financial Statements'!Q42/'Financial Statements'!P42-1)</f>
        <v/>
      </c>
      <c r="R11" s="257">
        <f>IF('Financial Statements'!Q42&lt;=0,#N/A,'Financial Statements'!R42/'Financial Statements'!Q42-1)</f>
        <v/>
      </c>
    </row>
    <row r="12">
      <c r="A12" t="inlineStr">
        <is>
          <t>Common Equity</t>
        </is>
      </c>
      <c r="B12" s="256" t="n"/>
      <c r="C12" s="256">
        <f>IF('Financial Statements'!B57&lt;=0,#N/A,'Financial Statements'!C57/'Financial Statements'!B57-1)</f>
        <v/>
      </c>
      <c r="D12" s="256">
        <f>IF('Financial Statements'!C57&lt;=0,#N/A,'Financial Statements'!D57/'Financial Statements'!C57-1)</f>
        <v/>
      </c>
      <c r="E12" s="256">
        <f>IF('Financial Statements'!D57&lt;=0,#N/A,'Financial Statements'!E57/'Financial Statements'!D57-1)</f>
        <v/>
      </c>
      <c r="F12" s="256">
        <f>IF('Financial Statements'!E57&lt;=0,#N/A,'Financial Statements'!F57/'Financial Statements'!E57-1)</f>
        <v/>
      </c>
      <c r="G12" s="257">
        <f>IF('Financial Statements'!F57&lt;=0,#N/A,'Financial Statements'!G57/'Financial Statements'!F57-1)</f>
        <v/>
      </c>
      <c r="H12" s="257">
        <f>IF('Financial Statements'!G57&lt;=0,#N/A,'Financial Statements'!H57/'Financial Statements'!G57-1)</f>
        <v/>
      </c>
      <c r="I12" s="257">
        <f>IF('Financial Statements'!H57&lt;=0,#N/A,'Financial Statements'!I57/'Financial Statements'!H57-1)</f>
        <v/>
      </c>
      <c r="J12" s="257">
        <f>IF('Financial Statements'!I57&lt;=0,#N/A,'Financial Statements'!J57/'Financial Statements'!I57-1)</f>
        <v/>
      </c>
      <c r="K12" s="257">
        <f>IF('Financial Statements'!J57&lt;=0,#N/A,'Financial Statements'!K57/'Financial Statements'!J57-1)</f>
        <v/>
      </c>
      <c r="L12" s="257">
        <f>IF('Financial Statements'!K57&lt;=0,#N/A,'Financial Statements'!L57/'Financial Statements'!K57-1)</f>
        <v/>
      </c>
      <c r="M12" s="257">
        <f>IF('Financial Statements'!L57&lt;=0,#N/A,'Financial Statements'!M57/'Financial Statements'!L57-1)</f>
        <v/>
      </c>
      <c r="N12" s="257">
        <f>IF('Financial Statements'!M57&lt;=0,#N/A,'Financial Statements'!N57/'Financial Statements'!M57-1)</f>
        <v/>
      </c>
      <c r="O12" s="257">
        <f>IF('Financial Statements'!N57&lt;=0,#N/A,'Financial Statements'!O57/'Financial Statements'!N57-1)</f>
        <v/>
      </c>
      <c r="P12" s="257">
        <f>IF('Financial Statements'!O57&lt;=0,#N/A,'Financial Statements'!P57/'Financial Statements'!O57-1)</f>
        <v/>
      </c>
      <c r="Q12" s="257">
        <f>IF('Financial Statements'!P57&lt;=0,#N/A,'Financial Statements'!Q57/'Financial Statements'!P57-1)</f>
        <v/>
      </c>
      <c r="R12" s="257">
        <f>IF('Financial Statements'!Q57&lt;=0,#N/A,'Financial Statements'!R57/'Financial Statements'!Q57-1)</f>
        <v/>
      </c>
    </row>
    <row r="13">
      <c r="A13" t="inlineStr">
        <is>
          <t>Earnings</t>
        </is>
      </c>
      <c r="B13" s="256" t="n"/>
      <c r="C13" s="256">
        <f>IF('Financial Statements'!B29&lt;=0,#N/A,'Financial Statements'!C29/'Financial Statements'!B29-1)</f>
        <v/>
      </c>
      <c r="D13" s="256">
        <f>IF('Financial Statements'!C29&lt;=0,#N/A,'Financial Statements'!D29/'Financial Statements'!C29-1)</f>
        <v/>
      </c>
      <c r="E13" s="256">
        <f>IF('Financial Statements'!D29&lt;=0,#N/A,'Financial Statements'!E29/'Financial Statements'!D29-1)</f>
        <v/>
      </c>
      <c r="F13" s="256">
        <f>IF('Financial Statements'!E29&lt;=0,#N/A,'Financial Statements'!F29/'Financial Statements'!E29-1)</f>
        <v/>
      </c>
      <c r="G13" s="257">
        <f>IF('Financial Statements'!F29&lt;=0,#N/A,'Financial Statements'!G29/'Financial Statements'!F29-1)</f>
        <v/>
      </c>
      <c r="H13" s="257">
        <f>IF('Financial Statements'!G29&lt;=0,#N/A,'Financial Statements'!H29/'Financial Statements'!G29-1)</f>
        <v/>
      </c>
      <c r="I13" s="257">
        <f>IF('Financial Statements'!H29&lt;=0,#N/A,'Financial Statements'!I29/'Financial Statements'!H29-1)</f>
        <v/>
      </c>
      <c r="J13" s="257">
        <f>IF('Financial Statements'!I29&lt;=0,#N/A,'Financial Statements'!J29/'Financial Statements'!I29-1)</f>
        <v/>
      </c>
      <c r="K13" s="257">
        <f>IF('Financial Statements'!J29&lt;=0,#N/A,'Financial Statements'!K29/'Financial Statements'!J29-1)</f>
        <v/>
      </c>
      <c r="L13" s="257">
        <f>IF('Financial Statements'!K29&lt;=0,#N/A,'Financial Statements'!L29/'Financial Statements'!K29-1)</f>
        <v/>
      </c>
      <c r="M13" s="257">
        <f>IF('Financial Statements'!L29&lt;=0,#N/A,'Financial Statements'!M29/'Financial Statements'!L29-1)</f>
        <v/>
      </c>
      <c r="N13" s="257">
        <f>IF('Financial Statements'!M29&lt;=0,#N/A,'Financial Statements'!N29/'Financial Statements'!M29-1)</f>
        <v/>
      </c>
      <c r="O13" s="257">
        <f>IF('Financial Statements'!N29&lt;=0,#N/A,'Financial Statements'!O29/'Financial Statements'!N29-1)</f>
        <v/>
      </c>
      <c r="P13" s="257">
        <f>IF('Financial Statements'!O29&lt;=0,#N/A,'Financial Statements'!P29/'Financial Statements'!O29-1)</f>
        <v/>
      </c>
      <c r="Q13" s="257">
        <f>IF('Financial Statements'!P29&lt;=0,#N/A,'Financial Statements'!Q29/'Financial Statements'!P29-1)</f>
        <v/>
      </c>
      <c r="R13" s="257">
        <f>IF('Financial Statements'!Q29&lt;=0,#N/A,'Financial Statements'!R29/'Financial Statements'!Q29-1)</f>
        <v/>
      </c>
    </row>
    <row r="14">
      <c r="A14" t="inlineStr">
        <is>
          <t>Free Cash Flow to Investors</t>
        </is>
      </c>
      <c r="B14" s="258" t="n"/>
      <c r="C14" s="256" t="n"/>
      <c r="D14" s="256">
        <f>IF('Cash Flow Analysis'!B116&lt;=0,#N/A,'Cash Flow Analysis'!C116/'Cash Flow Analysis'!B116-1)</f>
        <v/>
      </c>
      <c r="E14" s="256">
        <f>IF('Cash Flow Analysis'!C116&lt;=0,#N/A,'Cash Flow Analysis'!D116/'Cash Flow Analysis'!C116-1)</f>
        <v/>
      </c>
      <c r="F14" s="256">
        <f>IF('Cash Flow Analysis'!D116&lt;=0,#N/A,'Cash Flow Analysis'!E116/'Cash Flow Analysis'!D116-1)</f>
        <v/>
      </c>
      <c r="G14" s="257">
        <f>IF('Cash Flow Analysis'!E116&lt;=0,#N/A,'Cash Flow Analysis'!F116/'Cash Flow Analysis'!E116-1)</f>
        <v/>
      </c>
      <c r="H14" s="257">
        <f>IF('Cash Flow Analysis'!F116&lt;=0,#N/A,'Cash Flow Analysis'!G116/'Cash Flow Analysis'!F116-1)</f>
        <v/>
      </c>
      <c r="I14" s="257">
        <f>IF('Cash Flow Analysis'!G116&lt;=0,#N/A,'Cash Flow Analysis'!H116/'Cash Flow Analysis'!G116-1)</f>
        <v/>
      </c>
      <c r="J14" s="257">
        <f>IF('Cash Flow Analysis'!H116&lt;=0,#N/A,'Cash Flow Analysis'!I116/'Cash Flow Analysis'!H116-1)</f>
        <v/>
      </c>
      <c r="K14" s="257">
        <f>IF('Cash Flow Analysis'!I116&lt;=0,#N/A,'Cash Flow Analysis'!J116/'Cash Flow Analysis'!I116-1)</f>
        <v/>
      </c>
      <c r="L14" s="257">
        <f>IF('Cash Flow Analysis'!J116&lt;=0,#N/A,'Cash Flow Analysis'!K116/'Cash Flow Analysis'!J116-1)</f>
        <v/>
      </c>
      <c r="M14" s="257">
        <f>IF('Cash Flow Analysis'!K116&lt;=0,#N/A,'Cash Flow Analysis'!L116/'Cash Flow Analysis'!K116-1)</f>
        <v/>
      </c>
      <c r="N14" s="257">
        <f>IF('Cash Flow Analysis'!L116&lt;=0,#N/A,'Cash Flow Analysis'!M116/'Cash Flow Analysis'!L116-1)</f>
        <v/>
      </c>
      <c r="O14" s="257">
        <f>IF('Cash Flow Analysis'!M116&lt;=0,#N/A,'Cash Flow Analysis'!N116/'Cash Flow Analysis'!M116-1)</f>
        <v/>
      </c>
      <c r="P14" s="257">
        <f>IF('Cash Flow Analysis'!N116&lt;=0,#N/A,'Cash Flow Analysis'!O116/'Cash Flow Analysis'!N116-1)</f>
        <v/>
      </c>
      <c r="Q14" s="257">
        <f>IF('Cash Flow Analysis'!O116&lt;=0,#N/A,'Cash Flow Analysis'!P116/'Cash Flow Analysis'!O116-1)</f>
        <v/>
      </c>
      <c r="R14" s="257">
        <f>IF('Cash Flow Analysis'!P116&lt;=0,#N/A,'Cash Flow Analysis'!Q116/'Cash Flow Analysis'!P116-1)</f>
        <v/>
      </c>
    </row>
    <row r="15">
      <c r="A15" t="inlineStr">
        <is>
          <t>Sustainable Growth Rate</t>
        </is>
      </c>
      <c r="B15" s="258" t="n"/>
      <c r="C15" s="256" t="n"/>
      <c r="D15" s="256">
        <f>D19*(1-'Forecasting Assumptions'!D49)</f>
        <v/>
      </c>
      <c r="E15" s="256">
        <f>E19*(1-'Forecasting Assumptions'!E49)</f>
        <v/>
      </c>
      <c r="F15" s="256">
        <f>F19*(1-'Forecasting Assumptions'!F49)</f>
        <v/>
      </c>
      <c r="G15" s="257">
        <f>G19*(1-'Forecasting Assumptions'!G49)</f>
        <v/>
      </c>
      <c r="H15" s="257">
        <f>H19*(1-'Forecasting Assumptions'!H49)</f>
        <v/>
      </c>
      <c r="I15" s="257">
        <f>I19*(1-'Forecasting Assumptions'!I49)</f>
        <v/>
      </c>
      <c r="J15" s="257">
        <f>J19*(1-'Forecasting Assumptions'!J49)</f>
        <v/>
      </c>
      <c r="K15" s="257">
        <f>K19*(1-'Forecasting Assumptions'!K49)</f>
        <v/>
      </c>
      <c r="L15" s="257">
        <f>L19*(1-'Forecasting Assumptions'!L49)</f>
        <v/>
      </c>
      <c r="M15" s="257">
        <f>M19*(1-'Forecasting Assumptions'!M49)</f>
        <v/>
      </c>
      <c r="N15" s="257">
        <f>N19*(1-'Forecasting Assumptions'!N49)</f>
        <v/>
      </c>
      <c r="O15" s="257">
        <f>O19*(1-'Forecasting Assumptions'!O49)</f>
        <v/>
      </c>
      <c r="P15" s="257">
        <f>P19*(1-'Forecasting Assumptions'!P49)</f>
        <v/>
      </c>
      <c r="Q15" s="257">
        <f>Q19*(1-'Forecasting Assumptions'!Q49)</f>
        <v/>
      </c>
      <c r="R15" s="257">
        <f>R19*(1-'Forecasting Assumptions'!R49)</f>
        <v/>
      </c>
    </row>
    <row r="16">
      <c r="B16" s="258" t="n"/>
      <c r="C16" s="256" t="n"/>
      <c r="D16" s="256" t="n"/>
      <c r="E16" s="256" t="n"/>
      <c r="F16" s="256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</row>
    <row r="17">
      <c r="B17" s="61" t="n"/>
      <c r="C17" s="61" t="n"/>
      <c r="D17" s="61" t="n"/>
      <c r="E17" s="61" t="n"/>
      <c r="F17" s="258" t="n"/>
      <c r="G17" s="259" t="n"/>
      <c r="H17" s="259" t="n"/>
      <c r="I17" s="259" t="n"/>
      <c r="J17" s="259" t="n"/>
      <c r="K17" s="259" t="n"/>
      <c r="L17" s="259" t="n"/>
      <c r="M17" s="259" t="n"/>
      <c r="N17" s="259" t="n"/>
      <c r="O17" s="259" t="n"/>
      <c r="P17" s="259" t="n"/>
      <c r="Q17" s="259" t="n"/>
      <c r="R17" s="259" t="n"/>
    </row>
    <row r="18">
      <c r="A18" s="100" t="inlineStr">
        <is>
          <t>Profitability</t>
        </is>
      </c>
      <c r="B18" s="150" t="n"/>
      <c r="C18" s="150" t="n"/>
      <c r="D18" s="150" t="n"/>
      <c r="E18" s="61" t="n"/>
      <c r="F18" s="258" t="n"/>
      <c r="G18" s="259" t="n"/>
      <c r="H18" s="259" t="n"/>
      <c r="I18" s="259" t="n"/>
      <c r="J18" s="259" t="n"/>
      <c r="K18" s="259" t="n"/>
      <c r="L18" s="259" t="n"/>
      <c r="M18" s="259" t="n"/>
      <c r="N18" s="259" t="n"/>
      <c r="O18" s="259" t="n"/>
      <c r="P18" s="259" t="n"/>
      <c r="Q18" s="259" t="n"/>
      <c r="R18" s="259" t="n"/>
    </row>
    <row r="19">
      <c r="A19" t="inlineStr">
        <is>
          <t>Return on Equity</t>
        </is>
      </c>
      <c r="B19" s="258" t="n"/>
      <c r="C19" s="258">
        <f>'Financial Statements'!C73/(('Financial Statements'!B77+'Financial Statements'!C77)/2)</f>
        <v/>
      </c>
      <c r="D19" s="258">
        <f>'Financial Statements'!D73/(('Financial Statements'!C77+'Financial Statements'!D77)/2)</f>
        <v/>
      </c>
      <c r="E19" s="258">
        <f>'Financial Statements'!E73/(('Financial Statements'!D77+'Financial Statements'!E77)/2)</f>
        <v/>
      </c>
      <c r="F19" s="258">
        <f>'Financial Statements'!F73/(('Financial Statements'!E77+'Financial Statements'!F77)/2)</f>
        <v/>
      </c>
      <c r="G19" s="259">
        <f>'Financial Statements'!G73/(('Financial Statements'!F77+'Financial Statements'!G77)/2)</f>
        <v/>
      </c>
      <c r="H19" s="259">
        <f>'Financial Statements'!H73/(('Financial Statements'!G77+'Financial Statements'!H77)/2)</f>
        <v/>
      </c>
      <c r="I19" s="259">
        <f>'Financial Statements'!I73/(('Financial Statements'!H77+'Financial Statements'!I77)/2)</f>
        <v/>
      </c>
      <c r="J19" s="259">
        <f>'Financial Statements'!J73/(('Financial Statements'!I77+'Financial Statements'!J77)/2)</f>
        <v/>
      </c>
      <c r="K19" s="259">
        <f>'Financial Statements'!K73/(('Financial Statements'!J77+'Financial Statements'!K77)/2)</f>
        <v/>
      </c>
      <c r="L19" s="259">
        <f>'Financial Statements'!L73/(('Financial Statements'!K77+'Financial Statements'!L77)/2)</f>
        <v/>
      </c>
      <c r="M19" s="259">
        <f>'Financial Statements'!M73/(('Financial Statements'!L77+'Financial Statements'!M77)/2)</f>
        <v/>
      </c>
      <c r="N19" s="259">
        <f>'Financial Statements'!N73/(('Financial Statements'!M77+'Financial Statements'!N77)/2)</f>
        <v/>
      </c>
      <c r="O19" s="259">
        <f>'Financial Statements'!O73/(('Financial Statements'!N77+'Financial Statements'!O77)/2)</f>
        <v/>
      </c>
      <c r="P19" s="259">
        <f>'Financial Statements'!P73/(('Financial Statements'!O77+'Financial Statements'!P77)/2)</f>
        <v/>
      </c>
      <c r="Q19" s="259">
        <f>'Financial Statements'!Q73/(('Financial Statements'!P77+'Financial Statements'!Q77)/2)</f>
        <v/>
      </c>
      <c r="R19" s="259">
        <f>'Financial Statements'!R73/(('Financial Statements'!Q77+'Financial Statements'!R77)/2)</f>
        <v/>
      </c>
    </row>
    <row r="20">
      <c r="A20" t="inlineStr">
        <is>
          <t>Return on Equity (b4 non-recurring)</t>
        </is>
      </c>
      <c r="B20" s="61" t="n"/>
      <c r="C20" s="258">
        <f>('Financial Statements'!C29-'Financial Statements'!C26-'Financial Statements'!C24-((IF('Financial Statements'!C22=0,0,('Financial Statements'!C22+'Financial Statements'!C23)/'Financial Statements'!C22))*'Financial Statements'!C21))/(('Financial Statements'!B77+'Financial Statements'!C77)/2)</f>
        <v/>
      </c>
      <c r="D20" s="258">
        <f>('Financial Statements'!D29-'Financial Statements'!D26-'Financial Statements'!D24-((IF('Financial Statements'!D22=0,0,('Financial Statements'!D22+'Financial Statements'!D23)/'Financial Statements'!D22))*'Financial Statements'!D21))/(('Financial Statements'!C77+'Financial Statements'!D77)/2)</f>
        <v/>
      </c>
      <c r="E20" s="258">
        <f>('Financial Statements'!E29-'Financial Statements'!E26-'Financial Statements'!E24-((IF('Financial Statements'!E22=0,0,('Financial Statements'!E22+'Financial Statements'!E23)/'Financial Statements'!E22))*'Financial Statements'!E21))/(('Financial Statements'!D77+'Financial Statements'!E77)/2)</f>
        <v/>
      </c>
      <c r="F20" s="258">
        <f>('Financial Statements'!F29-'Financial Statements'!F26-'Financial Statements'!F24-((IF('Financial Statements'!F22=0,0,('Financial Statements'!F22+'Financial Statements'!F23)/'Financial Statements'!F22))*'Financial Statements'!F21))/(('Financial Statements'!E77+'Financial Statements'!F77)/2)</f>
        <v/>
      </c>
      <c r="G20" s="259">
        <f>('Financial Statements'!G29-'Financial Statements'!G26-'Financial Statements'!G24-((IF('Financial Statements'!G22=0,0,('Financial Statements'!G22+'Financial Statements'!G23)/'Financial Statements'!G22))*'Financial Statements'!G21))/(('Financial Statements'!F77+'Financial Statements'!G77)/2)</f>
        <v/>
      </c>
      <c r="H20" s="259">
        <f>('Financial Statements'!H29-'Financial Statements'!H26-'Financial Statements'!H24-((IF('Financial Statements'!H22=0,0,('Financial Statements'!H22+'Financial Statements'!H23)/'Financial Statements'!H22))*'Financial Statements'!H21))/(('Financial Statements'!G77+'Financial Statements'!H77)/2)</f>
        <v/>
      </c>
      <c r="I20" s="259">
        <f>('Financial Statements'!I29-'Financial Statements'!I26-'Financial Statements'!I24-((IF('Financial Statements'!I22=0,0,('Financial Statements'!I22+'Financial Statements'!I23)/'Financial Statements'!I22))*'Financial Statements'!I21))/(('Financial Statements'!H77+'Financial Statements'!I77)/2)</f>
        <v/>
      </c>
      <c r="J20" s="259">
        <f>('Financial Statements'!J29-'Financial Statements'!J26-'Financial Statements'!J24-((IF('Financial Statements'!J22=0,0,('Financial Statements'!J22+'Financial Statements'!J23)/'Financial Statements'!J22))*'Financial Statements'!J21))/(('Financial Statements'!I77+'Financial Statements'!J77)/2)</f>
        <v/>
      </c>
      <c r="K20" s="259">
        <f>('Financial Statements'!K29-'Financial Statements'!K26-'Financial Statements'!K24-((IF('Financial Statements'!K22=0,0,('Financial Statements'!K22+'Financial Statements'!K23)/'Financial Statements'!K22))*'Financial Statements'!K21))/(('Financial Statements'!J77+'Financial Statements'!K77)/2)</f>
        <v/>
      </c>
      <c r="L20" s="259">
        <f>('Financial Statements'!L29-'Financial Statements'!L26-'Financial Statements'!L24-((IF('Financial Statements'!L22=0,0,('Financial Statements'!L22+'Financial Statements'!L23)/'Financial Statements'!L22))*'Financial Statements'!L21))/(('Financial Statements'!K77+'Financial Statements'!L77)/2)</f>
        <v/>
      </c>
      <c r="M20" s="259">
        <f>('Financial Statements'!M29-'Financial Statements'!M26-'Financial Statements'!M24-((IF('Financial Statements'!M22=0,0,('Financial Statements'!M22+'Financial Statements'!M23)/'Financial Statements'!M22))*'Financial Statements'!M21))/(('Financial Statements'!L77+'Financial Statements'!M77)/2)</f>
        <v/>
      </c>
      <c r="N20" s="259">
        <f>('Financial Statements'!N29-'Financial Statements'!N26-'Financial Statements'!N24-((IF('Financial Statements'!N22=0,0,('Financial Statements'!N22+'Financial Statements'!N23)/'Financial Statements'!N22))*'Financial Statements'!N21))/(('Financial Statements'!M77+'Financial Statements'!N77)/2)</f>
        <v/>
      </c>
      <c r="O20" s="259">
        <f>('Financial Statements'!O29-'Financial Statements'!O26-'Financial Statements'!O24-((IF('Financial Statements'!O22=0,0,('Financial Statements'!O22+'Financial Statements'!O23)/'Financial Statements'!O22))*'Financial Statements'!O21))/(('Financial Statements'!N77+'Financial Statements'!O77)/2)</f>
        <v/>
      </c>
      <c r="P20" s="259">
        <f>('Financial Statements'!P29-'Financial Statements'!P26-'Financial Statements'!P24-((IF('Financial Statements'!P22=0,0,('Financial Statements'!P22+'Financial Statements'!P23)/'Financial Statements'!P22))*'Financial Statements'!P21))/(('Financial Statements'!O77+'Financial Statements'!P77)/2)</f>
        <v/>
      </c>
      <c r="Q20" s="259">
        <f>('Financial Statements'!Q29-'Financial Statements'!Q26-'Financial Statements'!Q24-((IF('Financial Statements'!Q22=0,0,('Financial Statements'!Q22+'Financial Statements'!Q23)/'Financial Statements'!Q22))*'Financial Statements'!Q21))/(('Financial Statements'!P77+'Financial Statements'!Q77)/2)</f>
        <v/>
      </c>
      <c r="R20" s="259">
        <f>('Financial Statements'!R29-'Financial Statements'!R26-'Financial Statements'!R24-((IF('Financial Statements'!R22=0,0,('Financial Statements'!R22+'Financial Statements'!R23)/'Financial Statements'!R22))*'Financial Statements'!R21))/(('Financial Statements'!Q77+'Financial Statements'!R77)/2)</f>
        <v/>
      </c>
    </row>
    <row r="21">
      <c r="A21" t="inlineStr">
        <is>
          <t>Return on Net Operating Assets</t>
        </is>
      </c>
      <c r="B21" s="61" t="n"/>
      <c r="C21" s="258">
        <f>'Financial Statements'!C71/(('Financial Statements'!B75+'Financial Statements'!C75)/2)</f>
        <v/>
      </c>
      <c r="D21" s="258">
        <f>'Financial Statements'!D71/(('Financial Statements'!C75+'Financial Statements'!D75)/2)</f>
        <v/>
      </c>
      <c r="E21" s="258">
        <f>'Financial Statements'!E71/(('Financial Statements'!D75+'Financial Statements'!E75)/2)</f>
        <v/>
      </c>
      <c r="F21" s="258">
        <f>'Financial Statements'!F71/(('Financial Statements'!E75+'Financial Statements'!F75)/2)</f>
        <v/>
      </c>
      <c r="G21" s="259">
        <f>'Financial Statements'!G71/(('Financial Statements'!F75+'Financial Statements'!G75)/2)</f>
        <v/>
      </c>
      <c r="H21" s="259">
        <f>'Financial Statements'!H71/(('Financial Statements'!G75+'Financial Statements'!H75)/2)</f>
        <v/>
      </c>
      <c r="I21" s="259">
        <f>'Financial Statements'!I71/(('Financial Statements'!H75+'Financial Statements'!I75)/2)</f>
        <v/>
      </c>
      <c r="J21" s="259">
        <f>'Financial Statements'!J71/(('Financial Statements'!I75+'Financial Statements'!J75)/2)</f>
        <v/>
      </c>
      <c r="K21" s="259">
        <f>'Financial Statements'!K71/(('Financial Statements'!J75+'Financial Statements'!K75)/2)</f>
        <v/>
      </c>
      <c r="L21" s="259">
        <f>'Financial Statements'!L71/(('Financial Statements'!K75+'Financial Statements'!L75)/2)</f>
        <v/>
      </c>
      <c r="M21" s="259">
        <f>'Financial Statements'!M71/(('Financial Statements'!L75+'Financial Statements'!M75)/2)</f>
        <v/>
      </c>
      <c r="N21" s="259">
        <f>'Financial Statements'!N71/(('Financial Statements'!M75+'Financial Statements'!N75)/2)</f>
        <v/>
      </c>
      <c r="O21" s="259">
        <f>'Financial Statements'!O71/(('Financial Statements'!N75+'Financial Statements'!O75)/2)</f>
        <v/>
      </c>
      <c r="P21" s="259">
        <f>'Financial Statements'!P71/(('Financial Statements'!O75+'Financial Statements'!P75)/2)</f>
        <v/>
      </c>
      <c r="Q21" s="259">
        <f>'Financial Statements'!Q71/(('Financial Statements'!P75+'Financial Statements'!Q75)/2)</f>
        <v/>
      </c>
      <c r="R21" s="259">
        <f>'Financial Statements'!R71/(('Financial Statements'!Q75+'Financial Statements'!R75)/2)</f>
        <v/>
      </c>
    </row>
    <row r="22">
      <c r="B22" s="61" t="n"/>
      <c r="C22" s="258" t="n"/>
      <c r="D22" s="258" t="n"/>
      <c r="E22" s="258" t="n"/>
      <c r="F22" s="258" t="n"/>
      <c r="G22" s="259" t="n"/>
      <c r="H22" s="259" t="n"/>
      <c r="I22" s="259" t="n"/>
      <c r="J22" s="259" t="n"/>
      <c r="K22" s="259" t="n"/>
      <c r="L22" s="259" t="n"/>
      <c r="M22" s="259" t="n"/>
      <c r="N22" s="259" t="n"/>
      <c r="O22" s="259" t="n"/>
      <c r="P22" s="259" t="n"/>
      <c r="Q22" s="259" t="n"/>
      <c r="R22" s="259" t="n"/>
    </row>
    <row r="23">
      <c r="A23" s="100" t="inlineStr">
        <is>
          <t>Basic Dupont Model</t>
        </is>
      </c>
      <c r="B23" s="61" t="n"/>
      <c r="C23" s="258" t="n"/>
      <c r="D23" s="258" t="n"/>
      <c r="E23" s="258" t="n"/>
      <c r="F23" s="258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  <c r="R23" s="259" t="n"/>
    </row>
    <row r="24">
      <c r="A24" t="inlineStr">
        <is>
          <t xml:space="preserve">   Net Profit Margin</t>
        </is>
      </c>
      <c r="B24" s="258">
        <f>'Financial Statements'!B29/'Financial Statements'!B12</f>
        <v/>
      </c>
      <c r="C24" s="258">
        <f>'Financial Statements'!C29/'Financial Statements'!C12</f>
        <v/>
      </c>
      <c r="D24" s="258">
        <f>'Financial Statements'!D29/'Financial Statements'!D12</f>
        <v/>
      </c>
      <c r="E24" s="258">
        <f>'Financial Statements'!E29/'Financial Statements'!E12</f>
        <v/>
      </c>
      <c r="F24" s="258">
        <f>'Financial Statements'!F29/'Financial Statements'!F12</f>
        <v/>
      </c>
      <c r="G24" s="259">
        <f>'Financial Statements'!G29/'Financial Statements'!G12</f>
        <v/>
      </c>
      <c r="H24" s="259">
        <f>'Financial Statements'!H29/'Financial Statements'!H12</f>
        <v/>
      </c>
      <c r="I24" s="259">
        <f>'Financial Statements'!I29/'Financial Statements'!I12</f>
        <v/>
      </c>
      <c r="J24" s="259">
        <f>'Financial Statements'!J29/'Financial Statements'!J12</f>
        <v/>
      </c>
      <c r="K24" s="259">
        <f>'Financial Statements'!K29/'Financial Statements'!K12</f>
        <v/>
      </c>
      <c r="L24" s="259">
        <f>'Financial Statements'!L29/'Financial Statements'!L12</f>
        <v/>
      </c>
      <c r="M24" s="259">
        <f>'Financial Statements'!M29/'Financial Statements'!M12</f>
        <v/>
      </c>
      <c r="N24" s="259">
        <f>'Financial Statements'!N29/'Financial Statements'!N12</f>
        <v/>
      </c>
      <c r="O24" s="259">
        <f>'Financial Statements'!O29/'Financial Statements'!O12</f>
        <v/>
      </c>
      <c r="P24" s="259">
        <f>'Financial Statements'!P29/'Financial Statements'!P12</f>
        <v/>
      </c>
      <c r="Q24" s="259">
        <f>'Financial Statements'!Q29/'Financial Statements'!Q12</f>
        <v/>
      </c>
      <c r="R24" s="259">
        <f>'Financial Statements'!R29/'Financial Statements'!R12</f>
        <v/>
      </c>
    </row>
    <row r="25">
      <c r="A25" t="inlineStr">
        <is>
          <t>x Total Asset Turnover</t>
        </is>
      </c>
      <c r="B25" s="150" t="n"/>
      <c r="C25" s="258">
        <f>'Financial Statements'!C12/(('Financial Statements'!B42+'Financial Statements'!C42)/2)</f>
        <v/>
      </c>
      <c r="D25" s="258">
        <f>'Financial Statements'!D12/(('Financial Statements'!C42+'Financial Statements'!D42)/2)</f>
        <v/>
      </c>
      <c r="E25" s="258">
        <f>'Financial Statements'!E12/(('Financial Statements'!D42+'Financial Statements'!E42)/2)</f>
        <v/>
      </c>
      <c r="F25" s="258">
        <f>'Financial Statements'!F12/(('Financial Statements'!E42+'Financial Statements'!F42)/2)</f>
        <v/>
      </c>
      <c r="G25" s="259">
        <f>'Financial Statements'!G12/(('Financial Statements'!F42+'Financial Statements'!G42)/2)</f>
        <v/>
      </c>
      <c r="H25" s="259">
        <f>'Financial Statements'!H12/(('Financial Statements'!G42+'Financial Statements'!H42)/2)</f>
        <v/>
      </c>
      <c r="I25" s="259">
        <f>'Financial Statements'!I12/(('Financial Statements'!H42+'Financial Statements'!I42)/2)</f>
        <v/>
      </c>
      <c r="J25" s="259">
        <f>'Financial Statements'!J12/(('Financial Statements'!I42+'Financial Statements'!J42)/2)</f>
        <v/>
      </c>
      <c r="K25" s="259">
        <f>'Financial Statements'!K12/(('Financial Statements'!J42+'Financial Statements'!K42)/2)</f>
        <v/>
      </c>
      <c r="L25" s="259">
        <f>'Financial Statements'!L12/(('Financial Statements'!K42+'Financial Statements'!L42)/2)</f>
        <v/>
      </c>
      <c r="M25" s="259">
        <f>'Financial Statements'!M12/(('Financial Statements'!L42+'Financial Statements'!M42)/2)</f>
        <v/>
      </c>
      <c r="N25" s="259">
        <f>'Financial Statements'!N12/(('Financial Statements'!M42+'Financial Statements'!N42)/2)</f>
        <v/>
      </c>
      <c r="O25" s="259">
        <f>'Financial Statements'!O12/(('Financial Statements'!N42+'Financial Statements'!O42)/2)</f>
        <v/>
      </c>
      <c r="P25" s="259">
        <f>'Financial Statements'!P12/(('Financial Statements'!O42+'Financial Statements'!P42)/2)</f>
        <v/>
      </c>
      <c r="Q25" s="259">
        <f>'Financial Statements'!Q12/(('Financial Statements'!P42+'Financial Statements'!Q42)/2)</f>
        <v/>
      </c>
      <c r="R25" s="259">
        <f>'Financial Statements'!R12/(('Financial Statements'!Q42+'Financial Statements'!R42)/2)</f>
        <v/>
      </c>
    </row>
    <row r="26">
      <c r="A26" t="inlineStr">
        <is>
          <t>x Total Leverage</t>
        </is>
      </c>
      <c r="B26" s="150" t="n"/>
      <c r="C26" s="258">
        <f>('Financial Statements'!B58+'Financial Statements'!C58)/('Financial Statements'!B57+'Financial Statements'!C57)</f>
        <v/>
      </c>
      <c r="D26" s="258">
        <f>('Financial Statements'!C58+'Financial Statements'!D58)/('Financial Statements'!C57+'Financial Statements'!D57)</f>
        <v/>
      </c>
      <c r="E26" s="258">
        <f>('Financial Statements'!D58+'Financial Statements'!E58)/('Financial Statements'!D57+'Financial Statements'!E57)</f>
        <v/>
      </c>
      <c r="F26" s="258">
        <f>('Financial Statements'!E58+'Financial Statements'!F58)/('Financial Statements'!E57+'Financial Statements'!F57)</f>
        <v/>
      </c>
      <c r="G26" s="259">
        <f>('Financial Statements'!F58+'Financial Statements'!G58)/('Financial Statements'!F57+'Financial Statements'!G57)</f>
        <v/>
      </c>
      <c r="H26" s="259">
        <f>('Financial Statements'!G58+'Financial Statements'!H58)/('Financial Statements'!G57+'Financial Statements'!H57)</f>
        <v/>
      </c>
      <c r="I26" s="259">
        <f>('Financial Statements'!H58+'Financial Statements'!I58)/('Financial Statements'!H57+'Financial Statements'!I57)</f>
        <v/>
      </c>
      <c r="J26" s="259">
        <f>('Financial Statements'!I58+'Financial Statements'!J58)/('Financial Statements'!I57+'Financial Statements'!J57)</f>
        <v/>
      </c>
      <c r="K26" s="259">
        <f>('Financial Statements'!J58+'Financial Statements'!K58)/('Financial Statements'!J57+'Financial Statements'!K57)</f>
        <v/>
      </c>
      <c r="L26" s="259">
        <f>('Financial Statements'!K58+'Financial Statements'!L58)/('Financial Statements'!K57+'Financial Statements'!L57)</f>
        <v/>
      </c>
      <c r="M26" s="259">
        <f>('Financial Statements'!L58+'Financial Statements'!M58)/('Financial Statements'!L57+'Financial Statements'!M57)</f>
        <v/>
      </c>
      <c r="N26" s="259">
        <f>('Financial Statements'!M58+'Financial Statements'!N58)/('Financial Statements'!M57+'Financial Statements'!N57)</f>
        <v/>
      </c>
      <c r="O26" s="259">
        <f>('Financial Statements'!N58+'Financial Statements'!O58)/('Financial Statements'!N57+'Financial Statements'!O57)</f>
        <v/>
      </c>
      <c r="P26" s="259">
        <f>('Financial Statements'!O58+'Financial Statements'!P58)/('Financial Statements'!O57+'Financial Statements'!P57)</f>
        <v/>
      </c>
      <c r="Q26" s="259">
        <f>('Financial Statements'!P58+'Financial Statements'!Q58)/('Financial Statements'!P57+'Financial Statements'!Q57)</f>
        <v/>
      </c>
      <c r="R26" s="259">
        <f>('Financial Statements'!Q58+'Financial Statements'!R58)/('Financial Statements'!Q57+'Financial Statements'!R57)</f>
        <v/>
      </c>
    </row>
    <row r="27">
      <c r="A27" s="238" t="inlineStr">
        <is>
          <t>= Return on Equity</t>
        </is>
      </c>
      <c r="B27" s="61" t="n"/>
      <c r="C27" s="258">
        <f>C24*C25*C26</f>
        <v/>
      </c>
      <c r="D27" s="258">
        <f>D24*D25*D26</f>
        <v/>
      </c>
      <c r="E27" s="258">
        <f>E24*E25*E26</f>
        <v/>
      </c>
      <c r="F27" s="258">
        <f>F24*F25*F26</f>
        <v/>
      </c>
      <c r="G27" s="259">
        <f>G24*G25*G26</f>
        <v/>
      </c>
      <c r="H27" s="259">
        <f>H24*H25*H26</f>
        <v/>
      </c>
      <c r="I27" s="259">
        <f>I24*I25*I26</f>
        <v/>
      </c>
      <c r="J27" s="259">
        <f>J24*J25*J26</f>
        <v/>
      </c>
      <c r="K27" s="259">
        <f>K24*K25*K26</f>
        <v/>
      </c>
      <c r="L27" s="259">
        <f>L24*L25*L26</f>
        <v/>
      </c>
      <c r="M27" s="259">
        <f>M24*M25*M26</f>
        <v/>
      </c>
      <c r="N27" s="259">
        <f>N24*N25*N26</f>
        <v/>
      </c>
      <c r="O27" s="259">
        <f>O24*O25*O26</f>
        <v/>
      </c>
      <c r="P27" s="259">
        <f>P24*P25*P26</f>
        <v/>
      </c>
      <c r="Q27" s="259">
        <f>Q24*Q25*Q26</f>
        <v/>
      </c>
      <c r="R27" s="259">
        <f>R24*R25*R26</f>
        <v/>
      </c>
    </row>
    <row r="28">
      <c r="B28" s="61" t="n"/>
      <c r="C28" s="258" t="n"/>
      <c r="D28" s="258" t="n"/>
      <c r="E28" s="258" t="n"/>
      <c r="F28" s="258" t="n"/>
      <c r="G28" s="259" t="n"/>
      <c r="H28" s="259" t="n"/>
      <c r="I28" s="259" t="n"/>
      <c r="J28" s="259" t="n"/>
      <c r="K28" s="259" t="n"/>
      <c r="L28" s="259" t="n"/>
      <c r="M28" s="259" t="n"/>
      <c r="N28" s="259" t="n"/>
      <c r="O28" s="259" t="n"/>
      <c r="P28" s="259" t="n"/>
      <c r="Q28" s="259" t="n"/>
      <c r="R28" s="259" t="n"/>
    </row>
    <row r="29">
      <c r="A29" s="100" t="inlineStr">
        <is>
          <t>Advanced Dupont Model</t>
        </is>
      </c>
      <c r="B29" s="61" t="n"/>
      <c r="C29" s="258" t="n"/>
      <c r="D29" s="258" t="n"/>
      <c r="E29" s="258" t="n"/>
      <c r="F29" s="258" t="n"/>
      <c r="G29" s="259" t="n"/>
      <c r="H29" s="259" t="n"/>
      <c r="I29" s="259" t="n"/>
      <c r="J29" s="259" t="n"/>
      <c r="K29" s="259" t="n"/>
      <c r="L29" s="259" t="n"/>
      <c r="M29" s="259" t="n"/>
      <c r="N29" s="259" t="n"/>
      <c r="O29" s="259" t="n"/>
      <c r="P29" s="259" t="n"/>
      <c r="Q29" s="259" t="n"/>
      <c r="R29" s="259" t="n"/>
    </row>
    <row r="30">
      <c r="A30" t="inlineStr">
        <is>
          <t xml:space="preserve">   Net Operating Margin</t>
        </is>
      </c>
      <c r="B30" s="258">
        <f>'Financial Statements'!B71/'Financial Statements'!B12</f>
        <v/>
      </c>
      <c r="C30" s="258">
        <f>'Financial Statements'!C71/'Financial Statements'!C12</f>
        <v/>
      </c>
      <c r="D30" s="258">
        <f>'Financial Statements'!D71/'Financial Statements'!D12</f>
        <v/>
      </c>
      <c r="E30" s="258">
        <f>'Financial Statements'!E71/'Financial Statements'!E12</f>
        <v/>
      </c>
      <c r="F30" s="258">
        <f>'Financial Statements'!F71/'Financial Statements'!F12</f>
        <v/>
      </c>
      <c r="G30" s="259">
        <f>'Financial Statements'!G71/'Financial Statements'!G12</f>
        <v/>
      </c>
      <c r="H30" s="259">
        <f>'Financial Statements'!H71/'Financial Statements'!H12</f>
        <v/>
      </c>
      <c r="I30" s="259">
        <f>'Financial Statements'!I71/'Financial Statements'!I12</f>
        <v/>
      </c>
      <c r="J30" s="259">
        <f>'Financial Statements'!J71/'Financial Statements'!J12</f>
        <v/>
      </c>
      <c r="K30" s="259">
        <f>'Financial Statements'!K71/'Financial Statements'!K12</f>
        <v/>
      </c>
      <c r="L30" s="259">
        <f>'Financial Statements'!L71/'Financial Statements'!L12</f>
        <v/>
      </c>
      <c r="M30" s="259">
        <f>'Financial Statements'!M71/'Financial Statements'!M12</f>
        <v/>
      </c>
      <c r="N30" s="259">
        <f>'Financial Statements'!N71/'Financial Statements'!N12</f>
        <v/>
      </c>
      <c r="O30" s="259">
        <f>'Financial Statements'!O71/'Financial Statements'!O12</f>
        <v/>
      </c>
      <c r="P30" s="259">
        <f>'Financial Statements'!P71/'Financial Statements'!P12</f>
        <v/>
      </c>
      <c r="Q30" s="259">
        <f>'Financial Statements'!Q71/'Financial Statements'!Q12</f>
        <v/>
      </c>
      <c r="R30" s="259">
        <f>'Financial Statements'!R71/'Financial Statements'!R12</f>
        <v/>
      </c>
    </row>
    <row r="31">
      <c r="A31" t="inlineStr">
        <is>
          <t>x Net Operating Asset Turnover</t>
        </is>
      </c>
      <c r="B31" s="61" t="n"/>
      <c r="C31" s="258">
        <f>'Financial Statements'!C12/(('Financial Statements'!B75+'Financial Statements'!C75)/2)</f>
        <v/>
      </c>
      <c r="D31" s="258">
        <f>'Financial Statements'!D12/(('Financial Statements'!C75+'Financial Statements'!D75)/2)</f>
        <v/>
      </c>
      <c r="E31" s="258">
        <f>'Financial Statements'!E12/(('Financial Statements'!D75+'Financial Statements'!E75)/2)</f>
        <v/>
      </c>
      <c r="F31" s="258">
        <f>'Financial Statements'!F12/(('Financial Statements'!E75+'Financial Statements'!F75)/2)</f>
        <v/>
      </c>
      <c r="G31" s="259">
        <f>'Financial Statements'!G12/(('Financial Statements'!F75+'Financial Statements'!G75)/2)</f>
        <v/>
      </c>
      <c r="H31" s="259">
        <f>'Financial Statements'!H12/(('Financial Statements'!G75+'Financial Statements'!H75)/2)</f>
        <v/>
      </c>
      <c r="I31" s="259">
        <f>'Financial Statements'!I12/(('Financial Statements'!H75+'Financial Statements'!I75)/2)</f>
        <v/>
      </c>
      <c r="J31" s="259">
        <f>'Financial Statements'!J12/(('Financial Statements'!I75+'Financial Statements'!J75)/2)</f>
        <v/>
      </c>
      <c r="K31" s="259">
        <f>'Financial Statements'!K12/(('Financial Statements'!J75+'Financial Statements'!K75)/2)</f>
        <v/>
      </c>
      <c r="L31" s="259">
        <f>'Financial Statements'!L12/(('Financial Statements'!K75+'Financial Statements'!L75)/2)</f>
        <v/>
      </c>
      <c r="M31" s="259">
        <f>'Financial Statements'!M12/(('Financial Statements'!L75+'Financial Statements'!M75)/2)</f>
        <v/>
      </c>
      <c r="N31" s="259">
        <f>'Financial Statements'!N12/(('Financial Statements'!M75+'Financial Statements'!N75)/2)</f>
        <v/>
      </c>
      <c r="O31" s="259">
        <f>'Financial Statements'!O12/(('Financial Statements'!N75+'Financial Statements'!O75)/2)</f>
        <v/>
      </c>
      <c r="P31" s="259">
        <f>'Financial Statements'!P12/(('Financial Statements'!O75+'Financial Statements'!P75)/2)</f>
        <v/>
      </c>
      <c r="Q31" s="259">
        <f>'Financial Statements'!Q12/(('Financial Statements'!P75+'Financial Statements'!Q75)/2)</f>
        <v/>
      </c>
      <c r="R31" s="259">
        <f>'Financial Statements'!R12/(('Financial Statements'!Q75+'Financial Statements'!R75)/2)</f>
        <v/>
      </c>
    </row>
    <row r="32">
      <c r="A32" s="238" t="inlineStr">
        <is>
          <t>= Return on Net Operating Assets</t>
        </is>
      </c>
      <c r="B32" s="61" t="n"/>
      <c r="C32" s="258">
        <f>C30*C31</f>
        <v/>
      </c>
      <c r="D32" s="258">
        <f>D30*D31</f>
        <v/>
      </c>
      <c r="E32" s="258">
        <f>E30*E31</f>
        <v/>
      </c>
      <c r="F32" s="258">
        <f>F30*F31</f>
        <v/>
      </c>
      <c r="G32" s="259">
        <f>G30*G31</f>
        <v/>
      </c>
      <c r="H32" s="259">
        <f>H30*H31</f>
        <v/>
      </c>
      <c r="I32" s="259">
        <f>I30*I31</f>
        <v/>
      </c>
      <c r="J32" s="259">
        <f>J30*J31</f>
        <v/>
      </c>
      <c r="K32" s="259">
        <f>K30*K31</f>
        <v/>
      </c>
      <c r="L32" s="259">
        <f>L30*L31</f>
        <v/>
      </c>
      <c r="M32" s="259">
        <f>M30*M31</f>
        <v/>
      </c>
      <c r="N32" s="259">
        <f>N30*N31</f>
        <v/>
      </c>
      <c r="O32" s="259">
        <f>O30*O31</f>
        <v/>
      </c>
      <c r="P32" s="259">
        <f>P30*P31</f>
        <v/>
      </c>
      <c r="Q32" s="259">
        <f>Q30*Q31</f>
        <v/>
      </c>
      <c r="R32" s="259">
        <f>R30*R31</f>
        <v/>
      </c>
    </row>
    <row r="33">
      <c r="A33" t="inlineStr">
        <is>
          <t>Net Borrowing Cost (NBC)</t>
        </is>
      </c>
      <c r="B33" s="61" t="n"/>
      <c r="C33" s="258">
        <f>-'Financial Statements'!C72/(('Financial Statements'!B76+'Financial Statements'!C76)/2)</f>
        <v/>
      </c>
      <c r="D33" s="258">
        <f>-'Financial Statements'!D72/(('Financial Statements'!C76+'Financial Statements'!D76)/2)</f>
        <v/>
      </c>
      <c r="E33" s="258">
        <f>-'Financial Statements'!E72/(('Financial Statements'!D76+'Financial Statements'!E76)/2)</f>
        <v/>
      </c>
      <c r="F33" s="258">
        <f>-'Financial Statements'!F72/(('Financial Statements'!E76+'Financial Statements'!F76)/2)</f>
        <v/>
      </c>
      <c r="G33" s="259">
        <f>-'Financial Statements'!G72/(('Financial Statements'!F76+'Financial Statements'!G76)/2)</f>
        <v/>
      </c>
      <c r="H33" s="259">
        <f>-'Financial Statements'!H72/(('Financial Statements'!G76+'Financial Statements'!H76)/2)</f>
        <v/>
      </c>
      <c r="I33" s="259">
        <f>-'Financial Statements'!I72/(('Financial Statements'!H76+'Financial Statements'!I76)/2)</f>
        <v/>
      </c>
      <c r="J33" s="259">
        <f>-'Financial Statements'!J72/(('Financial Statements'!I76+'Financial Statements'!J76)/2)</f>
        <v/>
      </c>
      <c r="K33" s="259">
        <f>-'Financial Statements'!K72/(('Financial Statements'!J76+'Financial Statements'!K76)/2)</f>
        <v/>
      </c>
      <c r="L33" s="259">
        <f>-'Financial Statements'!L72/(('Financial Statements'!K76+'Financial Statements'!L76)/2)</f>
        <v/>
      </c>
      <c r="M33" s="259">
        <f>-'Financial Statements'!M72/(('Financial Statements'!L76+'Financial Statements'!M76)/2)</f>
        <v/>
      </c>
      <c r="N33" s="259">
        <f>-'Financial Statements'!N72/(('Financial Statements'!M76+'Financial Statements'!N76)/2)</f>
        <v/>
      </c>
      <c r="O33" s="259">
        <f>-'Financial Statements'!O72/(('Financial Statements'!N76+'Financial Statements'!O76)/2)</f>
        <v/>
      </c>
      <c r="P33" s="259">
        <f>-'Financial Statements'!P72/(('Financial Statements'!O76+'Financial Statements'!P76)/2)</f>
        <v/>
      </c>
      <c r="Q33" s="259">
        <f>-'Financial Statements'!Q72/(('Financial Statements'!P76+'Financial Statements'!Q76)/2)</f>
        <v/>
      </c>
      <c r="R33" s="259">
        <f>-'Financial Statements'!R72/(('Financial Statements'!Q76+'Financial Statements'!R76)/2)</f>
        <v/>
      </c>
    </row>
    <row r="34">
      <c r="A34" t="inlineStr">
        <is>
          <t>Spread (RNOA - NBC)</t>
        </is>
      </c>
      <c r="B34" s="61" t="n"/>
      <c r="C34" s="258">
        <f>C32-C33</f>
        <v/>
      </c>
      <c r="D34" s="258">
        <f>D32-D33</f>
        <v/>
      </c>
      <c r="E34" s="258">
        <f>E32-E33</f>
        <v/>
      </c>
      <c r="F34" s="258">
        <f>F32-F33</f>
        <v/>
      </c>
      <c r="G34" s="259">
        <f>G32-G33</f>
        <v/>
      </c>
      <c r="H34" s="259">
        <f>H32-H33</f>
        <v/>
      </c>
      <c r="I34" s="259">
        <f>I32-I33</f>
        <v/>
      </c>
      <c r="J34" s="259">
        <f>J32-J33</f>
        <v/>
      </c>
      <c r="K34" s="259">
        <f>K32-K33</f>
        <v/>
      </c>
      <c r="L34" s="259">
        <f>L32-L33</f>
        <v/>
      </c>
      <c r="M34" s="259">
        <f>M32-M33</f>
        <v/>
      </c>
      <c r="N34" s="259">
        <f>N32-N33</f>
        <v/>
      </c>
      <c r="O34" s="259">
        <f>O32-O33</f>
        <v/>
      </c>
      <c r="P34" s="259">
        <f>P32-P33</f>
        <v/>
      </c>
      <c r="Q34" s="259">
        <f>Q32-Q33</f>
        <v/>
      </c>
      <c r="R34" s="259">
        <f>R32-R33</f>
        <v/>
      </c>
    </row>
    <row r="35">
      <c r="A35" t="inlineStr">
        <is>
          <t>Financial Leverage (LEV)</t>
        </is>
      </c>
      <c r="B35" s="61" t="n"/>
      <c r="C35" s="258">
        <f>('Financial Statements'!B76+'Financial Statements'!C76)/('Financial Statements'!B77+'Financial Statements'!C77)</f>
        <v/>
      </c>
      <c r="D35" s="258">
        <f>('Financial Statements'!C76+'Financial Statements'!D76)/('Financial Statements'!C77+'Financial Statements'!D77)</f>
        <v/>
      </c>
      <c r="E35" s="258">
        <f>('Financial Statements'!D76+'Financial Statements'!E76)/('Financial Statements'!D77+'Financial Statements'!E77)</f>
        <v/>
      </c>
      <c r="F35" s="258">
        <f>('Financial Statements'!E76+'Financial Statements'!F76)/('Financial Statements'!E77+'Financial Statements'!F77)</f>
        <v/>
      </c>
      <c r="G35" s="259">
        <f>('Financial Statements'!F76+'Financial Statements'!G76)/('Financial Statements'!F77+'Financial Statements'!G77)</f>
        <v/>
      </c>
      <c r="H35" s="259">
        <f>('Financial Statements'!G76+'Financial Statements'!H76)/('Financial Statements'!G77+'Financial Statements'!H77)</f>
        <v/>
      </c>
      <c r="I35" s="259">
        <f>('Financial Statements'!H76+'Financial Statements'!I76)/('Financial Statements'!H77+'Financial Statements'!I77)</f>
        <v/>
      </c>
      <c r="J35" s="259">
        <f>('Financial Statements'!I76+'Financial Statements'!J76)/('Financial Statements'!I77+'Financial Statements'!J77)</f>
        <v/>
      </c>
      <c r="K35" s="259">
        <f>('Financial Statements'!J76+'Financial Statements'!K76)/('Financial Statements'!J77+'Financial Statements'!K77)</f>
        <v/>
      </c>
      <c r="L35" s="259">
        <f>('Financial Statements'!K76+'Financial Statements'!L76)/('Financial Statements'!K77+'Financial Statements'!L77)</f>
        <v/>
      </c>
      <c r="M35" s="259">
        <f>('Financial Statements'!L76+'Financial Statements'!M76)/('Financial Statements'!L77+'Financial Statements'!M77)</f>
        <v/>
      </c>
      <c r="N35" s="259">
        <f>('Financial Statements'!M76+'Financial Statements'!N76)/('Financial Statements'!M77+'Financial Statements'!N77)</f>
        <v/>
      </c>
      <c r="O35" s="259">
        <f>('Financial Statements'!N76+'Financial Statements'!O76)/('Financial Statements'!N77+'Financial Statements'!O77)</f>
        <v/>
      </c>
      <c r="P35" s="259">
        <f>('Financial Statements'!O76+'Financial Statements'!P76)/('Financial Statements'!O77+'Financial Statements'!P77)</f>
        <v/>
      </c>
      <c r="Q35" s="259">
        <f>('Financial Statements'!P76+'Financial Statements'!Q76)/('Financial Statements'!P77+'Financial Statements'!Q77)</f>
        <v/>
      </c>
      <c r="R35" s="259">
        <f>('Financial Statements'!Q76+'Financial Statements'!R76)/('Financial Statements'!Q77+'Financial Statements'!R77)</f>
        <v/>
      </c>
    </row>
    <row r="36">
      <c r="A36" t="inlineStr">
        <is>
          <t>ROE = RNOA + LEV*Spread</t>
        </is>
      </c>
      <c r="B36" s="61" t="n"/>
      <c r="C36" s="258">
        <f>C32+(C35*C34)</f>
        <v/>
      </c>
      <c r="D36" s="258">
        <f>D32+(D35*D34)</f>
        <v/>
      </c>
      <c r="E36" s="258">
        <f>E32+(E35*E34)</f>
        <v/>
      </c>
      <c r="F36" s="258">
        <f>F32+(F35*F34)</f>
        <v/>
      </c>
      <c r="G36" s="259">
        <f>G32+(G35*G34)</f>
        <v/>
      </c>
      <c r="H36" s="259">
        <f>H32+(H35*H34)</f>
        <v/>
      </c>
      <c r="I36" s="259">
        <f>I32+(I35*I34)</f>
        <v/>
      </c>
      <c r="J36" s="259">
        <f>J32+(J35*J34)</f>
        <v/>
      </c>
      <c r="K36" s="259">
        <f>K32+(K35*K34)</f>
        <v/>
      </c>
      <c r="L36" s="259">
        <f>L32+(L35*L34)</f>
        <v/>
      </c>
      <c r="M36" s="259">
        <f>M32+(M35*M34)</f>
        <v/>
      </c>
      <c r="N36" s="259">
        <f>N32+(N35*N34)</f>
        <v/>
      </c>
      <c r="O36" s="259">
        <f>O32+(O35*O34)</f>
        <v/>
      </c>
      <c r="P36" s="259">
        <f>P32+(P35*P34)</f>
        <v/>
      </c>
      <c r="Q36" s="259">
        <f>Q32+(Q35*Q34)</f>
        <v/>
      </c>
      <c r="R36" s="259">
        <f>R32+(R35*R34)</f>
        <v/>
      </c>
    </row>
    <row r="37">
      <c r="B37" s="61" t="n"/>
      <c r="C37" s="61" t="n"/>
      <c r="D37" s="61" t="n"/>
      <c r="E37" s="258" t="n"/>
      <c r="F37" s="258" t="n"/>
      <c r="G37" s="259" t="n"/>
      <c r="H37" s="259" t="n"/>
      <c r="I37" s="259" t="n"/>
      <c r="J37" s="259" t="n"/>
      <c r="K37" s="259" t="n"/>
      <c r="L37" s="259" t="n"/>
      <c r="M37" s="259" t="n"/>
      <c r="N37" s="259" t="n"/>
      <c r="O37" s="259" t="n"/>
      <c r="P37" s="259" t="n"/>
      <c r="Q37" s="259" t="n"/>
      <c r="R37" s="259" t="n"/>
    </row>
    <row r="38">
      <c r="B38" s="61" t="n"/>
      <c r="C38" s="61" t="n"/>
      <c r="D38" s="61" t="n"/>
      <c r="E38" s="258" t="n"/>
      <c r="F38" s="258" t="n"/>
      <c r="G38" s="259" t="n"/>
      <c r="H38" s="259" t="n"/>
      <c r="I38" s="259" t="n"/>
      <c r="J38" s="259" t="n"/>
      <c r="K38" s="259" t="n"/>
      <c r="L38" s="259" t="n"/>
      <c r="M38" s="259" t="n"/>
      <c r="N38" s="259" t="n"/>
      <c r="O38" s="259" t="n"/>
      <c r="P38" s="259" t="n"/>
      <c r="Q38" s="259" t="n"/>
      <c r="R38" s="259" t="n"/>
    </row>
    <row r="39">
      <c r="A39" s="100" t="inlineStr">
        <is>
          <t>Margin Analysis</t>
        </is>
      </c>
      <c r="B39" s="150" t="n"/>
      <c r="C39" s="150" t="n"/>
      <c r="D39" s="150" t="n"/>
      <c r="E39" s="258" t="n"/>
      <c r="F39" s="258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  <c r="R39" s="259" t="n"/>
    </row>
    <row r="40">
      <c r="A40" t="inlineStr">
        <is>
          <t>Gross Margin</t>
        </is>
      </c>
      <c r="B40" s="258">
        <f>'Financial Statements'!B14/'Financial Statements'!B12</f>
        <v/>
      </c>
      <c r="C40" s="258">
        <f>'Financial Statements'!C14/'Financial Statements'!C12</f>
        <v/>
      </c>
      <c r="D40" s="258">
        <f>'Financial Statements'!D14/'Financial Statements'!D12</f>
        <v/>
      </c>
      <c r="E40" s="258">
        <f>'Financial Statements'!E14/'Financial Statements'!E12</f>
        <v/>
      </c>
      <c r="F40" s="258">
        <f>'Financial Statements'!F14/'Financial Statements'!F12</f>
        <v/>
      </c>
      <c r="G40" s="259">
        <f>'Financial Statements'!G14/'Financial Statements'!G12</f>
        <v/>
      </c>
      <c r="H40" s="259">
        <f>'Financial Statements'!H14/'Financial Statements'!H12</f>
        <v/>
      </c>
      <c r="I40" s="259">
        <f>'Financial Statements'!I14/'Financial Statements'!I12</f>
        <v/>
      </c>
      <c r="J40" s="259">
        <f>'Financial Statements'!J14/'Financial Statements'!J12</f>
        <v/>
      </c>
      <c r="K40" s="259">
        <f>'Financial Statements'!K14/'Financial Statements'!K12</f>
        <v/>
      </c>
      <c r="L40" s="259">
        <f>'Financial Statements'!L14/'Financial Statements'!L12</f>
        <v/>
      </c>
      <c r="M40" s="259">
        <f>'Financial Statements'!M14/'Financial Statements'!M12</f>
        <v/>
      </c>
      <c r="N40" s="259">
        <f>'Financial Statements'!N14/'Financial Statements'!N12</f>
        <v/>
      </c>
      <c r="O40" s="259">
        <f>'Financial Statements'!O14/'Financial Statements'!O12</f>
        <v/>
      </c>
      <c r="P40" s="259">
        <f>'Financial Statements'!P14/'Financial Statements'!P12</f>
        <v/>
      </c>
      <c r="Q40" s="259">
        <f>'Financial Statements'!Q14/'Financial Statements'!Q12</f>
        <v/>
      </c>
      <c r="R40" s="259">
        <f>'Financial Statements'!R14/'Financial Statements'!R12</f>
        <v/>
      </c>
    </row>
    <row r="41">
      <c r="A41" t="inlineStr">
        <is>
          <t>EBITDA Margin</t>
        </is>
      </c>
      <c r="B41" s="258">
        <f>'Financial Statements'!B17/'Financial Statements'!B12</f>
        <v/>
      </c>
      <c r="C41" s="258">
        <f>'Financial Statements'!C17/'Financial Statements'!C12</f>
        <v/>
      </c>
      <c r="D41" s="258">
        <f>'Financial Statements'!D17/'Financial Statements'!D12</f>
        <v/>
      </c>
      <c r="E41" s="258">
        <f>'Financial Statements'!E17/'Financial Statements'!E12</f>
        <v/>
      </c>
      <c r="F41" s="258">
        <f>'Financial Statements'!F17/'Financial Statements'!F12</f>
        <v/>
      </c>
      <c r="G41" s="259">
        <f>'Financial Statements'!G17/'Financial Statements'!G12</f>
        <v/>
      </c>
      <c r="H41" s="259">
        <f>'Financial Statements'!H17/'Financial Statements'!H12</f>
        <v/>
      </c>
      <c r="I41" s="259">
        <f>'Financial Statements'!I17/'Financial Statements'!I12</f>
        <v/>
      </c>
      <c r="J41" s="259">
        <f>'Financial Statements'!J17/'Financial Statements'!J12</f>
        <v/>
      </c>
      <c r="K41" s="259">
        <f>'Financial Statements'!K17/'Financial Statements'!K12</f>
        <v/>
      </c>
      <c r="L41" s="259">
        <f>'Financial Statements'!L17/'Financial Statements'!L12</f>
        <v/>
      </c>
      <c r="M41" s="259">
        <f>'Financial Statements'!M17/'Financial Statements'!M12</f>
        <v/>
      </c>
      <c r="N41" s="259">
        <f>'Financial Statements'!N17/'Financial Statements'!N12</f>
        <v/>
      </c>
      <c r="O41" s="259">
        <f>'Financial Statements'!O17/'Financial Statements'!O12</f>
        <v/>
      </c>
      <c r="P41" s="259">
        <f>'Financial Statements'!P17/'Financial Statements'!P12</f>
        <v/>
      </c>
      <c r="Q41" s="259">
        <f>'Financial Statements'!Q17/'Financial Statements'!Q12</f>
        <v/>
      </c>
      <c r="R41" s="259">
        <f>'Financial Statements'!R17/'Financial Statements'!R12</f>
        <v/>
      </c>
    </row>
    <row r="42">
      <c r="A42" t="inlineStr">
        <is>
          <t>EBIT Margin</t>
        </is>
      </c>
      <c r="B42" s="258">
        <f>'Financial Statements'!B19/'Financial Statements'!B12</f>
        <v/>
      </c>
      <c r="C42" s="258">
        <f>'Financial Statements'!C19/'Financial Statements'!C12</f>
        <v/>
      </c>
      <c r="D42" s="258">
        <f>'Financial Statements'!D19/'Financial Statements'!D12</f>
        <v/>
      </c>
      <c r="E42" s="258">
        <f>'Financial Statements'!E19/'Financial Statements'!E12</f>
        <v/>
      </c>
      <c r="F42" s="258">
        <f>'Financial Statements'!F19/'Financial Statements'!F12</f>
        <v/>
      </c>
      <c r="G42" s="259">
        <f>'Financial Statements'!G19/'Financial Statements'!G12</f>
        <v/>
      </c>
      <c r="H42" s="259">
        <f>'Financial Statements'!H19/'Financial Statements'!H12</f>
        <v/>
      </c>
      <c r="I42" s="259">
        <f>'Financial Statements'!I19/'Financial Statements'!I12</f>
        <v/>
      </c>
      <c r="J42" s="259">
        <f>'Financial Statements'!J19/'Financial Statements'!J12</f>
        <v/>
      </c>
      <c r="K42" s="259">
        <f>'Financial Statements'!K19/'Financial Statements'!K12</f>
        <v/>
      </c>
      <c r="L42" s="259">
        <f>'Financial Statements'!L19/'Financial Statements'!L12</f>
        <v/>
      </c>
      <c r="M42" s="259">
        <f>'Financial Statements'!M19/'Financial Statements'!M12</f>
        <v/>
      </c>
      <c r="N42" s="259">
        <f>'Financial Statements'!N19/'Financial Statements'!N12</f>
        <v/>
      </c>
      <c r="O42" s="259">
        <f>'Financial Statements'!O19/'Financial Statements'!O12</f>
        <v/>
      </c>
      <c r="P42" s="259">
        <f>'Financial Statements'!P19/'Financial Statements'!P12</f>
        <v/>
      </c>
      <c r="Q42" s="259">
        <f>'Financial Statements'!Q19/'Financial Statements'!Q12</f>
        <v/>
      </c>
      <c r="R42" s="259">
        <f>'Financial Statements'!R19/'Financial Statements'!R12</f>
        <v/>
      </c>
    </row>
    <row r="43">
      <c r="A43" t="inlineStr">
        <is>
          <t>Net Operating Margin (b4 non-rec.)</t>
        </is>
      </c>
      <c r="B43" s="258">
        <f>('Financial Statements'!B71-'Financial Statements'!B21*(1-'Forecasting Assumptions'!B21)-'Financial Statements'!B26-'Financial Statements'!B24)/'Financial Statements'!B12</f>
        <v/>
      </c>
      <c r="C43" s="258">
        <f>('Financial Statements'!C71-'Financial Statements'!C21*(1-'Forecasting Assumptions'!C21)-'Financial Statements'!C26-'Financial Statements'!C24)/'Financial Statements'!C12</f>
        <v/>
      </c>
      <c r="D43" s="258">
        <f>('Financial Statements'!D71-'Financial Statements'!D21*(1-'Forecasting Assumptions'!D21)-'Financial Statements'!D26-'Financial Statements'!D24)/'Financial Statements'!D12</f>
        <v/>
      </c>
      <c r="E43" s="258">
        <f>('Financial Statements'!E71-'Financial Statements'!E21*(1-'Forecasting Assumptions'!E21)-'Financial Statements'!E26-'Financial Statements'!E24)/'Financial Statements'!E12</f>
        <v/>
      </c>
      <c r="F43" s="258">
        <f>('Financial Statements'!F71-'Financial Statements'!F21*(1-'Forecasting Assumptions'!F21)-'Financial Statements'!F26-'Financial Statements'!F24)/'Financial Statements'!F12</f>
        <v/>
      </c>
      <c r="G43" s="259">
        <f>('Financial Statements'!G71-'Financial Statements'!G21*(1-'Forecasting Assumptions'!G21)-'Financial Statements'!G26-'Financial Statements'!G24)/'Financial Statements'!G12</f>
        <v/>
      </c>
      <c r="H43" s="259">
        <f>('Financial Statements'!H71-'Financial Statements'!H21*(1-'Forecasting Assumptions'!H21)-'Financial Statements'!H26-'Financial Statements'!H24)/'Financial Statements'!H12</f>
        <v/>
      </c>
      <c r="I43" s="259">
        <f>('Financial Statements'!I71-'Financial Statements'!I21*(1-'Forecasting Assumptions'!I21)-'Financial Statements'!I26-'Financial Statements'!I24)/'Financial Statements'!I12</f>
        <v/>
      </c>
      <c r="J43" s="259">
        <f>('Financial Statements'!J71-'Financial Statements'!J21*(1-'Forecasting Assumptions'!J21)-'Financial Statements'!J26-'Financial Statements'!J24)/'Financial Statements'!J12</f>
        <v/>
      </c>
      <c r="K43" s="259">
        <f>('Financial Statements'!K71-'Financial Statements'!K21*(1-'Forecasting Assumptions'!K21)-'Financial Statements'!K26-'Financial Statements'!K24)/'Financial Statements'!K12</f>
        <v/>
      </c>
      <c r="L43" s="259">
        <f>('Financial Statements'!L71-'Financial Statements'!L21*(1-'Forecasting Assumptions'!L21)-'Financial Statements'!L26-'Financial Statements'!L24)/'Financial Statements'!L12</f>
        <v/>
      </c>
      <c r="M43" s="259">
        <f>('Financial Statements'!M71-'Financial Statements'!M21*(1-'Forecasting Assumptions'!M21)-'Financial Statements'!M26-'Financial Statements'!M24)/'Financial Statements'!M12</f>
        <v/>
      </c>
      <c r="N43" s="259">
        <f>('Financial Statements'!N71-'Financial Statements'!N21*(1-'Forecasting Assumptions'!N21)-'Financial Statements'!N26-'Financial Statements'!N24)/'Financial Statements'!N12</f>
        <v/>
      </c>
      <c r="O43" s="259">
        <f>('Financial Statements'!O71-'Financial Statements'!O21*(1-'Forecasting Assumptions'!O21)-'Financial Statements'!O26-'Financial Statements'!O24)/'Financial Statements'!O12</f>
        <v/>
      </c>
      <c r="P43" s="259">
        <f>('Financial Statements'!P71-'Financial Statements'!P21*(1-'Forecasting Assumptions'!P21)-'Financial Statements'!P26-'Financial Statements'!P24)/'Financial Statements'!P12</f>
        <v/>
      </c>
      <c r="Q43" s="259">
        <f>('Financial Statements'!Q71-'Financial Statements'!Q21*(1-'Forecasting Assumptions'!Q21)-'Financial Statements'!Q26-'Financial Statements'!Q24)/'Financial Statements'!Q12</f>
        <v/>
      </c>
      <c r="R43" s="259">
        <f>('Financial Statements'!R71-'Financial Statements'!R21*(1-'Forecasting Assumptions'!R21)-'Financial Statements'!R26-'Financial Statements'!R24)/'Financial Statements'!R12</f>
        <v/>
      </c>
    </row>
    <row r="44">
      <c r="A44" t="inlineStr">
        <is>
          <t>Net Operating Margin</t>
        </is>
      </c>
      <c r="B44" s="258">
        <f>'Financial Statements'!B71/'Financial Statements'!B12</f>
        <v/>
      </c>
      <c r="C44" s="258">
        <f>'Financial Statements'!C71/'Financial Statements'!C12</f>
        <v/>
      </c>
      <c r="D44" s="258">
        <f>'Financial Statements'!D71/'Financial Statements'!D12</f>
        <v/>
      </c>
      <c r="E44" s="258">
        <f>'Financial Statements'!E71/'Financial Statements'!E12</f>
        <v/>
      </c>
      <c r="F44" s="258">
        <f>'Financial Statements'!F71/'Financial Statements'!F12</f>
        <v/>
      </c>
      <c r="G44" s="259">
        <f>'Financial Statements'!G71/'Financial Statements'!G12</f>
        <v/>
      </c>
      <c r="H44" s="259">
        <f>'Financial Statements'!H71/'Financial Statements'!H12</f>
        <v/>
      </c>
      <c r="I44" s="259">
        <f>'Financial Statements'!I71/'Financial Statements'!I12</f>
        <v/>
      </c>
      <c r="J44" s="259">
        <f>'Financial Statements'!J71/'Financial Statements'!J12</f>
        <v/>
      </c>
      <c r="K44" s="259">
        <f>'Financial Statements'!K71/'Financial Statements'!K12</f>
        <v/>
      </c>
      <c r="L44" s="259">
        <f>'Financial Statements'!L71/'Financial Statements'!L12</f>
        <v/>
      </c>
      <c r="M44" s="259">
        <f>'Financial Statements'!M71/'Financial Statements'!M12</f>
        <v/>
      </c>
      <c r="N44" s="259">
        <f>'Financial Statements'!N71/'Financial Statements'!N12</f>
        <v/>
      </c>
      <c r="O44" s="259">
        <f>'Financial Statements'!O71/'Financial Statements'!O12</f>
        <v/>
      </c>
      <c r="P44" s="259">
        <f>'Financial Statements'!P71/'Financial Statements'!P12</f>
        <v/>
      </c>
      <c r="Q44" s="259">
        <f>'Financial Statements'!Q71/'Financial Statements'!Q12</f>
        <v/>
      </c>
      <c r="R44" s="259">
        <f>'Financial Statements'!R71/'Financial Statements'!R12</f>
        <v/>
      </c>
    </row>
    <row r="45">
      <c r="B45" s="61" t="n"/>
      <c r="C45" s="61" t="n"/>
      <c r="D45" s="61" t="n"/>
      <c r="E45" s="258" t="n"/>
      <c r="F45" s="258" t="n"/>
      <c r="G45" s="259" t="n"/>
      <c r="H45" s="259" t="n"/>
      <c r="I45" s="259" t="n"/>
      <c r="J45" s="259" t="n"/>
      <c r="K45" s="259" t="n"/>
      <c r="L45" s="259" t="n"/>
      <c r="M45" s="259" t="n"/>
      <c r="N45" s="259" t="n"/>
      <c r="O45" s="259" t="n"/>
      <c r="P45" s="259" t="n"/>
      <c r="Q45" s="259" t="n"/>
      <c r="R45" s="259" t="n"/>
    </row>
    <row r="46">
      <c r="A46" s="100" t="inlineStr">
        <is>
          <t>Turnover Analysis</t>
        </is>
      </c>
      <c r="B46" s="150" t="n"/>
      <c r="C46" s="150" t="n"/>
      <c r="D46" s="150" t="n"/>
      <c r="E46" s="258" t="n"/>
      <c r="F46" s="258" t="n"/>
      <c r="G46" s="259" t="n"/>
      <c r="H46" s="259" t="n"/>
      <c r="I46" s="259" t="n"/>
      <c r="J46" s="259" t="n"/>
      <c r="K46" s="259" t="n"/>
      <c r="L46" s="259" t="n"/>
      <c r="M46" s="259" t="n"/>
      <c r="N46" s="259" t="n"/>
      <c r="O46" s="259" t="n"/>
      <c r="P46" s="259" t="n"/>
      <c r="Q46" s="259" t="n"/>
      <c r="R46" s="259" t="n"/>
    </row>
    <row r="47">
      <c r="A47" t="inlineStr">
        <is>
          <t>Net Operating Asset Turnover</t>
        </is>
      </c>
      <c r="B47" s="258" t="n"/>
      <c r="C47" s="258">
        <f>'Financial Statements'!C12/(('Financial Statements'!C75+'Financial Statements'!B75)/2)</f>
        <v/>
      </c>
      <c r="D47" s="258">
        <f>'Financial Statements'!D12/(('Financial Statements'!D75+'Financial Statements'!C75)/2)</f>
        <v/>
      </c>
      <c r="E47" s="258">
        <f>'Financial Statements'!E12/(('Financial Statements'!E75+'Financial Statements'!D75)/2)</f>
        <v/>
      </c>
      <c r="F47" s="258">
        <f>'Financial Statements'!F12/(('Financial Statements'!F75+'Financial Statements'!E75)/2)</f>
        <v/>
      </c>
      <c r="G47" s="259">
        <f>'Financial Statements'!G12/(('Financial Statements'!G75+'Financial Statements'!F75)/2)</f>
        <v/>
      </c>
      <c r="H47" s="259">
        <f>'Financial Statements'!H12/(('Financial Statements'!H75+'Financial Statements'!G75)/2)</f>
        <v/>
      </c>
      <c r="I47" s="259">
        <f>'Financial Statements'!I12/(('Financial Statements'!I75+'Financial Statements'!H75)/2)</f>
        <v/>
      </c>
      <c r="J47" s="259">
        <f>'Financial Statements'!J12/(('Financial Statements'!J75+'Financial Statements'!I75)/2)</f>
        <v/>
      </c>
      <c r="K47" s="259">
        <f>'Financial Statements'!K12/(('Financial Statements'!K75+'Financial Statements'!J75)/2)</f>
        <v/>
      </c>
      <c r="L47" s="259">
        <f>'Financial Statements'!L12/(('Financial Statements'!L75+'Financial Statements'!K75)/2)</f>
        <v/>
      </c>
      <c r="M47" s="259">
        <f>'Financial Statements'!M12/(('Financial Statements'!M75+'Financial Statements'!L75)/2)</f>
        <v/>
      </c>
      <c r="N47" s="259">
        <f>'Financial Statements'!N12/(('Financial Statements'!N75+'Financial Statements'!M75)/2)</f>
        <v/>
      </c>
      <c r="O47" s="259">
        <f>'Financial Statements'!O12/(('Financial Statements'!O75+'Financial Statements'!N75)/2)</f>
        <v/>
      </c>
      <c r="P47" s="259">
        <f>'Financial Statements'!P12/(('Financial Statements'!P75+'Financial Statements'!O75)/2)</f>
        <v/>
      </c>
      <c r="Q47" s="259">
        <f>'Financial Statements'!Q12/(('Financial Statements'!Q75+'Financial Statements'!P75)/2)</f>
        <v/>
      </c>
      <c r="R47" s="259">
        <f>'Financial Statements'!R12/(('Financial Statements'!R75+'Financial Statements'!Q75)/2)</f>
        <v/>
      </c>
    </row>
    <row r="48">
      <c r="A48" t="inlineStr">
        <is>
          <t>Net Working Capital Turnover</t>
        </is>
      </c>
      <c r="B48" s="61" t="n"/>
      <c r="C48" s="258">
        <f>'Financial Statements'!C12/(('Financial Statements'!B37-'Financial Statements'!B48+'Financial Statements'!B44+'Financial Statements'!C37-'Financial Statements'!C48+'Financial Statements'!C44)/2)</f>
        <v/>
      </c>
      <c r="D48" s="258">
        <f>'Financial Statements'!D12/(('Financial Statements'!C37-'Financial Statements'!C48+'Financial Statements'!C44+'Financial Statements'!D37-'Financial Statements'!D48+'Financial Statements'!D44)/2)</f>
        <v/>
      </c>
      <c r="E48" s="258">
        <f>'Financial Statements'!E12/(('Financial Statements'!D37-'Financial Statements'!D48+'Financial Statements'!D44+'Financial Statements'!E37-'Financial Statements'!E48+'Financial Statements'!E44)/2)</f>
        <v/>
      </c>
      <c r="F48" s="258">
        <f>'Financial Statements'!F12/(('Financial Statements'!E37-'Financial Statements'!E48+'Financial Statements'!E44+'Financial Statements'!F37-'Financial Statements'!F48+'Financial Statements'!F44)/2)</f>
        <v/>
      </c>
      <c r="G48" s="259">
        <f>'Financial Statements'!G12/(('Financial Statements'!F37-'Financial Statements'!F48+'Financial Statements'!F44+'Financial Statements'!G37-'Financial Statements'!G48+'Financial Statements'!G44)/2)</f>
        <v/>
      </c>
      <c r="H48" s="259">
        <f>'Financial Statements'!H12/(('Financial Statements'!G37-'Financial Statements'!G48+'Financial Statements'!G44+'Financial Statements'!H37-'Financial Statements'!H48+'Financial Statements'!H44)/2)</f>
        <v/>
      </c>
      <c r="I48" s="259">
        <f>'Financial Statements'!I12/(('Financial Statements'!H37-'Financial Statements'!H48+'Financial Statements'!H44+'Financial Statements'!I37-'Financial Statements'!I48+'Financial Statements'!I44)/2)</f>
        <v/>
      </c>
      <c r="J48" s="259">
        <f>'Financial Statements'!J12/(('Financial Statements'!I37-'Financial Statements'!I48+'Financial Statements'!I44+'Financial Statements'!J37-'Financial Statements'!J48+'Financial Statements'!J44)/2)</f>
        <v/>
      </c>
      <c r="K48" s="259">
        <f>'Financial Statements'!K12/(('Financial Statements'!J37-'Financial Statements'!J48+'Financial Statements'!J44+'Financial Statements'!K37-'Financial Statements'!K48+'Financial Statements'!K44)/2)</f>
        <v/>
      </c>
      <c r="L48" s="259">
        <f>'Financial Statements'!L12/(('Financial Statements'!K37-'Financial Statements'!K48+'Financial Statements'!K44+'Financial Statements'!L37-'Financial Statements'!L48+'Financial Statements'!L44)/2)</f>
        <v/>
      </c>
      <c r="M48" s="259">
        <f>'Financial Statements'!M12/(('Financial Statements'!L37-'Financial Statements'!L48+'Financial Statements'!L44+'Financial Statements'!M37-'Financial Statements'!M48+'Financial Statements'!M44)/2)</f>
        <v/>
      </c>
      <c r="N48" s="259">
        <f>'Financial Statements'!N12/(('Financial Statements'!M37-'Financial Statements'!M48+'Financial Statements'!M44+'Financial Statements'!N37-'Financial Statements'!N48+'Financial Statements'!N44)/2)</f>
        <v/>
      </c>
      <c r="O48" s="259">
        <f>'Financial Statements'!O12/(('Financial Statements'!N37-'Financial Statements'!N48+'Financial Statements'!N44+'Financial Statements'!O37-'Financial Statements'!O48+'Financial Statements'!O44)/2)</f>
        <v/>
      </c>
      <c r="P48" s="259">
        <f>'Financial Statements'!P12/(('Financial Statements'!O37-'Financial Statements'!O48+'Financial Statements'!O44+'Financial Statements'!P37-'Financial Statements'!P48+'Financial Statements'!P44)/2)</f>
        <v/>
      </c>
      <c r="Q48" s="259">
        <f>'Financial Statements'!Q12/(('Financial Statements'!P37-'Financial Statements'!P48+'Financial Statements'!P44+'Financial Statements'!Q37-'Financial Statements'!Q48+'Financial Statements'!Q44)/2)</f>
        <v/>
      </c>
      <c r="R48" s="259">
        <f>'Financial Statements'!R12/(('Financial Statements'!Q37-'Financial Statements'!Q48+'Financial Statements'!Q44+'Financial Statements'!R37-'Financial Statements'!R48+'Financial Statements'!R44)/2)</f>
        <v/>
      </c>
    </row>
    <row r="49">
      <c r="A49" t="inlineStr">
        <is>
          <t>Avge Days to Collect Receivables</t>
        </is>
      </c>
      <c r="B49" s="61" t="n"/>
      <c r="C49" s="258">
        <f>365*((('Financial Statements'!B34+'Financial Statements'!C34)/2)/'Financial Statements'!C12)</f>
        <v/>
      </c>
      <c r="D49" s="258">
        <f>365*((('Financial Statements'!C34+'Financial Statements'!D34)/2)/'Financial Statements'!D12)</f>
        <v/>
      </c>
      <c r="E49" s="258">
        <f>365*((('Financial Statements'!D34+'Financial Statements'!E34)/2)/'Financial Statements'!E12)</f>
        <v/>
      </c>
      <c r="F49" s="258">
        <f>365*((('Financial Statements'!E34+'Financial Statements'!F34)/2)/'Financial Statements'!F12)</f>
        <v/>
      </c>
      <c r="G49" s="259">
        <f>365*((('Financial Statements'!F34+'Financial Statements'!G34)/2)/'Financial Statements'!G12)</f>
        <v/>
      </c>
      <c r="H49" s="259">
        <f>365*((('Financial Statements'!G34+'Financial Statements'!H34)/2)/'Financial Statements'!H12)</f>
        <v/>
      </c>
      <c r="I49" s="259">
        <f>365*((('Financial Statements'!H34+'Financial Statements'!I34)/2)/'Financial Statements'!I12)</f>
        <v/>
      </c>
      <c r="J49" s="259">
        <f>365*((('Financial Statements'!I34+'Financial Statements'!J34)/2)/'Financial Statements'!J12)</f>
        <v/>
      </c>
      <c r="K49" s="259">
        <f>365*((('Financial Statements'!J34+'Financial Statements'!K34)/2)/'Financial Statements'!K12)</f>
        <v/>
      </c>
      <c r="L49" s="259">
        <f>365*((('Financial Statements'!K34+'Financial Statements'!L34)/2)/'Financial Statements'!L12)</f>
        <v/>
      </c>
      <c r="M49" s="259">
        <f>365*((('Financial Statements'!L34+'Financial Statements'!M34)/2)/'Financial Statements'!M12)</f>
        <v/>
      </c>
      <c r="N49" s="259">
        <f>365*((('Financial Statements'!M34+'Financial Statements'!N34)/2)/'Financial Statements'!N12)</f>
        <v/>
      </c>
      <c r="O49" s="259">
        <f>365*((('Financial Statements'!N34+'Financial Statements'!O34)/2)/'Financial Statements'!O12)</f>
        <v/>
      </c>
      <c r="P49" s="259">
        <f>365*((('Financial Statements'!O34+'Financial Statements'!P34)/2)/'Financial Statements'!P12)</f>
        <v/>
      </c>
      <c r="Q49" s="259">
        <f>365*((('Financial Statements'!P34+'Financial Statements'!Q34)/2)/'Financial Statements'!Q12)</f>
        <v/>
      </c>
      <c r="R49" s="259">
        <f>365*((('Financial Statements'!Q34+'Financial Statements'!R34)/2)/'Financial Statements'!R12)</f>
        <v/>
      </c>
    </row>
    <row r="50">
      <c r="A50" t="inlineStr">
        <is>
          <t>Avge Inventory Holding Period</t>
        </is>
      </c>
      <c r="B50" s="61" t="n"/>
      <c r="C50" s="258">
        <f>-365*((('Financial Statements'!B35+'Financial Statements'!C35)/2)/'Financial Statements'!C13)</f>
        <v/>
      </c>
      <c r="D50" s="258">
        <f>-365*((('Financial Statements'!C35+'Financial Statements'!D35)/2)/'Financial Statements'!D13)</f>
        <v/>
      </c>
      <c r="E50" s="258">
        <f>-365*((('Financial Statements'!D35+'Financial Statements'!E35)/2)/'Financial Statements'!E13)</f>
        <v/>
      </c>
      <c r="F50" s="258">
        <f>-365*((('Financial Statements'!E35+'Financial Statements'!F35)/2)/'Financial Statements'!F13)</f>
        <v/>
      </c>
      <c r="G50" s="259">
        <f>-365*((('Financial Statements'!F35+'Financial Statements'!G35)/2)/'Financial Statements'!G13)</f>
        <v/>
      </c>
      <c r="H50" s="259">
        <f>-365*((('Financial Statements'!G35+'Financial Statements'!H35)/2)/'Financial Statements'!H13)</f>
        <v/>
      </c>
      <c r="I50" s="259">
        <f>-365*((('Financial Statements'!H35+'Financial Statements'!I35)/2)/'Financial Statements'!I13)</f>
        <v/>
      </c>
      <c r="J50" s="259">
        <f>-365*((('Financial Statements'!I35+'Financial Statements'!J35)/2)/'Financial Statements'!J13)</f>
        <v/>
      </c>
      <c r="K50" s="259">
        <f>-365*((('Financial Statements'!J35+'Financial Statements'!K35)/2)/'Financial Statements'!K13)</f>
        <v/>
      </c>
      <c r="L50" s="259">
        <f>-365*((('Financial Statements'!K35+'Financial Statements'!L35)/2)/'Financial Statements'!L13)</f>
        <v/>
      </c>
      <c r="M50" s="259">
        <f>-365*((('Financial Statements'!L35+'Financial Statements'!M35)/2)/'Financial Statements'!M13)</f>
        <v/>
      </c>
      <c r="N50" s="259">
        <f>-365*((('Financial Statements'!M35+'Financial Statements'!N35)/2)/'Financial Statements'!N13)</f>
        <v/>
      </c>
      <c r="O50" s="259">
        <f>-365*((('Financial Statements'!N35+'Financial Statements'!O35)/2)/'Financial Statements'!O13)</f>
        <v/>
      </c>
      <c r="P50" s="259">
        <f>-365*((('Financial Statements'!O35+'Financial Statements'!P35)/2)/'Financial Statements'!P13)</f>
        <v/>
      </c>
      <c r="Q50" s="259">
        <f>-365*((('Financial Statements'!P35+'Financial Statements'!Q35)/2)/'Financial Statements'!Q13)</f>
        <v/>
      </c>
      <c r="R50" s="259">
        <f>-365*((('Financial Statements'!Q35+'Financial Statements'!R35)/2)/'Financial Statements'!R13)</f>
        <v/>
      </c>
    </row>
    <row r="51">
      <c r="A51" t="inlineStr">
        <is>
          <t>Avge Days to Pay Payables</t>
        </is>
      </c>
      <c r="B51" s="61" t="n"/>
      <c r="C51" s="258">
        <f>365*((('Financial Statements'!B45+'Financial Statements'!C45)/2)/(-'Financial Statements'!C13+'Financial Statements'!C35-'Financial Statements'!B35))</f>
        <v/>
      </c>
      <c r="D51" s="258">
        <f>365*((('Financial Statements'!C45+'Financial Statements'!D45)/2)/(-'Financial Statements'!D13+'Financial Statements'!D35-'Financial Statements'!C35))</f>
        <v/>
      </c>
      <c r="E51" s="258">
        <f>365*((('Financial Statements'!D45+'Financial Statements'!E45)/2)/(-'Financial Statements'!E13+'Financial Statements'!E35-'Financial Statements'!D35))</f>
        <v/>
      </c>
      <c r="F51" s="258">
        <f>365*((('Financial Statements'!E45+'Financial Statements'!F45)/2)/(-'Financial Statements'!F13+'Financial Statements'!F35-'Financial Statements'!E35))</f>
        <v/>
      </c>
      <c r="G51" s="259">
        <f>365*((('Financial Statements'!F45+'Financial Statements'!G45)/2)/(-'Financial Statements'!G13+'Financial Statements'!G35-'Financial Statements'!F35))</f>
        <v/>
      </c>
      <c r="H51" s="259">
        <f>365*((('Financial Statements'!G45+'Financial Statements'!H45)/2)/(-'Financial Statements'!H13+'Financial Statements'!H35-'Financial Statements'!G35))</f>
        <v/>
      </c>
      <c r="I51" s="259">
        <f>365*((('Financial Statements'!H45+'Financial Statements'!I45)/2)/(-'Financial Statements'!I13+'Financial Statements'!I35-'Financial Statements'!H35))</f>
        <v/>
      </c>
      <c r="J51" s="259">
        <f>365*((('Financial Statements'!I45+'Financial Statements'!J45)/2)/(-'Financial Statements'!J13+'Financial Statements'!J35-'Financial Statements'!I35))</f>
        <v/>
      </c>
      <c r="K51" s="259">
        <f>365*((('Financial Statements'!J45+'Financial Statements'!K45)/2)/(-'Financial Statements'!K13+'Financial Statements'!K35-'Financial Statements'!J35))</f>
        <v/>
      </c>
      <c r="L51" s="259">
        <f>365*((('Financial Statements'!K45+'Financial Statements'!L45)/2)/(-'Financial Statements'!L13+'Financial Statements'!L35-'Financial Statements'!K35))</f>
        <v/>
      </c>
      <c r="M51" s="259">
        <f>365*((('Financial Statements'!L45+'Financial Statements'!M45)/2)/(-'Financial Statements'!M13+'Financial Statements'!M35-'Financial Statements'!L35))</f>
        <v/>
      </c>
      <c r="N51" s="259">
        <f>365*((('Financial Statements'!M45+'Financial Statements'!N45)/2)/(-'Financial Statements'!N13+'Financial Statements'!N35-'Financial Statements'!M35))</f>
        <v/>
      </c>
      <c r="O51" s="259">
        <f>365*((('Financial Statements'!N45+'Financial Statements'!O45)/2)/(-'Financial Statements'!O13+'Financial Statements'!O35-'Financial Statements'!N35))</f>
        <v/>
      </c>
      <c r="P51" s="259">
        <f>365*((('Financial Statements'!O45+'Financial Statements'!P45)/2)/(-'Financial Statements'!P13+'Financial Statements'!P35-'Financial Statements'!O35))</f>
        <v/>
      </c>
      <c r="Q51" s="259">
        <f>365*((('Financial Statements'!P45+'Financial Statements'!Q45)/2)/(-'Financial Statements'!Q13+'Financial Statements'!Q35-'Financial Statements'!P35))</f>
        <v/>
      </c>
      <c r="R51" s="259">
        <f>365*((('Financial Statements'!Q45+'Financial Statements'!R45)/2)/(-'Financial Statements'!R13+'Financial Statements'!R35-'Financial Statements'!Q35))</f>
        <v/>
      </c>
    </row>
    <row r="52">
      <c r="A52" t="inlineStr">
        <is>
          <t>PP&amp;E Turnover</t>
        </is>
      </c>
      <c r="B52" s="61" t="n"/>
      <c r="C52" s="258">
        <f>'Financial Statements'!C12/(('Financial Statements'!B38+'Financial Statements'!C38)/2)</f>
        <v/>
      </c>
      <c r="D52" s="258">
        <f>'Financial Statements'!D12/(('Financial Statements'!C38+'Financial Statements'!D38)/2)</f>
        <v/>
      </c>
      <c r="E52" s="258">
        <f>'Financial Statements'!E12/(('Financial Statements'!D38+'Financial Statements'!E38)/2)</f>
        <v/>
      </c>
      <c r="F52" s="258">
        <f>'Financial Statements'!F12/(('Financial Statements'!E38+'Financial Statements'!F38)/2)</f>
        <v/>
      </c>
      <c r="G52" s="259">
        <f>'Financial Statements'!G12/(('Financial Statements'!F38+'Financial Statements'!G38)/2)</f>
        <v/>
      </c>
      <c r="H52" s="259">
        <f>'Financial Statements'!H12/(('Financial Statements'!G38+'Financial Statements'!H38)/2)</f>
        <v/>
      </c>
      <c r="I52" s="259">
        <f>'Financial Statements'!I12/(('Financial Statements'!H38+'Financial Statements'!I38)/2)</f>
        <v/>
      </c>
      <c r="J52" s="259">
        <f>'Financial Statements'!J12/(('Financial Statements'!I38+'Financial Statements'!J38)/2)</f>
        <v/>
      </c>
      <c r="K52" s="259">
        <f>'Financial Statements'!K12/(('Financial Statements'!J38+'Financial Statements'!K38)/2)</f>
        <v/>
      </c>
      <c r="L52" s="259">
        <f>'Financial Statements'!L12/(('Financial Statements'!K38+'Financial Statements'!L38)/2)</f>
        <v/>
      </c>
      <c r="M52" s="259">
        <f>'Financial Statements'!M12/(('Financial Statements'!L38+'Financial Statements'!M38)/2)</f>
        <v/>
      </c>
      <c r="N52" s="259">
        <f>'Financial Statements'!N12/(('Financial Statements'!M38+'Financial Statements'!N38)/2)</f>
        <v/>
      </c>
      <c r="O52" s="259">
        <f>'Financial Statements'!O12/(('Financial Statements'!N38+'Financial Statements'!O38)/2)</f>
        <v/>
      </c>
      <c r="P52" s="259">
        <f>'Financial Statements'!P12/(('Financial Statements'!O38+'Financial Statements'!P38)/2)</f>
        <v/>
      </c>
      <c r="Q52" s="259">
        <f>'Financial Statements'!Q12/(('Financial Statements'!P38+'Financial Statements'!Q38)/2)</f>
        <v/>
      </c>
      <c r="R52" s="259">
        <f>'Financial Statements'!R12/(('Financial Statements'!Q38+'Financial Statements'!R38)/2)</f>
        <v/>
      </c>
    </row>
    <row r="53">
      <c r="B53" s="61" t="n"/>
      <c r="C53" s="61" t="n"/>
      <c r="D53" s="61" t="n"/>
      <c r="E53" s="258" t="n"/>
      <c r="F53" s="258" t="n"/>
      <c r="G53" s="259" t="n"/>
      <c r="H53" s="259" t="n"/>
      <c r="I53" s="259" t="n"/>
      <c r="J53" s="259" t="n"/>
      <c r="K53" s="259" t="n"/>
      <c r="L53" s="259" t="n"/>
      <c r="M53" s="259" t="n"/>
      <c r="N53" s="259" t="n"/>
      <c r="O53" s="259" t="n"/>
      <c r="P53" s="259" t="n"/>
      <c r="Q53" s="259" t="n"/>
      <c r="R53" s="259" t="n"/>
    </row>
    <row r="54">
      <c r="A54" s="100" t="inlineStr">
        <is>
          <t>Analysis of Leverage</t>
        </is>
      </c>
      <c r="B54" s="150" t="n"/>
      <c r="C54" s="150" t="n"/>
      <c r="D54" s="150" t="n"/>
      <c r="E54" s="258" t="n"/>
      <c r="F54" s="258" t="n"/>
      <c r="G54" s="259" t="n"/>
      <c r="H54" s="259" t="n"/>
      <c r="I54" s="259" t="n"/>
      <c r="J54" s="259" t="n"/>
      <c r="K54" s="259" t="n"/>
      <c r="L54" s="259" t="n"/>
      <c r="M54" s="259" t="n"/>
      <c r="N54" s="259" t="n"/>
      <c r="O54" s="259" t="n"/>
      <c r="P54" s="259" t="n"/>
      <c r="Q54" s="259" t="n"/>
      <c r="R54" s="259" t="n"/>
    </row>
    <row r="55">
      <c r="A55" s="239" t="inlineStr">
        <is>
          <t xml:space="preserve"> - Long-Term Capital Structure</t>
        </is>
      </c>
      <c r="B55" s="150" t="n"/>
      <c r="C55" s="150" t="n"/>
      <c r="D55" s="150" t="n"/>
      <c r="E55" s="258" t="n"/>
      <c r="F55" s="258" t="n"/>
      <c r="G55" s="259" t="n"/>
      <c r="H55" s="259" t="n"/>
      <c r="I55" s="259" t="n"/>
      <c r="J55" s="259" t="n"/>
      <c r="K55" s="259" t="n"/>
      <c r="L55" s="259" t="n"/>
      <c r="M55" s="259" t="n"/>
      <c r="N55" s="259" t="n"/>
      <c r="O55" s="259" t="n"/>
      <c r="P55" s="259" t="n"/>
      <c r="Q55" s="259" t="n"/>
      <c r="R55" s="259" t="n"/>
    </row>
    <row r="56">
      <c r="A56" t="inlineStr">
        <is>
          <t>Debt to Equity Ratio</t>
        </is>
      </c>
      <c r="B56" s="258">
        <f>('Financial Statements'!B44+'Financial Statements'!B49)/('Financial Statements'!B57)</f>
        <v/>
      </c>
      <c r="C56" s="258">
        <f>('Financial Statements'!C44+'Financial Statements'!C49)/('Financial Statements'!C57)</f>
        <v/>
      </c>
      <c r="D56" s="258">
        <f>('Financial Statements'!D44+'Financial Statements'!D49)/('Financial Statements'!D57)</f>
        <v/>
      </c>
      <c r="E56" s="258">
        <f>('Financial Statements'!E44+'Financial Statements'!E49)/('Financial Statements'!E57)</f>
        <v/>
      </c>
      <c r="F56" s="258">
        <f>('Financial Statements'!F44+'Financial Statements'!F49)/('Financial Statements'!F57)</f>
        <v/>
      </c>
      <c r="G56" s="259">
        <f>('Financial Statements'!G44+'Financial Statements'!G49)/('Financial Statements'!G57)</f>
        <v/>
      </c>
      <c r="H56" s="259">
        <f>('Financial Statements'!H44+'Financial Statements'!H49)/('Financial Statements'!H57)</f>
        <v/>
      </c>
      <c r="I56" s="259">
        <f>('Financial Statements'!I44+'Financial Statements'!I49)/('Financial Statements'!I57)</f>
        <v/>
      </c>
      <c r="J56" s="259">
        <f>('Financial Statements'!J44+'Financial Statements'!J49)/('Financial Statements'!J57)</f>
        <v/>
      </c>
      <c r="K56" s="259">
        <f>('Financial Statements'!K44+'Financial Statements'!K49)/('Financial Statements'!K57)</f>
        <v/>
      </c>
      <c r="L56" s="259">
        <f>('Financial Statements'!L44+'Financial Statements'!L49)/('Financial Statements'!L57)</f>
        <v/>
      </c>
      <c r="M56" s="259">
        <f>('Financial Statements'!M44+'Financial Statements'!M49)/('Financial Statements'!M57)</f>
        <v/>
      </c>
      <c r="N56" s="259">
        <f>('Financial Statements'!N44+'Financial Statements'!N49)/('Financial Statements'!N57)</f>
        <v/>
      </c>
      <c r="O56" s="259">
        <f>('Financial Statements'!O44+'Financial Statements'!O49)/('Financial Statements'!O57)</f>
        <v/>
      </c>
      <c r="P56" s="259">
        <f>('Financial Statements'!P44+'Financial Statements'!P49)/('Financial Statements'!P57)</f>
        <v/>
      </c>
      <c r="Q56" s="259">
        <f>('Financial Statements'!Q44+'Financial Statements'!Q49)/('Financial Statements'!Q57)</f>
        <v/>
      </c>
      <c r="R56" s="259">
        <f>('Financial Statements'!R44+'Financial Statements'!R49)/('Financial Statements'!R57)</f>
        <v/>
      </c>
    </row>
    <row r="57">
      <c r="A57" t="inlineStr">
        <is>
          <t>FFO to Total Debt</t>
        </is>
      </c>
      <c r="B57" s="258" t="n"/>
      <c r="C57" s="258">
        <f>'Cash Flow Analysis'!B17/(('Financial Statements'!C44+'Financial Statements'!C49+'Financial Statements'!B44+'Financial Statements'!B49)/2)</f>
        <v/>
      </c>
      <c r="D57" s="258">
        <f>'Cash Flow Analysis'!C17/(('Financial Statements'!D44+'Financial Statements'!D49+'Financial Statements'!C44+'Financial Statements'!C49)/2)</f>
        <v/>
      </c>
      <c r="E57" s="258">
        <f>'Cash Flow Analysis'!D17/(('Financial Statements'!E44+'Financial Statements'!E49+'Financial Statements'!D44+'Financial Statements'!D49)/2)</f>
        <v/>
      </c>
      <c r="F57" s="258">
        <f>'Cash Flow Analysis'!E17/(('Financial Statements'!F44+'Financial Statements'!F49+'Financial Statements'!E44+'Financial Statements'!E49)/2)</f>
        <v/>
      </c>
      <c r="G57" s="259">
        <f>'Cash Flow Analysis'!F17/(('Financial Statements'!G44+'Financial Statements'!G49+'Financial Statements'!F44+'Financial Statements'!F49)/2)</f>
        <v/>
      </c>
      <c r="H57" s="259">
        <f>'Cash Flow Analysis'!G17/(('Financial Statements'!H44+'Financial Statements'!H49+'Financial Statements'!G44+'Financial Statements'!G49)/2)</f>
        <v/>
      </c>
      <c r="I57" s="259">
        <f>'Cash Flow Analysis'!H17/(('Financial Statements'!I44+'Financial Statements'!I49+'Financial Statements'!H44+'Financial Statements'!H49)/2)</f>
        <v/>
      </c>
      <c r="J57" s="259">
        <f>'Cash Flow Analysis'!I17/(('Financial Statements'!J44+'Financial Statements'!J49+'Financial Statements'!I44+'Financial Statements'!I49)/2)</f>
        <v/>
      </c>
      <c r="K57" s="259">
        <f>'Cash Flow Analysis'!J17/(('Financial Statements'!K44+'Financial Statements'!K49+'Financial Statements'!J44+'Financial Statements'!J49)/2)</f>
        <v/>
      </c>
      <c r="L57" s="259">
        <f>'Cash Flow Analysis'!K17/(('Financial Statements'!L44+'Financial Statements'!L49+'Financial Statements'!K44+'Financial Statements'!K49)/2)</f>
        <v/>
      </c>
      <c r="M57" s="259">
        <f>'Cash Flow Analysis'!L17/(('Financial Statements'!M44+'Financial Statements'!M49+'Financial Statements'!L44+'Financial Statements'!L49)/2)</f>
        <v/>
      </c>
      <c r="N57" s="259">
        <f>'Cash Flow Analysis'!M17/(('Financial Statements'!N44+'Financial Statements'!N49+'Financial Statements'!M44+'Financial Statements'!M49)/2)</f>
        <v/>
      </c>
      <c r="O57" s="259">
        <f>'Cash Flow Analysis'!N17/(('Financial Statements'!O44+'Financial Statements'!O49+'Financial Statements'!N44+'Financial Statements'!N49)/2)</f>
        <v/>
      </c>
      <c r="P57" s="259">
        <f>'Cash Flow Analysis'!O17/(('Financial Statements'!P44+'Financial Statements'!P49+'Financial Statements'!O44+'Financial Statements'!O49)/2)</f>
        <v/>
      </c>
      <c r="Q57" s="259">
        <f>'Cash Flow Analysis'!P17/(('Financial Statements'!Q44+'Financial Statements'!Q49+'Financial Statements'!P44+'Financial Statements'!P49)/2)</f>
        <v/>
      </c>
      <c r="R57" s="259">
        <f>'Cash Flow Analysis'!Q17/(('Financial Statements'!R44+'Financial Statements'!R49+'Financial Statements'!Q44+'Financial Statements'!Q49)/2)</f>
        <v/>
      </c>
    </row>
    <row r="58">
      <c r="A58" t="inlineStr">
        <is>
          <t>CFO to Total Debt</t>
        </is>
      </c>
      <c r="B58" s="258" t="n"/>
      <c r="C58" s="258">
        <f>'Cash Flow Analysis'!B24/(('Financial Statements'!C44+'Financial Statements'!C49+'Financial Statements'!B44+'Financial Statements'!B49)/2)</f>
        <v/>
      </c>
      <c r="D58" s="258">
        <f>'Cash Flow Analysis'!C24/(('Financial Statements'!D44+'Financial Statements'!D49+'Financial Statements'!C44+'Financial Statements'!C49)/2)</f>
        <v/>
      </c>
      <c r="E58" s="258">
        <f>'Cash Flow Analysis'!D24/(('Financial Statements'!E44+'Financial Statements'!E49+'Financial Statements'!D44+'Financial Statements'!D49)/2)</f>
        <v/>
      </c>
      <c r="F58" s="258">
        <f>'Cash Flow Analysis'!E24/(('Financial Statements'!F44+'Financial Statements'!F49+'Financial Statements'!E44+'Financial Statements'!E49)/2)</f>
        <v/>
      </c>
      <c r="G58" s="259">
        <f>'Cash Flow Analysis'!F24/(('Financial Statements'!G44+'Financial Statements'!G49+'Financial Statements'!F44+'Financial Statements'!F49)/2)</f>
        <v/>
      </c>
      <c r="H58" s="259">
        <f>'Cash Flow Analysis'!G24/(('Financial Statements'!H44+'Financial Statements'!H49+'Financial Statements'!G44+'Financial Statements'!G49)/2)</f>
        <v/>
      </c>
      <c r="I58" s="259">
        <f>'Cash Flow Analysis'!H24/(('Financial Statements'!I44+'Financial Statements'!I49+'Financial Statements'!H44+'Financial Statements'!H49)/2)</f>
        <v/>
      </c>
      <c r="J58" s="259">
        <f>'Cash Flow Analysis'!I24/(('Financial Statements'!J44+'Financial Statements'!J49+'Financial Statements'!I44+'Financial Statements'!I49)/2)</f>
        <v/>
      </c>
      <c r="K58" s="259">
        <f>'Cash Flow Analysis'!J24/(('Financial Statements'!K44+'Financial Statements'!K49+'Financial Statements'!J44+'Financial Statements'!J49)/2)</f>
        <v/>
      </c>
      <c r="L58" s="259">
        <f>'Cash Flow Analysis'!K24/(('Financial Statements'!L44+'Financial Statements'!L49+'Financial Statements'!K44+'Financial Statements'!K49)/2)</f>
        <v/>
      </c>
      <c r="M58" s="259">
        <f>'Cash Flow Analysis'!L24/(('Financial Statements'!M44+'Financial Statements'!M49+'Financial Statements'!L44+'Financial Statements'!L49)/2)</f>
        <v/>
      </c>
      <c r="N58" s="259">
        <f>'Cash Flow Analysis'!M24/(('Financial Statements'!N44+'Financial Statements'!N49+'Financial Statements'!M44+'Financial Statements'!M49)/2)</f>
        <v/>
      </c>
      <c r="O58" s="259">
        <f>'Cash Flow Analysis'!N24/(('Financial Statements'!O44+'Financial Statements'!O49+'Financial Statements'!N44+'Financial Statements'!N49)/2)</f>
        <v/>
      </c>
      <c r="P58" s="259">
        <f>'Cash Flow Analysis'!O24/(('Financial Statements'!P44+'Financial Statements'!P49+'Financial Statements'!O44+'Financial Statements'!O49)/2)</f>
        <v/>
      </c>
      <c r="Q58" s="259">
        <f>'Cash Flow Analysis'!P24/(('Financial Statements'!Q44+'Financial Statements'!Q49+'Financial Statements'!P44+'Financial Statements'!P49)/2)</f>
        <v/>
      </c>
      <c r="R58" s="259">
        <f>'Cash Flow Analysis'!Q24/(('Financial Statements'!R44+'Financial Statements'!R49+'Financial Statements'!Q44+'Financial Statements'!Q49)/2)</f>
        <v/>
      </c>
    </row>
    <row r="59">
      <c r="B59" s="61" t="n"/>
      <c r="C59" s="61" t="n"/>
      <c r="D59" s="61" t="n"/>
      <c r="E59" s="258" t="n"/>
      <c r="F59" s="258" t="n"/>
      <c r="G59" s="259" t="n"/>
      <c r="H59" s="259" t="n"/>
      <c r="I59" s="259" t="n"/>
      <c r="J59" s="259" t="n"/>
      <c r="K59" s="259" t="n"/>
      <c r="L59" s="259" t="n"/>
      <c r="M59" s="259" t="n"/>
      <c r="N59" s="259" t="n"/>
      <c r="O59" s="259" t="n"/>
      <c r="P59" s="259" t="n"/>
      <c r="Q59" s="259" t="n"/>
      <c r="R59" s="259" t="n"/>
    </row>
    <row r="60">
      <c r="A60" s="100" t="inlineStr">
        <is>
          <t>Analysis of Leverage</t>
        </is>
      </c>
      <c r="B60" s="150" t="n"/>
      <c r="C60" s="150" t="n"/>
      <c r="D60" s="150" t="n"/>
      <c r="E60" s="258" t="n"/>
      <c r="F60" s="258" t="n"/>
      <c r="G60" s="259" t="n"/>
      <c r="H60" s="259" t="n"/>
      <c r="I60" s="259" t="n"/>
      <c r="J60" s="259" t="n"/>
      <c r="K60" s="259" t="n"/>
      <c r="L60" s="259" t="n"/>
      <c r="M60" s="259" t="n"/>
      <c r="N60" s="259" t="n"/>
      <c r="O60" s="259" t="n"/>
      <c r="P60" s="259" t="n"/>
      <c r="Q60" s="259" t="n"/>
      <c r="R60" s="259" t="n"/>
    </row>
    <row r="61">
      <c r="A61" s="239" t="inlineStr">
        <is>
          <t xml:space="preserve"> - Short-Term Liquidity</t>
        </is>
      </c>
      <c r="B61" s="150" t="n"/>
      <c r="C61" s="150" t="n"/>
      <c r="D61" s="150" t="n"/>
      <c r="E61" s="258" t="n"/>
      <c r="F61" s="258" t="n"/>
      <c r="G61" s="259" t="n"/>
      <c r="H61" s="259" t="n"/>
      <c r="I61" s="259" t="n"/>
      <c r="J61" s="259" t="n"/>
      <c r="K61" s="259" t="n"/>
      <c r="L61" s="259" t="n"/>
      <c r="M61" s="259" t="n"/>
      <c r="N61" s="259" t="n"/>
      <c r="O61" s="259" t="n"/>
      <c r="P61" s="259" t="n"/>
      <c r="Q61" s="259" t="n"/>
      <c r="R61" s="259" t="n"/>
    </row>
    <row r="62">
      <c r="A62" t="inlineStr">
        <is>
          <t>Current Ratio</t>
        </is>
      </c>
      <c r="B62" s="258">
        <f>'Financial Statements'!B37/'Financial Statements'!B48</f>
        <v/>
      </c>
      <c r="C62" s="258">
        <f>'Financial Statements'!C37/'Financial Statements'!C48</f>
        <v/>
      </c>
      <c r="D62" s="258">
        <f>'Financial Statements'!D37/'Financial Statements'!D48</f>
        <v/>
      </c>
      <c r="E62" s="258">
        <f>'Financial Statements'!E37/'Financial Statements'!E48</f>
        <v/>
      </c>
      <c r="F62" s="258">
        <f>'Financial Statements'!F37/'Financial Statements'!F48</f>
        <v/>
      </c>
      <c r="G62" s="259">
        <f>'Financial Statements'!G37/'Financial Statements'!G48</f>
        <v/>
      </c>
      <c r="H62" s="259">
        <f>'Financial Statements'!H37/'Financial Statements'!H48</f>
        <v/>
      </c>
      <c r="I62" s="259">
        <f>'Financial Statements'!I37/'Financial Statements'!I48</f>
        <v/>
      </c>
      <c r="J62" s="259">
        <f>'Financial Statements'!J37/'Financial Statements'!J48</f>
        <v/>
      </c>
      <c r="K62" s="259">
        <f>'Financial Statements'!K37/'Financial Statements'!K48</f>
        <v/>
      </c>
      <c r="L62" s="259">
        <f>'Financial Statements'!L37/'Financial Statements'!L48</f>
        <v/>
      </c>
      <c r="M62" s="259">
        <f>'Financial Statements'!M37/'Financial Statements'!M48</f>
        <v/>
      </c>
      <c r="N62" s="259">
        <f>'Financial Statements'!N37/'Financial Statements'!N48</f>
        <v/>
      </c>
      <c r="O62" s="259">
        <f>'Financial Statements'!O37/'Financial Statements'!O48</f>
        <v/>
      </c>
      <c r="P62" s="259">
        <f>'Financial Statements'!P37/'Financial Statements'!P48</f>
        <v/>
      </c>
      <c r="Q62" s="259">
        <f>'Financial Statements'!Q37/'Financial Statements'!Q48</f>
        <v/>
      </c>
      <c r="R62" s="259">
        <f>'Financial Statements'!R37/'Financial Statements'!R48</f>
        <v/>
      </c>
    </row>
    <row r="63">
      <c r="A63" t="inlineStr">
        <is>
          <t>Quick Ratio</t>
        </is>
      </c>
      <c r="B63" s="258">
        <f>('Financial Statements'!B33+'Financial Statements'!B34)/'Financial Statements'!B48</f>
        <v/>
      </c>
      <c r="C63" s="258">
        <f>('Financial Statements'!C33+'Financial Statements'!C34)/'Financial Statements'!C48</f>
        <v/>
      </c>
      <c r="D63" s="258">
        <f>('Financial Statements'!D33+'Financial Statements'!D34)/'Financial Statements'!D48</f>
        <v/>
      </c>
      <c r="E63" s="258">
        <f>('Financial Statements'!E33+'Financial Statements'!E34)/'Financial Statements'!E48</f>
        <v/>
      </c>
      <c r="F63" s="258">
        <f>('Financial Statements'!F33+'Financial Statements'!F34)/'Financial Statements'!F48</f>
        <v/>
      </c>
      <c r="G63" s="259">
        <f>('Financial Statements'!G33+'Financial Statements'!G34)/'Financial Statements'!G48</f>
        <v/>
      </c>
      <c r="H63" s="259">
        <f>('Financial Statements'!H33+'Financial Statements'!H34)/'Financial Statements'!H48</f>
        <v/>
      </c>
      <c r="I63" s="259">
        <f>('Financial Statements'!I33+'Financial Statements'!I34)/'Financial Statements'!I48</f>
        <v/>
      </c>
      <c r="J63" s="259">
        <f>('Financial Statements'!J33+'Financial Statements'!J34)/'Financial Statements'!J48</f>
        <v/>
      </c>
      <c r="K63" s="259">
        <f>('Financial Statements'!K33+'Financial Statements'!K34)/'Financial Statements'!K48</f>
        <v/>
      </c>
      <c r="L63" s="259">
        <f>('Financial Statements'!L33+'Financial Statements'!L34)/'Financial Statements'!L48</f>
        <v/>
      </c>
      <c r="M63" s="259">
        <f>('Financial Statements'!M33+'Financial Statements'!M34)/'Financial Statements'!M48</f>
        <v/>
      </c>
      <c r="N63" s="259">
        <f>('Financial Statements'!N33+'Financial Statements'!N34)/'Financial Statements'!N48</f>
        <v/>
      </c>
      <c r="O63" s="259">
        <f>('Financial Statements'!O33+'Financial Statements'!O34)/'Financial Statements'!O48</f>
        <v/>
      </c>
      <c r="P63" s="259">
        <f>('Financial Statements'!P33+'Financial Statements'!P34)/'Financial Statements'!P48</f>
        <v/>
      </c>
      <c r="Q63" s="259">
        <f>('Financial Statements'!Q33+'Financial Statements'!Q34)/'Financial Statements'!Q48</f>
        <v/>
      </c>
      <c r="R63" s="259">
        <f>('Financial Statements'!R33+'Financial Statements'!R34)/'Financial Statements'!R48</f>
        <v/>
      </c>
    </row>
    <row r="64">
      <c r="A64" t="inlineStr">
        <is>
          <t>EBIT Interest Coverage</t>
        </is>
      </c>
      <c r="B64" s="258">
        <f>-'Financial Statements'!B19/'Financial Statements'!B20</f>
        <v/>
      </c>
      <c r="C64" s="258">
        <f>-'Financial Statements'!C19/'Financial Statements'!C20</f>
        <v/>
      </c>
      <c r="D64" s="258">
        <f>-'Financial Statements'!D19/'Financial Statements'!D20</f>
        <v/>
      </c>
      <c r="E64" s="258">
        <f>-'Financial Statements'!E19/'Financial Statements'!E20</f>
        <v/>
      </c>
      <c r="F64" s="258">
        <f>-'Financial Statements'!F19/'Financial Statements'!F20</f>
        <v/>
      </c>
      <c r="G64" s="259">
        <f>-'Financial Statements'!G19/'Financial Statements'!G20</f>
        <v/>
      </c>
      <c r="H64" s="259">
        <f>-'Financial Statements'!H19/'Financial Statements'!H20</f>
        <v/>
      </c>
      <c r="I64" s="259">
        <f>-'Financial Statements'!I19/'Financial Statements'!I20</f>
        <v/>
      </c>
      <c r="J64" s="259">
        <f>-'Financial Statements'!J19/'Financial Statements'!J20</f>
        <v/>
      </c>
      <c r="K64" s="259">
        <f>-'Financial Statements'!K19/'Financial Statements'!K20</f>
        <v/>
      </c>
      <c r="L64" s="259">
        <f>-'Financial Statements'!L19/'Financial Statements'!L20</f>
        <v/>
      </c>
      <c r="M64" s="259">
        <f>-'Financial Statements'!M19/'Financial Statements'!M20</f>
        <v/>
      </c>
      <c r="N64" s="259">
        <f>-'Financial Statements'!N19/'Financial Statements'!N20</f>
        <v/>
      </c>
      <c r="O64" s="259">
        <f>-'Financial Statements'!O19/'Financial Statements'!O20</f>
        <v/>
      </c>
      <c r="P64" s="259">
        <f>-'Financial Statements'!P19/'Financial Statements'!P20</f>
        <v/>
      </c>
      <c r="Q64" s="259">
        <f>-'Financial Statements'!Q19/'Financial Statements'!Q20</f>
        <v/>
      </c>
      <c r="R64" s="259">
        <f>-'Financial Statements'!R19/'Financial Statements'!R20</f>
        <v/>
      </c>
    </row>
    <row r="65">
      <c r="A65" t="inlineStr">
        <is>
          <t>EBITDA Interest Coverage</t>
        </is>
      </c>
      <c r="B65" s="258">
        <f>-'Financial Statements'!B17/'Financial Statements'!B20</f>
        <v/>
      </c>
      <c r="C65" s="258">
        <f>-'Financial Statements'!C17/'Financial Statements'!C20</f>
        <v/>
      </c>
      <c r="D65" s="258">
        <f>-'Financial Statements'!D17/'Financial Statements'!D20</f>
        <v/>
      </c>
      <c r="E65" s="258">
        <f>-'Financial Statements'!E17/'Financial Statements'!E20</f>
        <v/>
      </c>
      <c r="F65" s="258">
        <f>-'Financial Statements'!F17/'Financial Statements'!F20</f>
        <v/>
      </c>
      <c r="G65" s="259">
        <f>-'Financial Statements'!G17/'Financial Statements'!G20</f>
        <v/>
      </c>
      <c r="H65" s="259">
        <f>-'Financial Statements'!H17/'Financial Statements'!H20</f>
        <v/>
      </c>
      <c r="I65" s="259">
        <f>-'Financial Statements'!I17/'Financial Statements'!I20</f>
        <v/>
      </c>
      <c r="J65" s="259">
        <f>-'Financial Statements'!J17/'Financial Statements'!J20</f>
        <v/>
      </c>
      <c r="K65" s="259">
        <f>-'Financial Statements'!K17/'Financial Statements'!K20</f>
        <v/>
      </c>
      <c r="L65" s="259">
        <f>-'Financial Statements'!L17/'Financial Statements'!L20</f>
        <v/>
      </c>
      <c r="M65" s="259">
        <f>-'Financial Statements'!M17/'Financial Statements'!M20</f>
        <v/>
      </c>
      <c r="N65" s="259">
        <f>-'Financial Statements'!N17/'Financial Statements'!N20</f>
        <v/>
      </c>
      <c r="O65" s="259">
        <f>-'Financial Statements'!O17/'Financial Statements'!O20</f>
        <v/>
      </c>
      <c r="P65" s="259">
        <f>-'Financial Statements'!P17/'Financial Statements'!P20</f>
        <v/>
      </c>
      <c r="Q65" s="259">
        <f>-'Financial Statements'!Q17/'Financial Statements'!Q20</f>
        <v/>
      </c>
      <c r="R65" s="259">
        <f>-'Financial Statements'!R17/'Financial Statements'!R20</f>
        <v/>
      </c>
    </row>
    <row r="66">
      <c r="B66" s="258" t="n"/>
      <c r="C66" s="258" t="n"/>
      <c r="G66" s="259" t="n"/>
      <c r="H66" s="259" t="n"/>
      <c r="I66" s="259" t="n"/>
      <c r="J66" s="259" t="n"/>
      <c r="K66" s="259" t="n"/>
      <c r="L66" s="259" t="n"/>
      <c r="M66" s="259" t="n"/>
      <c r="N66" s="259" t="n"/>
      <c r="O66" s="259" t="n"/>
      <c r="P66" s="259" t="n"/>
      <c r="Q66" s="259" t="n"/>
      <c r="R66" s="259" t="n"/>
    </row>
    <row r="67" customFormat="1" s="195">
      <c r="A67" s="195" t="inlineStr">
        <is>
          <t>Fiscal Year</t>
        </is>
      </c>
      <c r="B67" s="170">
        <f>IF(MONTH(B7)&gt;6,YEAR(B7),YEAR(B7)-1)</f>
        <v/>
      </c>
      <c r="C67" s="170">
        <f>IF(MONTH(C7)&gt;6,YEAR(C7),YEAR(C7)-1)</f>
        <v/>
      </c>
      <c r="D67" s="170">
        <f>IF(MONTH(D7)&gt;6,YEAR(D7),YEAR(D7)-1)</f>
        <v/>
      </c>
      <c r="E67" s="170">
        <f>IF(MONTH(E7)&gt;6,YEAR(E7),YEAR(E7)-1)</f>
        <v/>
      </c>
      <c r="F67" s="170">
        <f>IF(MONTH(F7)&gt;6,YEAR(F7),YEAR(F7)-1)</f>
        <v/>
      </c>
      <c r="G67" s="195">
        <f>IF(MONTH(G7)&gt;6,YEAR(G7),YEAR(G7)-1)</f>
        <v/>
      </c>
      <c r="H67" s="195">
        <f>IF(MONTH(H7)&gt;6,YEAR(H7),YEAR(H7)-1)</f>
        <v/>
      </c>
      <c r="I67" s="195">
        <f>IF(MONTH(I7)&gt;6,YEAR(I7),YEAR(I7)-1)</f>
        <v/>
      </c>
      <c r="J67" s="195">
        <f>IF(MONTH(J7)&gt;6,YEAR(J7),YEAR(J7)-1)</f>
        <v/>
      </c>
      <c r="K67" s="195">
        <f>IF(MONTH(K7)&gt;6,YEAR(K7),YEAR(K7)-1)</f>
        <v/>
      </c>
      <c r="L67" s="195">
        <f>IF(MONTH(L7)&gt;6,YEAR(L7),YEAR(L7)-1)</f>
        <v/>
      </c>
      <c r="M67" s="195">
        <f>IF(MONTH(M7)&gt;6,YEAR(M7),YEAR(M7)-1)</f>
        <v/>
      </c>
      <c r="N67" s="195">
        <f>IF(MONTH(N7)&gt;6,YEAR(N7),YEAR(N7)-1)</f>
        <v/>
      </c>
      <c r="O67" s="195">
        <f>IF(MONTH(O7)&gt;6,YEAR(O7),YEAR(O7)-1)</f>
        <v/>
      </c>
      <c r="P67" s="195">
        <f>IF(MONTH(P7)&gt;6,YEAR(P7),YEAR(P7)-1)</f>
        <v/>
      </c>
      <c r="Q67" s="195">
        <f>IF(MONTH(Q7)&gt;6,YEAR(Q7),YEAR(Q7)-1)</f>
        <v/>
      </c>
      <c r="R67" s="195">
        <f>IF(MONTH(R7)&gt;6,YEAR(R7),YEAR(R7)-1)</f>
        <v/>
      </c>
    </row>
    <row r="68">
      <c r="E68" s="259" t="n"/>
      <c r="F68" s="259" t="n"/>
      <c r="G68" s="259" t="n"/>
      <c r="H68" s="259" t="n"/>
      <c r="I68" s="259" t="n"/>
      <c r="J68" s="259" t="n"/>
      <c r="K68" s="259" t="n"/>
      <c r="L68" s="259" t="n"/>
      <c r="M68" s="259" t="n"/>
      <c r="N68" s="259" t="n"/>
      <c r="O68" s="259" t="n"/>
      <c r="P68" s="259" t="n"/>
      <c r="Q68" s="259" t="n"/>
      <c r="R68" s="259" t="n"/>
    </row>
    <row r="69">
      <c r="E69" s="259" t="n"/>
      <c r="F69" s="259" t="n"/>
      <c r="G69" s="259" t="n"/>
      <c r="H69" s="259" t="n"/>
      <c r="I69" s="259" t="n"/>
      <c r="J69" s="259" t="n"/>
      <c r="K69" s="259" t="n"/>
      <c r="L69" s="259" t="n"/>
      <c r="M69" s="259" t="n"/>
      <c r="N69" s="259" t="n"/>
      <c r="O69" s="259" t="n"/>
      <c r="P69" s="259" t="n"/>
      <c r="Q69" s="259" t="n"/>
      <c r="R69" s="259" t="n"/>
    </row>
    <row r="70"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  <c r="P70" s="259" t="n"/>
      <c r="Q70" s="259" t="n"/>
      <c r="R70" s="259" t="n"/>
    </row>
    <row r="71">
      <c r="E71" s="259" t="n"/>
      <c r="F71" s="259" t="n"/>
      <c r="G71" s="259" t="n"/>
      <c r="H71" s="259" t="n"/>
      <c r="I71" s="259" t="n"/>
      <c r="J71" s="259" t="n"/>
      <c r="K71" s="259" t="n"/>
      <c r="L71" s="259" t="n"/>
      <c r="M71" s="259" t="n"/>
      <c r="N71" s="259" t="n"/>
      <c r="O71" s="259" t="n"/>
      <c r="P71" s="259" t="n"/>
      <c r="Q71" s="259" t="n"/>
      <c r="R71" s="259" t="n"/>
    </row>
    <row r="72"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  <c r="P72" s="259" t="n"/>
      <c r="Q72" s="259" t="n"/>
      <c r="R72" s="259" t="n"/>
    </row>
  </sheetData>
  <pageMargins left="0.75" right="0.75" top="1" bottom="1" header="0.5" footer="0.5"/>
  <pageSetup orientation="portrait" paperSize="1"/>
  <colBreaks count="1" manualBreakCount="1">
    <brk id="15" min="0" max="1048575" man="1"/>
  </colBreak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R130"/>
  <sheetViews>
    <sheetView zoomScale="125" zoomScaleNormal="125" workbookViewId="0">
      <pane xSplit="1" ySplit="7" topLeftCell="B8" activePane="bottomRight" state="frozenSplit"/>
      <selection activeCell="A1" sqref="A1"/>
      <selection pane="topRight" activeCell="A1" sqref="A1"/>
      <selection pane="bottomLeft" activeCell="A1" sqref="A1"/>
      <selection pane="bottomRight" activeCell="A19" sqref="A19"/>
    </sheetView>
  </sheetViews>
  <sheetFormatPr baseColWidth="8" defaultColWidth="8.830357142857141" defaultRowHeight="15.2"/>
  <cols>
    <col width="36.5" customWidth="1" style="16" min="1" max="1"/>
    <col width="15.6607142857143" customWidth="1" style="16" min="2" max="3"/>
    <col width="15.6607142857143" customWidth="1" style="61" min="4" max="5"/>
    <col width="15.6607142857143" customWidth="1" style="16" min="6" max="17"/>
  </cols>
  <sheetData>
    <row r="1" ht="20.4" customFormat="1" customHeight="1" s="56">
      <c r="A1" s="163" t="inlineStr">
        <is>
          <t>Cash Flow Analysis</t>
        </is>
      </c>
      <c r="B1" s="87" t="inlineStr">
        <is>
          <t>($000)</t>
        </is>
      </c>
      <c r="C1" s="164" t="n"/>
      <c r="D1" s="182" t="n"/>
      <c r="E1" s="1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</row>
    <row r="2" ht="18" customHeight="1" s="16">
      <c r="A2" s="138" t="n"/>
      <c r="B2" s="138" t="n"/>
      <c r="C2" s="138" t="n"/>
      <c r="D2" s="183" t="n"/>
      <c r="E2" s="183" t="n"/>
      <c r="F2" s="140" t="inlineStr">
        <is>
          <t xml:space="preserve"> </t>
        </is>
      </c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</row>
    <row r="3" ht="18" customHeight="1" s="16">
      <c r="A3" s="90" t="n"/>
      <c r="B3" s="90" t="n"/>
      <c r="C3" s="90" t="n"/>
      <c r="D3" s="184" t="n"/>
      <c r="E3" s="184" t="n"/>
      <c r="F3" s="141" t="n"/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</row>
    <row r="4">
      <c r="A4" s="17" t="inlineStr">
        <is>
          <t>Company Name</t>
        </is>
      </c>
      <c r="B4" s="61">
        <f>'Financial Statements'!B4</f>
        <v/>
      </c>
      <c r="C4" s="17" t="n"/>
      <c r="H4" s="106" t="n"/>
    </row>
    <row r="5">
      <c r="A5" s="17" t="n"/>
      <c r="B5" s="17" t="n"/>
      <c r="C5" s="17" t="n"/>
      <c r="D5" s="185" t="n"/>
    </row>
    <row r="6">
      <c r="A6" s="17" t="n"/>
      <c r="B6" s="145" t="inlineStr">
        <is>
          <t>Actual</t>
        </is>
      </c>
      <c r="C6" s="145" t="inlineStr">
        <is>
          <t>Actual</t>
        </is>
      </c>
      <c r="D6" s="145" t="inlineStr">
        <is>
          <t>Actual</t>
        </is>
      </c>
      <c r="E6" s="145" t="inlineStr">
        <is>
          <t>Actual</t>
        </is>
      </c>
      <c r="F6" s="191" t="inlineStr">
        <is>
          <t>Forecast</t>
        </is>
      </c>
      <c r="G6" s="191" t="inlineStr">
        <is>
          <t>Forecast</t>
        </is>
      </c>
      <c r="H6" s="191" t="inlineStr">
        <is>
          <t>Forecast</t>
        </is>
      </c>
      <c r="I6" s="191" t="inlineStr">
        <is>
          <t>Forecast</t>
        </is>
      </c>
      <c r="J6" s="191" t="inlineStr">
        <is>
          <t>Forecast</t>
        </is>
      </c>
      <c r="K6" s="191" t="inlineStr">
        <is>
          <t>Forecast</t>
        </is>
      </c>
      <c r="L6" s="191" t="inlineStr">
        <is>
          <t>Forecast</t>
        </is>
      </c>
      <c r="M6" s="191" t="inlineStr">
        <is>
          <t>Forecast</t>
        </is>
      </c>
      <c r="N6" s="191" t="inlineStr">
        <is>
          <t>Forecast</t>
        </is>
      </c>
      <c r="O6" s="191" t="inlineStr">
        <is>
          <t>Forecast</t>
        </is>
      </c>
      <c r="P6" s="191" t="inlineStr">
        <is>
          <t>Forecast</t>
        </is>
      </c>
      <c r="Q6" s="191" t="inlineStr">
        <is>
          <t>Forecast</t>
        </is>
      </c>
    </row>
    <row r="7" ht="15.95" customHeight="1" s="16">
      <c r="A7" s="17" t="inlineStr">
        <is>
          <t>Fiscal Year End Date</t>
        </is>
      </c>
      <c r="B7" s="260">
        <f>'Financial Statements'!C8</f>
        <v/>
      </c>
      <c r="C7" s="255">
        <f>'Financial Statements'!D8</f>
        <v/>
      </c>
      <c r="D7" s="255">
        <f>'Financial Statements'!E8</f>
        <v/>
      </c>
      <c r="E7" s="255">
        <f>'Financial Statements'!F8</f>
        <v/>
      </c>
      <c r="F7" s="249">
        <f>'Financial Statements'!G8</f>
        <v/>
      </c>
      <c r="G7" s="249">
        <f>'Financial Statements'!H8</f>
        <v/>
      </c>
      <c r="H7" s="249">
        <f>'Financial Statements'!I8</f>
        <v/>
      </c>
      <c r="I7" s="249">
        <f>'Financial Statements'!J8</f>
        <v/>
      </c>
      <c r="J7" s="249">
        <f>'Financial Statements'!K8</f>
        <v/>
      </c>
      <c r="K7" s="249">
        <f>'Financial Statements'!L8</f>
        <v/>
      </c>
      <c r="L7" s="249">
        <f>'Financial Statements'!M8</f>
        <v/>
      </c>
      <c r="M7" s="249">
        <f>'Financial Statements'!N8</f>
        <v/>
      </c>
      <c r="N7" s="249">
        <f>'Financial Statements'!O8</f>
        <v/>
      </c>
      <c r="O7" s="249">
        <f>'Financial Statements'!P8</f>
        <v/>
      </c>
      <c r="P7" s="249">
        <f>'Financial Statements'!Q8</f>
        <v/>
      </c>
      <c r="Q7" s="249">
        <f>'Financial Statements'!R8</f>
        <v/>
      </c>
    </row>
    <row r="8">
      <c r="A8" s="187" t="inlineStr">
        <is>
          <t>Pro Forma Statement of Cash Flows</t>
        </is>
      </c>
      <c r="B8" s="188" t="n"/>
      <c r="C8" s="17" t="n"/>
    </row>
    <row r="9">
      <c r="A9" s="17" t="n"/>
      <c r="B9" s="17" t="n"/>
      <c r="C9" s="17" t="n"/>
    </row>
    <row r="10">
      <c r="A10" t="inlineStr">
        <is>
          <t>Operating:</t>
        </is>
      </c>
    </row>
    <row r="11">
      <c r="A11" t="inlineStr">
        <is>
          <t>Net Income</t>
        </is>
      </c>
      <c r="B11" s="189">
        <f>'Financial Statements'!C29</f>
        <v/>
      </c>
      <c r="C11" s="189">
        <f>'Financial Statements'!D29</f>
        <v/>
      </c>
      <c r="D11" s="189">
        <f>'Financial Statements'!E29</f>
        <v/>
      </c>
      <c r="E11" s="189">
        <f>'Financial Statements'!F29</f>
        <v/>
      </c>
      <c r="F11" s="68">
        <f>'Financial Statements'!G29</f>
        <v/>
      </c>
      <c r="G11" s="68">
        <f>'Financial Statements'!H29</f>
        <v/>
      </c>
      <c r="H11" s="68">
        <f>'Financial Statements'!I29</f>
        <v/>
      </c>
      <c r="I11" s="68">
        <f>'Financial Statements'!J29</f>
        <v/>
      </c>
      <c r="J11" s="68">
        <f>'Financial Statements'!K29</f>
        <v/>
      </c>
      <c r="K11" s="68">
        <f>'Financial Statements'!L29</f>
        <v/>
      </c>
      <c r="L11" s="68">
        <f>'Financial Statements'!M29</f>
        <v/>
      </c>
      <c r="M11" s="68">
        <f>'Financial Statements'!N29</f>
        <v/>
      </c>
      <c r="N11" s="68">
        <f>'Financial Statements'!O29</f>
        <v/>
      </c>
      <c r="O11" s="68">
        <f>'Financial Statements'!P29</f>
        <v/>
      </c>
      <c r="P11" s="68">
        <f>'Financial Statements'!Q29</f>
        <v/>
      </c>
      <c r="Q11" s="68">
        <f>'Financial Statements'!R29</f>
        <v/>
      </c>
    </row>
    <row r="12">
      <c r="A12" t="inlineStr">
        <is>
          <t xml:space="preserve"> +Depreciation &amp; Amortization</t>
        </is>
      </c>
      <c r="B12" s="189">
        <f>-'Financial Statements'!C18</f>
        <v/>
      </c>
      <c r="C12" s="189">
        <f>-'Financial Statements'!D18</f>
        <v/>
      </c>
      <c r="D12" s="189">
        <f>-'Financial Statements'!E18</f>
        <v/>
      </c>
      <c r="E12" s="189">
        <f>-'Financial Statements'!F18</f>
        <v/>
      </c>
      <c r="F12" s="68">
        <f>-'Financial Statements'!G18</f>
        <v/>
      </c>
      <c r="G12" s="68">
        <f>-'Financial Statements'!H18</f>
        <v/>
      </c>
      <c r="H12" s="68">
        <f>-'Financial Statements'!I18</f>
        <v/>
      </c>
      <c r="I12" s="68">
        <f>-'Financial Statements'!J18</f>
        <v/>
      </c>
      <c r="J12" s="68">
        <f>-'Financial Statements'!K18</f>
        <v/>
      </c>
      <c r="K12" s="68">
        <f>-'Financial Statements'!L18</f>
        <v/>
      </c>
      <c r="L12" s="68">
        <f>-'Financial Statements'!M18</f>
        <v/>
      </c>
      <c r="M12" s="68">
        <f>-'Financial Statements'!N18</f>
        <v/>
      </c>
      <c r="N12" s="68">
        <f>-'Financial Statements'!O18</f>
        <v/>
      </c>
      <c r="O12" s="68">
        <f>-'Financial Statements'!P18</f>
        <v/>
      </c>
      <c r="P12" s="68">
        <f>-'Financial Statements'!Q18</f>
        <v/>
      </c>
      <c r="Q12" s="68">
        <f>-'Financial Statements'!R18</f>
        <v/>
      </c>
    </row>
    <row r="13">
      <c r="A13" t="inlineStr">
        <is>
          <t xml:space="preserve"> +Increase in Deferred Taxes</t>
        </is>
      </c>
      <c r="B13" s="189">
        <f>'Financial Statements'!C51-'Financial Statements'!B51</f>
        <v/>
      </c>
      <c r="C13" s="189">
        <f>'Financial Statements'!D51-'Financial Statements'!C51</f>
        <v/>
      </c>
      <c r="D13" s="189">
        <f>'Financial Statements'!E51-'Financial Statements'!D51</f>
        <v/>
      </c>
      <c r="E13" s="189">
        <f>'Financial Statements'!F51-'Financial Statements'!E51</f>
        <v/>
      </c>
      <c r="F13" s="68">
        <f>'Financial Statements'!G51-'Financial Statements'!F51</f>
        <v/>
      </c>
      <c r="G13" s="68">
        <f>'Financial Statements'!H51-'Financial Statements'!G51</f>
        <v/>
      </c>
      <c r="H13" s="68">
        <f>'Financial Statements'!I51-'Financial Statements'!H51</f>
        <v/>
      </c>
      <c r="I13" s="68">
        <f>'Financial Statements'!J51-'Financial Statements'!I51</f>
        <v/>
      </c>
      <c r="J13" s="68">
        <f>'Financial Statements'!K51-'Financial Statements'!J51</f>
        <v/>
      </c>
      <c r="K13" s="68">
        <f>'Financial Statements'!L51-'Financial Statements'!K51</f>
        <v/>
      </c>
      <c r="L13" s="68">
        <f>'Financial Statements'!M51-'Financial Statements'!L51</f>
        <v/>
      </c>
      <c r="M13" s="68">
        <f>'Financial Statements'!N51-'Financial Statements'!M51</f>
        <v/>
      </c>
      <c r="N13" s="68">
        <f>'Financial Statements'!O51-'Financial Statements'!N51</f>
        <v/>
      </c>
      <c r="O13" s="68">
        <f>'Financial Statements'!P51-'Financial Statements'!O51</f>
        <v/>
      </c>
      <c r="P13" s="68">
        <f>'Financial Statements'!Q51-'Financial Statements'!P51</f>
        <v/>
      </c>
      <c r="Q13" s="68">
        <f>'Financial Statements'!R51-'Financial Statements'!Q51</f>
        <v/>
      </c>
    </row>
    <row r="14">
      <c r="A14" t="inlineStr">
        <is>
          <t xml:space="preserve"> +Increase in Other Liabilities</t>
        </is>
      </c>
      <c r="B14" s="189">
        <f>'Financial Statements'!C50-'Financial Statements'!B50</f>
        <v/>
      </c>
      <c r="C14" s="189">
        <f>'Financial Statements'!D50-'Financial Statements'!C50</f>
        <v/>
      </c>
      <c r="D14" s="189">
        <f>'Financial Statements'!E50-'Financial Statements'!D50</f>
        <v/>
      </c>
      <c r="E14" s="189">
        <f>'Financial Statements'!F50-'Financial Statements'!E50</f>
        <v/>
      </c>
      <c r="F14" s="68">
        <f>'Financial Statements'!G50-'Financial Statements'!F50</f>
        <v/>
      </c>
      <c r="G14" s="68">
        <f>'Financial Statements'!H50-'Financial Statements'!G50</f>
        <v/>
      </c>
      <c r="H14" s="68">
        <f>'Financial Statements'!I50-'Financial Statements'!H50</f>
        <v/>
      </c>
      <c r="I14" s="68">
        <f>'Financial Statements'!J50-'Financial Statements'!I50</f>
        <v/>
      </c>
      <c r="J14" s="68">
        <f>'Financial Statements'!K50-'Financial Statements'!J50</f>
        <v/>
      </c>
      <c r="K14" s="68">
        <f>'Financial Statements'!L50-'Financial Statements'!K50</f>
        <v/>
      </c>
      <c r="L14" s="68">
        <f>'Financial Statements'!M50-'Financial Statements'!L50</f>
        <v/>
      </c>
      <c r="M14" s="68">
        <f>'Financial Statements'!N50-'Financial Statements'!M50</f>
        <v/>
      </c>
      <c r="N14" s="68">
        <f>'Financial Statements'!O50-'Financial Statements'!N50</f>
        <v/>
      </c>
      <c r="O14" s="68">
        <f>'Financial Statements'!P50-'Financial Statements'!O50</f>
        <v/>
      </c>
      <c r="P14" s="68">
        <f>'Financial Statements'!Q50-'Financial Statements'!P50</f>
        <v/>
      </c>
      <c r="Q14" s="68">
        <f>'Financial Statements'!R50-'Financial Statements'!Q50</f>
        <v/>
      </c>
    </row>
    <row r="15">
      <c r="A15" t="inlineStr">
        <is>
          <t xml:space="preserve"> +Noncontrolling Interest in Earnings</t>
        </is>
      </c>
      <c r="B15" s="189">
        <f>-'Financial Statements'!C27</f>
        <v/>
      </c>
      <c r="C15" s="189">
        <f>-'Financial Statements'!D27</f>
        <v/>
      </c>
      <c r="D15" s="189">
        <f>-'Financial Statements'!E27</f>
        <v/>
      </c>
      <c r="E15" s="189">
        <f>-'Financial Statements'!F27</f>
        <v/>
      </c>
      <c r="F15" s="68">
        <f>-'Financial Statements'!G27</f>
        <v/>
      </c>
      <c r="G15" s="68">
        <f>-'Financial Statements'!H27</f>
        <v/>
      </c>
      <c r="H15" s="68">
        <f>-'Financial Statements'!I27</f>
        <v/>
      </c>
      <c r="I15" s="68">
        <f>-'Financial Statements'!J27</f>
        <v/>
      </c>
      <c r="J15" s="68">
        <f>-'Financial Statements'!K27</f>
        <v/>
      </c>
      <c r="K15" s="68">
        <f>-'Financial Statements'!L27</f>
        <v/>
      </c>
      <c r="L15" s="68">
        <f>-'Financial Statements'!M27</f>
        <v/>
      </c>
      <c r="M15" s="68">
        <f>-'Financial Statements'!N27</f>
        <v/>
      </c>
      <c r="N15" s="68">
        <f>-'Financial Statements'!O27</f>
        <v/>
      </c>
      <c r="O15" s="68">
        <f>-'Financial Statements'!P27</f>
        <v/>
      </c>
      <c r="P15" s="68">
        <f>-'Financial Statements'!Q27</f>
        <v/>
      </c>
      <c r="Q15" s="68">
        <f>-'Financial Statements'!R27</f>
        <v/>
      </c>
    </row>
    <row r="16">
      <c r="A16" t="inlineStr">
        <is>
          <t xml:space="preserve"> +Preferred Dividends</t>
        </is>
      </c>
      <c r="B16" s="189">
        <f>-'Financial Statements'!C28</f>
        <v/>
      </c>
      <c r="C16" s="189">
        <f>-'Financial Statements'!D28</f>
        <v/>
      </c>
      <c r="D16" s="189">
        <f>-'Financial Statements'!E28</f>
        <v/>
      </c>
      <c r="E16" s="189">
        <f>-'Financial Statements'!F28</f>
        <v/>
      </c>
      <c r="F16" s="68">
        <f>-'Financial Statements'!G28</f>
        <v/>
      </c>
      <c r="G16" s="68">
        <f>-'Financial Statements'!H28</f>
        <v/>
      </c>
      <c r="H16" s="68">
        <f>-'Financial Statements'!I28</f>
        <v/>
      </c>
      <c r="I16" s="68">
        <f>-'Financial Statements'!J28</f>
        <v/>
      </c>
      <c r="J16" s="68">
        <f>-'Financial Statements'!K28</f>
        <v/>
      </c>
      <c r="K16" s="68">
        <f>-'Financial Statements'!L28</f>
        <v/>
      </c>
      <c r="L16" s="68">
        <f>-'Financial Statements'!M28</f>
        <v/>
      </c>
      <c r="M16" s="68">
        <f>-'Financial Statements'!N28</f>
        <v/>
      </c>
      <c r="N16" s="68">
        <f>-'Financial Statements'!O28</f>
        <v/>
      </c>
      <c r="O16" s="68">
        <f>-'Financial Statements'!P28</f>
        <v/>
      </c>
      <c r="P16" s="68">
        <f>-'Financial Statements'!Q28</f>
        <v/>
      </c>
      <c r="Q16" s="68">
        <f>-'Financial Statements'!R28</f>
        <v/>
      </c>
    </row>
    <row r="17">
      <c r="A17" t="inlineStr">
        <is>
          <t xml:space="preserve"> =Funds From Operations</t>
        </is>
      </c>
      <c r="B17" s="189">
        <f>B11+B12+B13+B14+B15+B16</f>
        <v/>
      </c>
      <c r="C17" s="189">
        <f>C11+C12+C13+C14+C15+C16</f>
        <v/>
      </c>
      <c r="D17" s="189">
        <f>D11+D12+D13+D14+D15+D16</f>
        <v/>
      </c>
      <c r="E17" s="189">
        <f>E11+E12+E13+E14+E15+E16</f>
        <v/>
      </c>
      <c r="F17" s="68">
        <f>F11+F12+F13+F14+F15+F16</f>
        <v/>
      </c>
      <c r="G17" s="68">
        <f>G11+G12+G13+G14+G15+G16</f>
        <v/>
      </c>
      <c r="H17" s="68">
        <f>H11+H12+H13+H14+H15+H16</f>
        <v/>
      </c>
      <c r="I17" s="68">
        <f>I11+I12+I13+I14+I15+I16</f>
        <v/>
      </c>
      <c r="J17" s="68">
        <f>J11+J12+J13+J14+J15+J16</f>
        <v/>
      </c>
      <c r="K17" s="68">
        <f>K11+K12+K13+K14+K15+K16</f>
        <v/>
      </c>
      <c r="L17" s="68">
        <f>L11+L12+L13+L14+L15+L16</f>
        <v/>
      </c>
      <c r="M17" s="68">
        <f>M11+M12+M13+M14+M15+M16</f>
        <v/>
      </c>
      <c r="N17" s="68">
        <f>N11+N12+N13+N14+N15+N16</f>
        <v/>
      </c>
      <c r="O17" s="68">
        <f>O11+O12+O13+O14+O15+O16</f>
        <v/>
      </c>
      <c r="P17" s="68">
        <f>P11+P12+P13+P14+P15+P16</f>
        <v/>
      </c>
      <c r="Q17" s="68">
        <f>Q11+Q12+Q13+Q14+Q15+Q16</f>
        <v/>
      </c>
    </row>
    <row r="18">
      <c r="A18" t="inlineStr">
        <is>
          <t xml:space="preserve"> -Increase in Receivables</t>
        </is>
      </c>
      <c r="B18" s="189">
        <f>-('Financial Statements'!C34-'Financial Statements'!B34)</f>
        <v/>
      </c>
      <c r="C18" s="189">
        <f>-('Financial Statements'!D34-'Financial Statements'!C34)</f>
        <v/>
      </c>
      <c r="D18" s="189">
        <f>-('Financial Statements'!E34-'Financial Statements'!D34)</f>
        <v/>
      </c>
      <c r="E18" s="189">
        <f>-('Financial Statements'!F34-'Financial Statements'!E34)</f>
        <v/>
      </c>
      <c r="F18" s="68">
        <f>-('Financial Statements'!G34-'Financial Statements'!F34)</f>
        <v/>
      </c>
      <c r="G18" s="68">
        <f>-('Financial Statements'!H34-'Financial Statements'!G34)</f>
        <v/>
      </c>
      <c r="H18" s="68">
        <f>-('Financial Statements'!I34-'Financial Statements'!H34)</f>
        <v/>
      </c>
      <c r="I18" s="68">
        <f>-('Financial Statements'!J34-'Financial Statements'!I34)</f>
        <v/>
      </c>
      <c r="J18" s="68">
        <f>-('Financial Statements'!K34-'Financial Statements'!J34)</f>
        <v/>
      </c>
      <c r="K18" s="68">
        <f>-('Financial Statements'!L34-'Financial Statements'!K34)</f>
        <v/>
      </c>
      <c r="L18" s="68">
        <f>-('Financial Statements'!M34-'Financial Statements'!L34)</f>
        <v/>
      </c>
      <c r="M18" s="68">
        <f>-('Financial Statements'!N34-'Financial Statements'!M34)</f>
        <v/>
      </c>
      <c r="N18" s="68">
        <f>-('Financial Statements'!O34-'Financial Statements'!N34)</f>
        <v/>
      </c>
      <c r="O18" s="68">
        <f>-('Financial Statements'!P34-'Financial Statements'!O34)</f>
        <v/>
      </c>
      <c r="P18" s="68">
        <f>-('Financial Statements'!Q34-'Financial Statements'!P34)</f>
        <v/>
      </c>
      <c r="Q18" s="68">
        <f>-('Financial Statements'!R34-'Financial Statements'!Q34)</f>
        <v/>
      </c>
    </row>
    <row r="19">
      <c r="A19" t="inlineStr">
        <is>
          <t xml:space="preserve"> -Increase in Inventory</t>
        </is>
      </c>
      <c r="B19" s="189">
        <f>-('Financial Statements'!C35-'Financial Statements'!B35)</f>
        <v/>
      </c>
      <c r="C19" s="189">
        <f>-('Financial Statements'!D35-'Financial Statements'!C35)</f>
        <v/>
      </c>
      <c r="D19" s="189">
        <f>-('Financial Statements'!E35-'Financial Statements'!D35)</f>
        <v/>
      </c>
      <c r="E19" s="189">
        <f>-('Financial Statements'!F35-'Financial Statements'!E35)</f>
        <v/>
      </c>
      <c r="F19" s="68">
        <f>-('Financial Statements'!G35-'Financial Statements'!F35)</f>
        <v/>
      </c>
      <c r="G19" s="68">
        <f>-('Financial Statements'!H35-'Financial Statements'!G35)</f>
        <v/>
      </c>
      <c r="H19" s="68">
        <f>-('Financial Statements'!I35-'Financial Statements'!H35)</f>
        <v/>
      </c>
      <c r="I19" s="68">
        <f>-('Financial Statements'!J35-'Financial Statements'!I35)</f>
        <v/>
      </c>
      <c r="J19" s="68">
        <f>-('Financial Statements'!K35-'Financial Statements'!J35)</f>
        <v/>
      </c>
      <c r="K19" s="68">
        <f>-('Financial Statements'!L35-'Financial Statements'!K35)</f>
        <v/>
      </c>
      <c r="L19" s="68">
        <f>-('Financial Statements'!M35-'Financial Statements'!L35)</f>
        <v/>
      </c>
      <c r="M19" s="68">
        <f>-('Financial Statements'!N35-'Financial Statements'!M35)</f>
        <v/>
      </c>
      <c r="N19" s="68">
        <f>-('Financial Statements'!O35-'Financial Statements'!N35)</f>
        <v/>
      </c>
      <c r="O19" s="68">
        <f>-('Financial Statements'!P35-'Financial Statements'!O35)</f>
        <v/>
      </c>
      <c r="P19" s="68">
        <f>-('Financial Statements'!Q35-'Financial Statements'!P35)</f>
        <v/>
      </c>
      <c r="Q19" s="68">
        <f>-('Financial Statements'!R35-'Financial Statements'!Q35)</f>
        <v/>
      </c>
    </row>
    <row r="20">
      <c r="A20" t="inlineStr">
        <is>
          <t xml:space="preserve"> -Increase in Other Current Assets</t>
        </is>
      </c>
      <c r="B20" s="189">
        <f>-('Financial Statements'!C36-'Financial Statements'!B36)</f>
        <v/>
      </c>
      <c r="C20" s="189">
        <f>-('Financial Statements'!D36-'Financial Statements'!C36)</f>
        <v/>
      </c>
      <c r="D20" s="189">
        <f>-('Financial Statements'!E36-'Financial Statements'!D36)</f>
        <v/>
      </c>
      <c r="E20" s="189">
        <f>-('Financial Statements'!F36-'Financial Statements'!E36)</f>
        <v/>
      </c>
      <c r="F20" s="68">
        <f>-('Financial Statements'!G36-'Financial Statements'!F36)</f>
        <v/>
      </c>
      <c r="G20" s="68">
        <f>-('Financial Statements'!H36-'Financial Statements'!G36)</f>
        <v/>
      </c>
      <c r="H20" s="68">
        <f>-('Financial Statements'!I36-'Financial Statements'!H36)</f>
        <v/>
      </c>
      <c r="I20" s="68">
        <f>-('Financial Statements'!J36-'Financial Statements'!I36)</f>
        <v/>
      </c>
      <c r="J20" s="68">
        <f>-('Financial Statements'!K36-'Financial Statements'!J36)</f>
        <v/>
      </c>
      <c r="K20" s="68">
        <f>-('Financial Statements'!L36-'Financial Statements'!K36)</f>
        <v/>
      </c>
      <c r="L20" s="68">
        <f>-('Financial Statements'!M36-'Financial Statements'!L36)</f>
        <v/>
      </c>
      <c r="M20" s="68">
        <f>-('Financial Statements'!N36-'Financial Statements'!M36)</f>
        <v/>
      </c>
      <c r="N20" s="68">
        <f>-('Financial Statements'!O36-'Financial Statements'!N36)</f>
        <v/>
      </c>
      <c r="O20" s="68">
        <f>-('Financial Statements'!P36-'Financial Statements'!O36)</f>
        <v/>
      </c>
      <c r="P20" s="68">
        <f>-('Financial Statements'!Q36-'Financial Statements'!P36)</f>
        <v/>
      </c>
      <c r="Q20" s="68">
        <f>-('Financial Statements'!R36-'Financial Statements'!Q36)</f>
        <v/>
      </c>
    </row>
    <row r="21">
      <c r="A21" t="inlineStr">
        <is>
          <t xml:space="preserve"> +Increase in Accounts Payable</t>
        </is>
      </c>
      <c r="B21" s="189">
        <f>('Financial Statements'!C45-'Financial Statements'!B45)</f>
        <v/>
      </c>
      <c r="C21" s="189">
        <f>('Financial Statements'!D45-'Financial Statements'!C45)</f>
        <v/>
      </c>
      <c r="D21" s="189">
        <f>('Financial Statements'!E45-'Financial Statements'!D45)</f>
        <v/>
      </c>
      <c r="E21" s="189">
        <f>('Financial Statements'!F45-'Financial Statements'!E45)</f>
        <v/>
      </c>
      <c r="F21" s="68">
        <f>('Financial Statements'!G45-'Financial Statements'!F45)</f>
        <v/>
      </c>
      <c r="G21" s="68">
        <f>('Financial Statements'!H45-'Financial Statements'!G45)</f>
        <v/>
      </c>
      <c r="H21" s="68">
        <f>('Financial Statements'!I45-'Financial Statements'!H45)</f>
        <v/>
      </c>
      <c r="I21" s="68">
        <f>('Financial Statements'!J45-'Financial Statements'!I45)</f>
        <v/>
      </c>
      <c r="J21" s="68">
        <f>('Financial Statements'!K45-'Financial Statements'!J45)</f>
        <v/>
      </c>
      <c r="K21" s="68">
        <f>('Financial Statements'!L45-'Financial Statements'!K45)</f>
        <v/>
      </c>
      <c r="L21" s="68">
        <f>('Financial Statements'!M45-'Financial Statements'!L45)</f>
        <v/>
      </c>
      <c r="M21" s="68">
        <f>('Financial Statements'!N45-'Financial Statements'!M45)</f>
        <v/>
      </c>
      <c r="N21" s="68">
        <f>('Financial Statements'!O45-'Financial Statements'!N45)</f>
        <v/>
      </c>
      <c r="O21" s="68">
        <f>('Financial Statements'!P45-'Financial Statements'!O45)</f>
        <v/>
      </c>
      <c r="P21" s="68">
        <f>('Financial Statements'!Q45-'Financial Statements'!P45)</f>
        <v/>
      </c>
      <c r="Q21" s="68">
        <f>('Financial Statements'!R45-'Financial Statements'!Q45)</f>
        <v/>
      </c>
    </row>
    <row r="22">
      <c r="A22" t="inlineStr">
        <is>
          <t xml:space="preserve"> +Increase in Taxes Payable</t>
        </is>
      </c>
      <c r="B22" s="189">
        <f>('Financial Statements'!C46-'Financial Statements'!B46)</f>
        <v/>
      </c>
      <c r="C22" s="189">
        <f>('Financial Statements'!D46-'Financial Statements'!C46)</f>
        <v/>
      </c>
      <c r="D22" s="189">
        <f>('Financial Statements'!E46-'Financial Statements'!D46)</f>
        <v/>
      </c>
      <c r="E22" s="189">
        <f>('Financial Statements'!F46-'Financial Statements'!E46)</f>
        <v/>
      </c>
      <c r="F22" s="68">
        <f>('Financial Statements'!G46-'Financial Statements'!F46)</f>
        <v/>
      </c>
      <c r="G22" s="68">
        <f>('Financial Statements'!H46-'Financial Statements'!G46)</f>
        <v/>
      </c>
      <c r="H22" s="68">
        <f>('Financial Statements'!I46-'Financial Statements'!H46)</f>
        <v/>
      </c>
      <c r="I22" s="68">
        <f>('Financial Statements'!J46-'Financial Statements'!I46)</f>
        <v/>
      </c>
      <c r="J22" s="68">
        <f>('Financial Statements'!K46-'Financial Statements'!J46)</f>
        <v/>
      </c>
      <c r="K22" s="68">
        <f>('Financial Statements'!L46-'Financial Statements'!K46)</f>
        <v/>
      </c>
      <c r="L22" s="68">
        <f>('Financial Statements'!M46-'Financial Statements'!L46)</f>
        <v/>
      </c>
      <c r="M22" s="68">
        <f>('Financial Statements'!N46-'Financial Statements'!M46)</f>
        <v/>
      </c>
      <c r="N22" s="68">
        <f>('Financial Statements'!O46-'Financial Statements'!N46)</f>
        <v/>
      </c>
      <c r="O22" s="68">
        <f>('Financial Statements'!P46-'Financial Statements'!O46)</f>
        <v/>
      </c>
      <c r="P22" s="68">
        <f>('Financial Statements'!Q46-'Financial Statements'!P46)</f>
        <v/>
      </c>
      <c r="Q22" s="68">
        <f>('Financial Statements'!R46-'Financial Statements'!Q46)</f>
        <v/>
      </c>
    </row>
    <row r="23">
      <c r="A23" t="inlineStr">
        <is>
          <t xml:space="preserve"> +Increase in Other Curr. Liabilities</t>
        </is>
      </c>
      <c r="B23" s="189">
        <f>('Financial Statements'!C47-'Financial Statements'!B47)</f>
        <v/>
      </c>
      <c r="C23" s="189">
        <f>('Financial Statements'!D47-'Financial Statements'!C47)</f>
        <v/>
      </c>
      <c r="D23" s="189">
        <f>('Financial Statements'!E47-'Financial Statements'!D47)</f>
        <v/>
      </c>
      <c r="E23" s="189">
        <f>('Financial Statements'!F47-'Financial Statements'!E47)</f>
        <v/>
      </c>
      <c r="F23" s="68">
        <f>('Financial Statements'!G47-'Financial Statements'!F47)</f>
        <v/>
      </c>
      <c r="G23" s="68">
        <f>('Financial Statements'!H47-'Financial Statements'!G47)</f>
        <v/>
      </c>
      <c r="H23" s="68">
        <f>('Financial Statements'!I47-'Financial Statements'!H47)</f>
        <v/>
      </c>
      <c r="I23" s="68">
        <f>('Financial Statements'!J47-'Financial Statements'!I47)</f>
        <v/>
      </c>
      <c r="J23" s="68">
        <f>('Financial Statements'!K47-'Financial Statements'!J47)</f>
        <v/>
      </c>
      <c r="K23" s="68">
        <f>('Financial Statements'!L47-'Financial Statements'!K47)</f>
        <v/>
      </c>
      <c r="L23" s="68">
        <f>('Financial Statements'!M47-'Financial Statements'!L47)</f>
        <v/>
      </c>
      <c r="M23" s="68">
        <f>('Financial Statements'!N47-'Financial Statements'!M47)</f>
        <v/>
      </c>
      <c r="N23" s="68">
        <f>('Financial Statements'!O47-'Financial Statements'!N47)</f>
        <v/>
      </c>
      <c r="O23" s="68">
        <f>('Financial Statements'!P47-'Financial Statements'!O47)</f>
        <v/>
      </c>
      <c r="P23" s="68">
        <f>('Financial Statements'!Q47-'Financial Statements'!P47)</f>
        <v/>
      </c>
      <c r="Q23" s="68">
        <f>('Financial Statements'!R47-'Financial Statements'!Q47)</f>
        <v/>
      </c>
    </row>
    <row r="24">
      <c r="A24" t="inlineStr">
        <is>
          <t xml:space="preserve"> =Cash From Operations</t>
        </is>
      </c>
      <c r="B24" s="189">
        <f>B17+B18+B19+B20+B21+B22+B23</f>
        <v/>
      </c>
      <c r="C24" s="189">
        <f>C17+C18+C19+C20+C21+C22+C23</f>
        <v/>
      </c>
      <c r="D24" s="189">
        <f>D17+D18+D19+D20+D21+D22+D23</f>
        <v/>
      </c>
      <c r="E24" s="189">
        <f>E17+E18+E19+E20+E21+E22+E23</f>
        <v/>
      </c>
      <c r="F24" s="68">
        <f>F17+F18+F19+F20+F21+F22+F23</f>
        <v/>
      </c>
      <c r="G24" s="68">
        <f>G17+G18+G19+G20+G21+G22+G23</f>
        <v/>
      </c>
      <c r="H24" s="68">
        <f>H17+H18+H19+H20+H21+H22+H23</f>
        <v/>
      </c>
      <c r="I24" s="68">
        <f>I17+I18+I19+I20+I21+I22+I23</f>
        <v/>
      </c>
      <c r="J24" s="68">
        <f>J17+J18+J19+J20+J21+J22+J23</f>
        <v/>
      </c>
      <c r="K24" s="68">
        <f>K17+K18+K19+K20+K21+K22+K23</f>
        <v/>
      </c>
      <c r="L24" s="68">
        <f>L17+L18+L19+L20+L21+L22+L23</f>
        <v/>
      </c>
      <c r="M24" s="68">
        <f>M17+M18+M19+M20+M21+M22+M23</f>
        <v/>
      </c>
      <c r="N24" s="68">
        <f>N17+N18+N19+N20+N21+N22+N23</f>
        <v/>
      </c>
      <c r="O24" s="68">
        <f>O17+O18+O19+O20+O21+O22+O23</f>
        <v/>
      </c>
      <c r="P24" s="68">
        <f>P17+P18+P19+P20+P21+P22+P23</f>
        <v/>
      </c>
      <c r="Q24" s="68">
        <f>Q17+Q18+Q19+Q20+Q21+Q22+Q23</f>
        <v/>
      </c>
    </row>
    <row r="26">
      <c r="A26" t="inlineStr">
        <is>
          <t>Investing:</t>
        </is>
      </c>
    </row>
    <row r="27">
      <c r="A27" t="inlineStr">
        <is>
          <t xml:space="preserve"> -Capital Expenditures</t>
        </is>
      </c>
      <c r="B27" s="189">
        <f>-('Financial Statements'!C38-'Financial Statements'!B38-'Financial Statements'!C18)</f>
        <v/>
      </c>
      <c r="C27" s="189">
        <f>-('Financial Statements'!D38-'Financial Statements'!C38-'Financial Statements'!D18)</f>
        <v/>
      </c>
      <c r="D27" s="189">
        <f>-('Financial Statements'!E38-'Financial Statements'!D38-'Financial Statements'!E18)</f>
        <v/>
      </c>
      <c r="E27" s="189">
        <f>-('Financial Statements'!F38-'Financial Statements'!E38-'Financial Statements'!F18)</f>
        <v/>
      </c>
      <c r="F27" s="68">
        <f>-('Financial Statements'!G38-'Financial Statements'!F38-'Financial Statements'!G18)</f>
        <v/>
      </c>
      <c r="G27" s="68">
        <f>-('Financial Statements'!H38-'Financial Statements'!G38-'Financial Statements'!H18)</f>
        <v/>
      </c>
      <c r="H27" s="68">
        <f>-('Financial Statements'!I38-'Financial Statements'!H38-'Financial Statements'!I18)</f>
        <v/>
      </c>
      <c r="I27" s="68">
        <f>-('Financial Statements'!J38-'Financial Statements'!I38-'Financial Statements'!J18)</f>
        <v/>
      </c>
      <c r="J27" s="68">
        <f>-('Financial Statements'!K38-'Financial Statements'!J38-'Financial Statements'!K18)</f>
        <v/>
      </c>
      <c r="K27" s="68">
        <f>-('Financial Statements'!L38-'Financial Statements'!K38-'Financial Statements'!L18)</f>
        <v/>
      </c>
      <c r="L27" s="68">
        <f>-('Financial Statements'!M38-'Financial Statements'!L38-'Financial Statements'!M18)</f>
        <v/>
      </c>
      <c r="M27" s="68">
        <f>-('Financial Statements'!N38-'Financial Statements'!M38-'Financial Statements'!N18)</f>
        <v/>
      </c>
      <c r="N27" s="68">
        <f>-('Financial Statements'!O38-'Financial Statements'!N38-'Financial Statements'!O18)</f>
        <v/>
      </c>
      <c r="O27" s="68">
        <f>-('Financial Statements'!P38-'Financial Statements'!O38-'Financial Statements'!P18)</f>
        <v/>
      </c>
      <c r="P27" s="68">
        <f>-('Financial Statements'!Q38-'Financial Statements'!P38-'Financial Statements'!Q18)</f>
        <v/>
      </c>
      <c r="Q27" s="68">
        <f>-('Financial Statements'!R38-'Financial Statements'!Q38-'Financial Statements'!R18)</f>
        <v/>
      </c>
    </row>
    <row r="28">
      <c r="A28" t="inlineStr">
        <is>
          <t xml:space="preserve"> -Increase in Investments</t>
        </is>
      </c>
      <c r="B28" s="189">
        <f>-('Financial Statements'!C39-'Financial Statements'!B39)</f>
        <v/>
      </c>
      <c r="C28" s="189">
        <f>-('Financial Statements'!D39-'Financial Statements'!C39)</f>
        <v/>
      </c>
      <c r="D28" s="189">
        <f>-('Financial Statements'!E39-'Financial Statements'!D39)</f>
        <v/>
      </c>
      <c r="E28" s="189">
        <f>-('Financial Statements'!F39-'Financial Statements'!E39)</f>
        <v/>
      </c>
      <c r="F28" s="68">
        <f>-('Financial Statements'!G39-'Financial Statements'!F39)</f>
        <v/>
      </c>
      <c r="G28" s="68">
        <f>-('Financial Statements'!H39-'Financial Statements'!G39)</f>
        <v/>
      </c>
      <c r="H28" s="68">
        <f>-('Financial Statements'!I39-'Financial Statements'!H39)</f>
        <v/>
      </c>
      <c r="I28" s="68">
        <f>-('Financial Statements'!J39-'Financial Statements'!I39)</f>
        <v/>
      </c>
      <c r="J28" s="68">
        <f>-('Financial Statements'!K39-'Financial Statements'!J39)</f>
        <v/>
      </c>
      <c r="K28" s="68">
        <f>-('Financial Statements'!L39-'Financial Statements'!K39)</f>
        <v/>
      </c>
      <c r="L28" s="68">
        <f>-('Financial Statements'!M39-'Financial Statements'!L39)</f>
        <v/>
      </c>
      <c r="M28" s="68">
        <f>-('Financial Statements'!N39-'Financial Statements'!M39)</f>
        <v/>
      </c>
      <c r="N28" s="68">
        <f>-('Financial Statements'!O39-'Financial Statements'!N39)</f>
        <v/>
      </c>
      <c r="O28" s="68">
        <f>-('Financial Statements'!P39-'Financial Statements'!O39)</f>
        <v/>
      </c>
      <c r="P28" s="68">
        <f>-('Financial Statements'!Q39-'Financial Statements'!P39)</f>
        <v/>
      </c>
      <c r="Q28" s="68">
        <f>-('Financial Statements'!R39-'Financial Statements'!Q39)</f>
        <v/>
      </c>
    </row>
    <row r="29">
      <c r="A29" t="inlineStr">
        <is>
          <t xml:space="preserve"> -Purchases of Intangibles</t>
        </is>
      </c>
      <c r="B29" s="189">
        <f>-('Financial Statements'!C40-'Financial Statements'!B40)</f>
        <v/>
      </c>
      <c r="C29" s="189">
        <f>-('Financial Statements'!D40-'Financial Statements'!C40)</f>
        <v/>
      </c>
      <c r="D29" s="189">
        <f>-('Financial Statements'!E40-'Financial Statements'!D40)</f>
        <v/>
      </c>
      <c r="E29" s="189">
        <f>-('Financial Statements'!F40-'Financial Statements'!E40)</f>
        <v/>
      </c>
      <c r="F29" s="68">
        <f>-('Financial Statements'!G40-'Financial Statements'!F40)</f>
        <v/>
      </c>
      <c r="G29" s="68">
        <f>-('Financial Statements'!H40-'Financial Statements'!G40)</f>
        <v/>
      </c>
      <c r="H29" s="68">
        <f>-('Financial Statements'!I40-'Financial Statements'!H40)</f>
        <v/>
      </c>
      <c r="I29" s="68">
        <f>-('Financial Statements'!J40-'Financial Statements'!I40)</f>
        <v/>
      </c>
      <c r="J29" s="68">
        <f>-('Financial Statements'!K40-'Financial Statements'!J40)</f>
        <v/>
      </c>
      <c r="K29" s="68">
        <f>-('Financial Statements'!L40-'Financial Statements'!K40)</f>
        <v/>
      </c>
      <c r="L29" s="68">
        <f>-('Financial Statements'!M40-'Financial Statements'!L40)</f>
        <v/>
      </c>
      <c r="M29" s="68">
        <f>-('Financial Statements'!N40-'Financial Statements'!M40)</f>
        <v/>
      </c>
      <c r="N29" s="68">
        <f>-('Financial Statements'!O40-'Financial Statements'!N40)</f>
        <v/>
      </c>
      <c r="O29" s="68">
        <f>-('Financial Statements'!P40-'Financial Statements'!O40)</f>
        <v/>
      </c>
      <c r="P29" s="68">
        <f>-('Financial Statements'!Q40-'Financial Statements'!P40)</f>
        <v/>
      </c>
      <c r="Q29" s="68">
        <f>-('Financial Statements'!R40-'Financial Statements'!Q40)</f>
        <v/>
      </c>
    </row>
    <row r="30">
      <c r="A30" t="inlineStr">
        <is>
          <t xml:space="preserve"> -Increase in Other Assets</t>
        </is>
      </c>
      <c r="B30" s="189">
        <f>-('Financial Statements'!C41-'Financial Statements'!B41)</f>
        <v/>
      </c>
      <c r="C30" s="189">
        <f>-('Financial Statements'!D41-'Financial Statements'!C41)</f>
        <v/>
      </c>
      <c r="D30" s="189">
        <f>-('Financial Statements'!E41-'Financial Statements'!D41)</f>
        <v/>
      </c>
      <c r="E30" s="189">
        <f>-('Financial Statements'!F41-'Financial Statements'!E41)</f>
        <v/>
      </c>
      <c r="F30" s="68">
        <f>-('Financial Statements'!G41-'Financial Statements'!F41)</f>
        <v/>
      </c>
      <c r="G30" s="68">
        <f>-('Financial Statements'!H41-'Financial Statements'!G41)</f>
        <v/>
      </c>
      <c r="H30" s="68">
        <f>-('Financial Statements'!I41-'Financial Statements'!H41)</f>
        <v/>
      </c>
      <c r="I30" s="68">
        <f>-('Financial Statements'!J41-'Financial Statements'!I41)</f>
        <v/>
      </c>
      <c r="J30" s="68">
        <f>-('Financial Statements'!K41-'Financial Statements'!J41)</f>
        <v/>
      </c>
      <c r="K30" s="68">
        <f>-('Financial Statements'!L41-'Financial Statements'!K41)</f>
        <v/>
      </c>
      <c r="L30" s="68">
        <f>-('Financial Statements'!M41-'Financial Statements'!L41)</f>
        <v/>
      </c>
      <c r="M30" s="68">
        <f>-('Financial Statements'!N41-'Financial Statements'!M41)</f>
        <v/>
      </c>
      <c r="N30" s="68">
        <f>-('Financial Statements'!O41-'Financial Statements'!N41)</f>
        <v/>
      </c>
      <c r="O30" s="68">
        <f>-('Financial Statements'!P41-'Financial Statements'!O41)</f>
        <v/>
      </c>
      <c r="P30" s="68">
        <f>-('Financial Statements'!Q41-'Financial Statements'!P41)</f>
        <v/>
      </c>
      <c r="Q30" s="68">
        <f>-('Financial Statements'!R41-'Financial Statements'!Q41)</f>
        <v/>
      </c>
    </row>
    <row r="31">
      <c r="A31" t="inlineStr">
        <is>
          <t xml:space="preserve"> =Cash From Investing</t>
        </is>
      </c>
      <c r="B31" s="189">
        <f>B27+B28+B29+B30</f>
        <v/>
      </c>
      <c r="C31" s="189">
        <f>C27+C28+C29+C30</f>
        <v/>
      </c>
      <c r="D31" s="189">
        <f>D27+D28+D29+D30</f>
        <v/>
      </c>
      <c r="E31" s="189">
        <f>E27+E28+E29+E30</f>
        <v/>
      </c>
      <c r="F31" s="68">
        <f>F27+F28+F29+F30</f>
        <v/>
      </c>
      <c r="G31" s="68">
        <f>G27+G28+G29+G30</f>
        <v/>
      </c>
      <c r="H31" s="68">
        <f>H27+H28+H29+H30</f>
        <v/>
      </c>
      <c r="I31" s="68">
        <f>I27+I28+I29+I30</f>
        <v/>
      </c>
      <c r="J31" s="68">
        <f>J27+J28+J29+J30</f>
        <v/>
      </c>
      <c r="K31" s="68">
        <f>K27+K28+K29+K30</f>
        <v/>
      </c>
      <c r="L31" s="68">
        <f>L27+L28+L29+L30</f>
        <v/>
      </c>
      <c r="M31" s="68">
        <f>M27+M28+M29+M30</f>
        <v/>
      </c>
      <c r="N31" s="68">
        <f>N27+N28+N29+N30</f>
        <v/>
      </c>
      <c r="O31" s="68">
        <f>O27+O28+O29+O30</f>
        <v/>
      </c>
      <c r="P31" s="68">
        <f>P27+P28+P29+P30</f>
        <v/>
      </c>
      <c r="Q31" s="68">
        <f>Q27+Q28+Q29+Q30</f>
        <v/>
      </c>
    </row>
    <row r="33">
      <c r="A33" t="inlineStr">
        <is>
          <t>Financing:</t>
        </is>
      </c>
    </row>
    <row r="34">
      <c r="A34" t="inlineStr">
        <is>
          <t xml:space="preserve"> +Increase in Debt</t>
        </is>
      </c>
      <c r="B34" s="189">
        <f>('Financial Statements'!C44+'Financial Statements'!C49-'Financial Statements'!B44-'Financial Statements'!B49)</f>
        <v/>
      </c>
      <c r="C34" s="189">
        <f>('Financial Statements'!D44+'Financial Statements'!D49-'Financial Statements'!C44-'Financial Statements'!C49)</f>
        <v/>
      </c>
      <c r="D34" s="189">
        <f>('Financial Statements'!E44+'Financial Statements'!E49-'Financial Statements'!D44-'Financial Statements'!D49)</f>
        <v/>
      </c>
      <c r="E34" s="189">
        <f>('Financial Statements'!F44+'Financial Statements'!F49-'Financial Statements'!E44-'Financial Statements'!E49)</f>
        <v/>
      </c>
      <c r="F34" s="68">
        <f>('Financial Statements'!G44+'Financial Statements'!G49-'Financial Statements'!F44-'Financial Statements'!F49)</f>
        <v/>
      </c>
      <c r="G34" s="68">
        <f>('Financial Statements'!H44+'Financial Statements'!H49-'Financial Statements'!G44-'Financial Statements'!G49)</f>
        <v/>
      </c>
      <c r="H34" s="68">
        <f>('Financial Statements'!I44+'Financial Statements'!I49-'Financial Statements'!H44-'Financial Statements'!H49)</f>
        <v/>
      </c>
      <c r="I34" s="68">
        <f>('Financial Statements'!J44+'Financial Statements'!J49-'Financial Statements'!I44-'Financial Statements'!I49)</f>
        <v/>
      </c>
      <c r="J34" s="68">
        <f>('Financial Statements'!K44+'Financial Statements'!K49-'Financial Statements'!J44-'Financial Statements'!J49)</f>
        <v/>
      </c>
      <c r="K34" s="68">
        <f>('Financial Statements'!L44+'Financial Statements'!L49-'Financial Statements'!K44-'Financial Statements'!K49)</f>
        <v/>
      </c>
      <c r="L34" s="68">
        <f>('Financial Statements'!M44+'Financial Statements'!M49-'Financial Statements'!L44-'Financial Statements'!L49)</f>
        <v/>
      </c>
      <c r="M34" s="68">
        <f>('Financial Statements'!N44+'Financial Statements'!N49-'Financial Statements'!M44-'Financial Statements'!M49)</f>
        <v/>
      </c>
      <c r="N34" s="68">
        <f>('Financial Statements'!O44+'Financial Statements'!O49-'Financial Statements'!N44-'Financial Statements'!N49)</f>
        <v/>
      </c>
      <c r="O34" s="68">
        <f>('Financial Statements'!P44+'Financial Statements'!P49-'Financial Statements'!O44-'Financial Statements'!O49)</f>
        <v/>
      </c>
      <c r="P34" s="68">
        <f>('Financial Statements'!Q44+'Financial Statements'!Q49-'Financial Statements'!P44-'Financial Statements'!P49)</f>
        <v/>
      </c>
      <c r="Q34" s="68">
        <f>('Financial Statements'!R44+'Financial Statements'!R49-'Financial Statements'!Q44-'Financial Statements'!Q49)</f>
        <v/>
      </c>
    </row>
    <row r="35">
      <c r="A35" t="inlineStr">
        <is>
          <t xml:space="preserve"> -Dividends Paid to Noncontrolling Interest</t>
        </is>
      </c>
      <c r="B35" s="189">
        <f>'Financial Statements'!C27+'Financial Statements'!C53-'Financial Statements'!B53</f>
        <v/>
      </c>
      <c r="C35" s="189">
        <f>'Financial Statements'!D27+'Financial Statements'!D53-'Financial Statements'!C53</f>
        <v/>
      </c>
      <c r="D35" s="189">
        <f>'Financial Statements'!E27+'Financial Statements'!E53-'Financial Statements'!D53</f>
        <v/>
      </c>
      <c r="E35" s="189">
        <f>'Financial Statements'!F27+'Financial Statements'!F53-'Financial Statements'!E53</f>
        <v/>
      </c>
      <c r="F35" s="68">
        <f>'Financial Statements'!G27+'Financial Statements'!G53-'Financial Statements'!F53</f>
        <v/>
      </c>
      <c r="G35" s="68">
        <f>'Financial Statements'!H27+'Financial Statements'!H53-'Financial Statements'!G53</f>
        <v/>
      </c>
      <c r="H35" s="68">
        <f>'Financial Statements'!I27+'Financial Statements'!I53-'Financial Statements'!H53</f>
        <v/>
      </c>
      <c r="I35" s="68">
        <f>'Financial Statements'!J27+'Financial Statements'!J53-'Financial Statements'!I53</f>
        <v/>
      </c>
      <c r="J35" s="68">
        <f>'Financial Statements'!K27+'Financial Statements'!K53-'Financial Statements'!J53</f>
        <v/>
      </c>
      <c r="K35" s="68">
        <f>'Financial Statements'!L27+'Financial Statements'!L53-'Financial Statements'!K53</f>
        <v/>
      </c>
      <c r="L35" s="68">
        <f>'Financial Statements'!M27+'Financial Statements'!M53-'Financial Statements'!L53</f>
        <v/>
      </c>
      <c r="M35" s="68">
        <f>'Financial Statements'!N27+'Financial Statements'!N53-'Financial Statements'!M53</f>
        <v/>
      </c>
      <c r="N35" s="68">
        <f>'Financial Statements'!O27+'Financial Statements'!O53-'Financial Statements'!N53</f>
        <v/>
      </c>
      <c r="O35" s="68">
        <f>'Financial Statements'!P27+'Financial Statements'!P53-'Financial Statements'!O53</f>
        <v/>
      </c>
      <c r="P35" s="68">
        <f>'Financial Statements'!Q27+'Financial Statements'!Q53-'Financial Statements'!P53</f>
        <v/>
      </c>
      <c r="Q35" s="68">
        <f>'Financial Statements'!R27+'Financial Statements'!R53-'Financial Statements'!Q53</f>
        <v/>
      </c>
    </row>
    <row r="36">
      <c r="A36" t="inlineStr">
        <is>
          <t xml:space="preserve"> -Dividends Paid on Preferred</t>
        </is>
      </c>
      <c r="B36" s="189">
        <f>'Financial Statements'!C28</f>
        <v/>
      </c>
      <c r="C36" s="189">
        <f>'Financial Statements'!D28</f>
        <v/>
      </c>
      <c r="D36" s="189">
        <f>'Financial Statements'!E28</f>
        <v/>
      </c>
      <c r="E36" s="189">
        <f>'Financial Statements'!F28</f>
        <v/>
      </c>
      <c r="F36" s="68">
        <f>'Financial Statements'!G28</f>
        <v/>
      </c>
      <c r="G36" s="68">
        <f>'Financial Statements'!H28</f>
        <v/>
      </c>
      <c r="H36" s="68">
        <f>'Financial Statements'!I28</f>
        <v/>
      </c>
      <c r="I36" s="68">
        <f>'Financial Statements'!J28</f>
        <v/>
      </c>
      <c r="J36" s="68">
        <f>'Financial Statements'!K28</f>
        <v/>
      </c>
      <c r="K36" s="68">
        <f>'Financial Statements'!L28</f>
        <v/>
      </c>
      <c r="L36" s="68">
        <f>'Financial Statements'!M28</f>
        <v/>
      </c>
      <c r="M36" s="68">
        <f>'Financial Statements'!N28</f>
        <v/>
      </c>
      <c r="N36" s="68">
        <f>'Financial Statements'!O28</f>
        <v/>
      </c>
      <c r="O36" s="68">
        <f>'Financial Statements'!P28</f>
        <v/>
      </c>
      <c r="P36" s="68">
        <f>'Financial Statements'!Q28</f>
        <v/>
      </c>
      <c r="Q36" s="68">
        <f>'Financial Statements'!R28</f>
        <v/>
      </c>
    </row>
    <row r="37">
      <c r="A37" t="inlineStr">
        <is>
          <t xml:space="preserve"> +Increase in Pref. Stock</t>
        </is>
      </c>
      <c r="B37" s="189">
        <f>'Financial Statements'!C54-'Financial Statements'!B54</f>
        <v/>
      </c>
      <c r="C37" s="189">
        <f>'Financial Statements'!D54-'Financial Statements'!C54</f>
        <v/>
      </c>
      <c r="D37" s="189">
        <f>'Financial Statements'!E54-'Financial Statements'!D54</f>
        <v/>
      </c>
      <c r="E37" s="189">
        <f>'Financial Statements'!F54-'Financial Statements'!E54</f>
        <v/>
      </c>
      <c r="F37" s="68">
        <f>'Financial Statements'!G54-'Financial Statements'!F54</f>
        <v/>
      </c>
      <c r="G37" s="68">
        <f>'Financial Statements'!H54-'Financial Statements'!G54</f>
        <v/>
      </c>
      <c r="H37" s="68">
        <f>'Financial Statements'!I54-'Financial Statements'!H54</f>
        <v/>
      </c>
      <c r="I37" s="68">
        <f>'Financial Statements'!J54-'Financial Statements'!I54</f>
        <v/>
      </c>
      <c r="J37" s="68">
        <f>'Financial Statements'!K54-'Financial Statements'!J54</f>
        <v/>
      </c>
      <c r="K37" s="68">
        <f>'Financial Statements'!L54-'Financial Statements'!K54</f>
        <v/>
      </c>
      <c r="L37" s="68">
        <f>'Financial Statements'!M54-'Financial Statements'!L54</f>
        <v/>
      </c>
      <c r="M37" s="68">
        <f>'Financial Statements'!N54-'Financial Statements'!M54</f>
        <v/>
      </c>
      <c r="N37" s="68">
        <f>'Financial Statements'!O54-'Financial Statements'!N54</f>
        <v/>
      </c>
      <c r="O37" s="68">
        <f>'Financial Statements'!P54-'Financial Statements'!O54</f>
        <v/>
      </c>
      <c r="P37" s="68">
        <f>'Financial Statements'!Q54-'Financial Statements'!P54</f>
        <v/>
      </c>
      <c r="Q37" s="68">
        <f>'Financial Statements'!R54-'Financial Statements'!Q54</f>
        <v/>
      </c>
    </row>
    <row r="38">
      <c r="A38" t="inlineStr">
        <is>
          <t xml:space="preserve"> -Dividends Paid on Common</t>
        </is>
      </c>
      <c r="B38" s="189">
        <f>'Financial Statements'!C64</f>
        <v/>
      </c>
      <c r="C38" s="189">
        <f>'Financial Statements'!D64</f>
        <v/>
      </c>
      <c r="D38" s="189">
        <f>'Financial Statements'!E64</f>
        <v/>
      </c>
      <c r="E38" s="189">
        <f>'Financial Statements'!F64</f>
        <v/>
      </c>
      <c r="F38" s="68">
        <f>'Financial Statements'!G64</f>
        <v/>
      </c>
      <c r="G38" s="68">
        <f>'Financial Statements'!H64</f>
        <v/>
      </c>
      <c r="H38" s="68">
        <f>'Financial Statements'!I64</f>
        <v/>
      </c>
      <c r="I38" s="68">
        <f>'Financial Statements'!J64</f>
        <v/>
      </c>
      <c r="J38" s="68">
        <f>'Financial Statements'!K64</f>
        <v/>
      </c>
      <c r="K38" s="68">
        <f>'Financial Statements'!L64</f>
        <v/>
      </c>
      <c r="L38" s="68">
        <f>'Financial Statements'!M64</f>
        <v/>
      </c>
      <c r="M38" s="68">
        <f>'Financial Statements'!N64</f>
        <v/>
      </c>
      <c r="N38" s="68">
        <f>'Financial Statements'!O64</f>
        <v/>
      </c>
      <c r="O38" s="68">
        <f>'Financial Statements'!P64</f>
        <v/>
      </c>
      <c r="P38" s="68">
        <f>'Financial Statements'!Q64</f>
        <v/>
      </c>
      <c r="Q38" s="68">
        <f>'Financial Statements'!R64</f>
        <v/>
      </c>
    </row>
    <row r="39">
      <c r="A39" t="inlineStr">
        <is>
          <t xml:space="preserve"> +/-Net Issuance of Common Stock</t>
        </is>
      </c>
      <c r="B39" s="189">
        <f>'Financial Statements'!C55-'Financial Statements'!B55</f>
        <v/>
      </c>
      <c r="C39" s="189">
        <f>'Financial Statements'!D55-'Financial Statements'!C55</f>
        <v/>
      </c>
      <c r="D39" s="189">
        <f>'Financial Statements'!E55-'Financial Statements'!D55</f>
        <v/>
      </c>
      <c r="E39" s="189">
        <f>'Financial Statements'!F55-'Financial Statements'!E55</f>
        <v/>
      </c>
      <c r="F39" s="68">
        <f>'Financial Statements'!G55-'Financial Statements'!F55</f>
        <v/>
      </c>
      <c r="G39" s="68">
        <f>'Financial Statements'!H55-'Financial Statements'!G55</f>
        <v/>
      </c>
      <c r="H39" s="68">
        <f>'Financial Statements'!I55-'Financial Statements'!H55</f>
        <v/>
      </c>
      <c r="I39" s="68">
        <f>'Financial Statements'!J55-'Financial Statements'!I55</f>
        <v/>
      </c>
      <c r="J39" s="68">
        <f>'Financial Statements'!K55-'Financial Statements'!J55</f>
        <v/>
      </c>
      <c r="K39" s="68">
        <f>'Financial Statements'!L55-'Financial Statements'!K55</f>
        <v/>
      </c>
      <c r="L39" s="68">
        <f>'Financial Statements'!M55-'Financial Statements'!L55</f>
        <v/>
      </c>
      <c r="M39" s="68">
        <f>'Financial Statements'!N55-'Financial Statements'!M55</f>
        <v/>
      </c>
      <c r="N39" s="68">
        <f>'Financial Statements'!O55-'Financial Statements'!N55</f>
        <v/>
      </c>
      <c r="O39" s="68">
        <f>'Financial Statements'!P55-'Financial Statements'!O55</f>
        <v/>
      </c>
      <c r="P39" s="68">
        <f>'Financial Statements'!Q55-'Financial Statements'!P55</f>
        <v/>
      </c>
      <c r="Q39" s="68">
        <f>'Financial Statements'!R55-'Financial Statements'!Q55</f>
        <v/>
      </c>
    </row>
    <row r="40">
      <c r="A40" t="inlineStr">
        <is>
          <t xml:space="preserve"> +/-Clean Surplus Plug (Ignore)</t>
        </is>
      </c>
      <c r="B40" s="189">
        <f>'Financial Statements'!C65</f>
        <v/>
      </c>
      <c r="C40" s="189">
        <f>'Financial Statements'!D65</f>
        <v/>
      </c>
      <c r="D40" s="189">
        <f>'Financial Statements'!E65</f>
        <v/>
      </c>
      <c r="E40" s="189">
        <f>'Financial Statements'!F65</f>
        <v/>
      </c>
      <c r="F40" s="68">
        <f>'Financial Statements'!G65</f>
        <v/>
      </c>
      <c r="G40" s="68">
        <f>'Financial Statements'!H65</f>
        <v/>
      </c>
      <c r="H40" s="68">
        <f>'Financial Statements'!I65</f>
        <v/>
      </c>
      <c r="I40" s="68">
        <f>'Financial Statements'!J65</f>
        <v/>
      </c>
      <c r="J40" s="68">
        <f>'Financial Statements'!K65</f>
        <v/>
      </c>
      <c r="K40" s="68">
        <f>'Financial Statements'!L65</f>
        <v/>
      </c>
      <c r="L40" s="68">
        <f>'Financial Statements'!M65</f>
        <v/>
      </c>
      <c r="M40" s="68">
        <f>'Financial Statements'!N65</f>
        <v/>
      </c>
      <c r="N40" s="68">
        <f>'Financial Statements'!O65</f>
        <v/>
      </c>
      <c r="O40" s="68">
        <f>'Financial Statements'!P65</f>
        <v/>
      </c>
      <c r="P40" s="68">
        <f>'Financial Statements'!Q65</f>
        <v/>
      </c>
      <c r="Q40" s="68">
        <f>'Financial Statements'!R65</f>
        <v/>
      </c>
    </row>
    <row r="41">
      <c r="A41" t="inlineStr">
        <is>
          <t xml:space="preserve"> =Cash From Financing</t>
        </is>
      </c>
      <c r="B41" s="189">
        <f>SUM(B34:B40)</f>
        <v/>
      </c>
      <c r="C41" s="189">
        <f>SUM(C34:C40)</f>
        <v/>
      </c>
      <c r="D41" s="189">
        <f>SUM(D34:D40)</f>
        <v/>
      </c>
      <c r="E41" s="189">
        <f>SUM(E34:E40)</f>
        <v/>
      </c>
      <c r="F41" s="68">
        <f>SUM(F34:F40)</f>
        <v/>
      </c>
      <c r="G41" s="68">
        <f>SUM(G34:G40)</f>
        <v/>
      </c>
      <c r="H41" s="68">
        <f>SUM(H34:H40)</f>
        <v/>
      </c>
      <c r="I41" s="68">
        <f>SUM(I34:I40)</f>
        <v/>
      </c>
      <c r="J41" s="68">
        <f>SUM(J34:J40)</f>
        <v/>
      </c>
      <c r="K41" s="68">
        <f>SUM(K34:K40)</f>
        <v/>
      </c>
      <c r="L41" s="68">
        <f>SUM(L34:L40)</f>
        <v/>
      </c>
      <c r="M41" s="68">
        <f>SUM(M34:M40)</f>
        <v/>
      </c>
      <c r="N41" s="68">
        <f>SUM(N34:N40)</f>
        <v/>
      </c>
      <c r="O41" s="68">
        <f>SUM(O34:O40)</f>
        <v/>
      </c>
      <c r="P41" s="68">
        <f>SUM(P34:P40)</f>
        <v/>
      </c>
      <c r="Q41" s="68">
        <f>SUM(Q34:Q40)</f>
        <v/>
      </c>
    </row>
    <row r="43">
      <c r="A43" t="inlineStr">
        <is>
          <t>Net Change in Cash</t>
        </is>
      </c>
      <c r="B43" s="189">
        <f>B24+B31+B41</f>
        <v/>
      </c>
      <c r="C43" s="189">
        <f>C24+C31+C41</f>
        <v/>
      </c>
      <c r="D43" s="189">
        <f>D24+D31+D41</f>
        <v/>
      </c>
      <c r="E43" s="189">
        <f>E24+E31+E41</f>
        <v/>
      </c>
      <c r="F43" s="68">
        <f>F24+F31+F41</f>
        <v/>
      </c>
      <c r="G43" s="68">
        <f>G24+G31+G41</f>
        <v/>
      </c>
      <c r="H43" s="68">
        <f>H24+H31+H41</f>
        <v/>
      </c>
      <c r="I43" s="68">
        <f>I24+I31+I41</f>
        <v/>
      </c>
      <c r="J43" s="68">
        <f>J24+J31+J41</f>
        <v/>
      </c>
      <c r="K43" s="68">
        <f>K24+K31+K41</f>
        <v/>
      </c>
      <c r="L43" s="68">
        <f>L24+L31+L41</f>
        <v/>
      </c>
      <c r="M43" s="68">
        <f>M24+M31+M41</f>
        <v/>
      </c>
      <c r="N43" s="68">
        <f>N24+N31+N41</f>
        <v/>
      </c>
      <c r="O43" s="68">
        <f>O24+O31+O41</f>
        <v/>
      </c>
      <c r="P43" s="68">
        <f>P24+P31+P41</f>
        <v/>
      </c>
      <c r="Q43" s="68">
        <f>Q24+Q31+Q41</f>
        <v/>
      </c>
    </row>
    <row r="44">
      <c r="A44" t="inlineStr">
        <is>
          <t xml:space="preserve"> + Beginning Cash Balance</t>
        </is>
      </c>
      <c r="B44" s="189">
        <f>'Financial Statements'!B33</f>
        <v/>
      </c>
      <c r="C44" s="189">
        <f>'Financial Statements'!C33</f>
        <v/>
      </c>
      <c r="D44" s="189">
        <f>'Financial Statements'!D33</f>
        <v/>
      </c>
      <c r="E44" s="189">
        <f>'Financial Statements'!E33</f>
        <v/>
      </c>
      <c r="F44" s="68">
        <f>'Financial Statements'!F33</f>
        <v/>
      </c>
      <c r="G44" s="68">
        <f>'Financial Statements'!G33</f>
        <v/>
      </c>
      <c r="H44" s="68">
        <f>'Financial Statements'!H33</f>
        <v/>
      </c>
      <c r="I44" s="68">
        <f>'Financial Statements'!I33</f>
        <v/>
      </c>
      <c r="J44" s="68">
        <f>'Financial Statements'!J33</f>
        <v/>
      </c>
      <c r="K44" s="68">
        <f>'Financial Statements'!K33</f>
        <v/>
      </c>
      <c r="L44" s="68">
        <f>'Financial Statements'!L33</f>
        <v/>
      </c>
      <c r="M44" s="68">
        <f>'Financial Statements'!M33</f>
        <v/>
      </c>
      <c r="N44" s="68">
        <f>'Financial Statements'!N33</f>
        <v/>
      </c>
      <c r="O44" s="68">
        <f>'Financial Statements'!O33</f>
        <v/>
      </c>
      <c r="P44" s="68">
        <f>'Financial Statements'!P33</f>
        <v/>
      </c>
      <c r="Q44" s="68">
        <f>'Financial Statements'!Q33</f>
        <v/>
      </c>
    </row>
    <row r="45">
      <c r="A45" t="inlineStr">
        <is>
          <t xml:space="preserve"> = Ending Cash Balance</t>
        </is>
      </c>
      <c r="B45" s="189">
        <f>B43+B44</f>
        <v/>
      </c>
      <c r="C45" s="189">
        <f>C43+C44</f>
        <v/>
      </c>
      <c r="D45" s="189">
        <f>D43+D44</f>
        <v/>
      </c>
      <c r="E45" s="189">
        <f>E43+E44</f>
        <v/>
      </c>
      <c r="F45" s="68">
        <f>F43+F44</f>
        <v/>
      </c>
      <c r="G45" s="68">
        <f>G43+G44</f>
        <v/>
      </c>
      <c r="H45" s="68">
        <f>H43+H44</f>
        <v/>
      </c>
      <c r="I45" s="68">
        <f>I43+I44</f>
        <v/>
      </c>
      <c r="J45" s="68">
        <f>J43+J44</f>
        <v/>
      </c>
      <c r="K45" s="68">
        <f>K43+K44</f>
        <v/>
      </c>
      <c r="L45" s="68">
        <f>L43+L44</f>
        <v/>
      </c>
      <c r="M45" s="68">
        <f>M43+M44</f>
        <v/>
      </c>
      <c r="N45" s="68">
        <f>N43+N44</f>
        <v/>
      </c>
      <c r="O45" s="68">
        <f>O43+O44</f>
        <v/>
      </c>
      <c r="P45" s="68">
        <f>P43+P44</f>
        <v/>
      </c>
      <c r="Q45" s="68">
        <f>Q43+Q44</f>
        <v/>
      </c>
    </row>
    <row r="48">
      <c r="A48" s="100" t="inlineStr">
        <is>
          <t>Free Cash Flow to Common Equity</t>
        </is>
      </c>
      <c r="C48" s="17" t="n"/>
    </row>
    <row r="49">
      <c r="A49" s="100" t="n"/>
      <c r="C49" s="17" t="n"/>
    </row>
    <row r="50" ht="16" customHeight="1" s="16">
      <c r="A50" s="100" t="inlineStr">
        <is>
          <t xml:space="preserve">   Net Income</t>
        </is>
      </c>
      <c r="B50" s="189">
        <f>'Financial Statements'!C29</f>
        <v/>
      </c>
      <c r="C50" s="189">
        <f>'Financial Statements'!D29</f>
        <v/>
      </c>
      <c r="D50" s="189">
        <f>'Financial Statements'!E29</f>
        <v/>
      </c>
      <c r="E50" s="189">
        <f>'Financial Statements'!F29</f>
        <v/>
      </c>
      <c r="F50" s="68">
        <f>'Financial Statements'!G29</f>
        <v/>
      </c>
      <c r="G50" s="68">
        <f>'Financial Statements'!H29</f>
        <v/>
      </c>
      <c r="H50" s="68">
        <f>'Financial Statements'!I29</f>
        <v/>
      </c>
      <c r="I50" s="68">
        <f>'Financial Statements'!J29</f>
        <v/>
      </c>
      <c r="J50" s="68">
        <f>'Financial Statements'!K29</f>
        <v/>
      </c>
      <c r="K50" s="68">
        <f>'Financial Statements'!L29</f>
        <v/>
      </c>
      <c r="L50" s="68">
        <f>'Financial Statements'!M29</f>
        <v/>
      </c>
      <c r="M50" s="68">
        <f>'Financial Statements'!N29</f>
        <v/>
      </c>
      <c r="N50" s="68">
        <f>'Financial Statements'!O29</f>
        <v/>
      </c>
      <c r="O50" s="68">
        <f>'Financial Statements'!P29</f>
        <v/>
      </c>
      <c r="P50" s="68">
        <f>'Financial Statements'!Q29</f>
        <v/>
      </c>
      <c r="Q50" s="68">
        <f>'Financial Statements'!R29</f>
        <v/>
      </c>
    </row>
    <row r="51">
      <c r="A51" t="inlineStr">
        <is>
          <t xml:space="preserve"> - Increase in Common Equity</t>
        </is>
      </c>
      <c r="B51" s="189">
        <f>-('Financial Statements'!C57-'Financial Statements'!B57)</f>
        <v/>
      </c>
      <c r="C51" s="189">
        <f>-('Financial Statements'!D57-'Financial Statements'!C57)</f>
        <v/>
      </c>
      <c r="D51" s="189">
        <f>-('Financial Statements'!E57-'Financial Statements'!D57)</f>
        <v/>
      </c>
      <c r="E51" s="189">
        <f>-('Financial Statements'!F57-'Financial Statements'!E57)</f>
        <v/>
      </c>
      <c r="F51" s="68">
        <f>-('Financial Statements'!G57-'Financial Statements'!F57)</f>
        <v/>
      </c>
      <c r="G51" s="68">
        <f>-('Financial Statements'!H57-'Financial Statements'!G57)</f>
        <v/>
      </c>
      <c r="H51" s="68">
        <f>-('Financial Statements'!I57-'Financial Statements'!H57)</f>
        <v/>
      </c>
      <c r="I51" s="68">
        <f>-('Financial Statements'!J57-'Financial Statements'!I57)</f>
        <v/>
      </c>
      <c r="J51" s="68">
        <f>-('Financial Statements'!K57-'Financial Statements'!J57)</f>
        <v/>
      </c>
      <c r="K51" s="68">
        <f>-('Financial Statements'!L57-'Financial Statements'!K57)</f>
        <v/>
      </c>
      <c r="L51" s="68">
        <f>-('Financial Statements'!M57-'Financial Statements'!L57)</f>
        <v/>
      </c>
      <c r="M51" s="68">
        <f>-('Financial Statements'!N57-'Financial Statements'!M57)</f>
        <v/>
      </c>
      <c r="N51" s="68">
        <f>-('Financial Statements'!O57-'Financial Statements'!N57)</f>
        <v/>
      </c>
      <c r="O51" s="68">
        <f>-('Financial Statements'!P57-'Financial Statements'!O57)</f>
        <v/>
      </c>
      <c r="P51" s="68">
        <f>-('Financial Statements'!Q57-'Financial Statements'!P57)</f>
        <v/>
      </c>
      <c r="Q51" s="68">
        <f>-('Financial Statements'!R57-'Financial Statements'!Q57)</f>
        <v/>
      </c>
    </row>
    <row r="52">
      <c r="A52" t="inlineStr">
        <is>
          <t xml:space="preserve"> +/-Clean Surplus Plug (Ignore)</t>
        </is>
      </c>
      <c r="B52" s="189">
        <f>'Financial Statements'!C65</f>
        <v/>
      </c>
      <c r="C52" s="189">
        <f>'Financial Statements'!D65</f>
        <v/>
      </c>
      <c r="D52" s="189">
        <f>'Financial Statements'!E65</f>
        <v/>
      </c>
      <c r="E52" s="189">
        <f>'Financial Statements'!F65</f>
        <v/>
      </c>
      <c r="F52" s="68">
        <f>'Financial Statements'!G65</f>
        <v/>
      </c>
      <c r="G52" s="68">
        <f>'Financial Statements'!H65</f>
        <v/>
      </c>
      <c r="H52" s="68">
        <f>'Financial Statements'!I65</f>
        <v/>
      </c>
      <c r="I52" s="68">
        <f>'Financial Statements'!J65</f>
        <v/>
      </c>
      <c r="J52" s="68">
        <f>'Financial Statements'!K65</f>
        <v/>
      </c>
      <c r="K52" s="68">
        <f>'Financial Statements'!L65</f>
        <v/>
      </c>
      <c r="L52" s="68">
        <f>'Financial Statements'!M65</f>
        <v/>
      </c>
      <c r="M52" s="68">
        <f>'Financial Statements'!N65</f>
        <v/>
      </c>
      <c r="N52" s="68">
        <f>'Financial Statements'!O65</f>
        <v/>
      </c>
      <c r="O52" s="68">
        <f>'Financial Statements'!P65</f>
        <v/>
      </c>
      <c r="P52" s="68">
        <f>'Financial Statements'!Q65</f>
        <v/>
      </c>
      <c r="Q52" s="68">
        <f>'Financial Statements'!R65</f>
        <v/>
      </c>
    </row>
    <row r="53" ht="15.95" customHeight="1" s="16">
      <c r="A53" t="inlineStr">
        <is>
          <t xml:space="preserve"> =Free Cash Flow to Common Equity</t>
        </is>
      </c>
      <c r="B53" s="190">
        <f>SUM(B50:B52)</f>
        <v/>
      </c>
      <c r="C53" s="190">
        <f>SUM(C50:C52)</f>
        <v/>
      </c>
      <c r="D53" s="190">
        <f>SUM(D50:D52)</f>
        <v/>
      </c>
      <c r="E53" s="190">
        <f>SUM(E50:E52)</f>
        <v/>
      </c>
      <c r="F53" s="219">
        <f>SUM(F50:F52)</f>
        <v/>
      </c>
      <c r="G53" s="219">
        <f>SUM(G50:G52)</f>
        <v/>
      </c>
      <c r="H53" s="219">
        <f>SUM(H50:H52)</f>
        <v/>
      </c>
      <c r="I53" s="219">
        <f>SUM(I50:I52)</f>
        <v/>
      </c>
      <c r="J53" s="219">
        <f>SUM(J50:J52)</f>
        <v/>
      </c>
      <c r="K53" s="219">
        <f>SUM(K50:K52)</f>
        <v/>
      </c>
      <c r="L53" s="219">
        <f>SUM(L50:L52)</f>
        <v/>
      </c>
      <c r="M53" s="219">
        <f>SUM(M50:M52)</f>
        <v/>
      </c>
      <c r="N53" s="219">
        <f>SUM(N50:N52)</f>
        <v/>
      </c>
      <c r="O53" s="219">
        <f>SUM(O50:O52)</f>
        <v/>
      </c>
      <c r="P53" s="219">
        <f>SUM(P50:P52)</f>
        <v/>
      </c>
      <c r="Q53" s="219">
        <f>SUM(Q50:Q52)</f>
        <v/>
      </c>
    </row>
    <row r="54" ht="15.95" customHeight="1" s="16">
      <c r="B54" s="17" t="n"/>
      <c r="C54" s="17" t="n"/>
    </row>
    <row r="55">
      <c r="A55" t="inlineStr">
        <is>
          <t>Computation based on SCF:</t>
        </is>
      </c>
    </row>
    <row r="56">
      <c r="A56" t="inlineStr">
        <is>
          <t xml:space="preserve"> +Cash From Operations</t>
        </is>
      </c>
      <c r="B56" s="189">
        <f>B24</f>
        <v/>
      </c>
      <c r="C56" s="189">
        <f>C24</f>
        <v/>
      </c>
      <c r="D56" s="189">
        <f>D24</f>
        <v/>
      </c>
      <c r="E56" s="189">
        <f>E24</f>
        <v/>
      </c>
      <c r="F56" s="68">
        <f>F24</f>
        <v/>
      </c>
      <c r="G56" s="68">
        <f>G24</f>
        <v/>
      </c>
      <c r="H56" s="68">
        <f>H24</f>
        <v/>
      </c>
      <c r="I56" s="68">
        <f>I24</f>
        <v/>
      </c>
      <c r="J56" s="68">
        <f>J24</f>
        <v/>
      </c>
      <c r="K56" s="68">
        <f>K24</f>
        <v/>
      </c>
      <c r="L56" s="68">
        <f>L24</f>
        <v/>
      </c>
      <c r="M56" s="68">
        <f>M24</f>
        <v/>
      </c>
      <c r="N56" s="68">
        <f>N24</f>
        <v/>
      </c>
      <c r="O56" s="68">
        <f>O24</f>
        <v/>
      </c>
      <c r="P56" s="68">
        <f>P24</f>
        <v/>
      </c>
      <c r="Q56" s="68">
        <f>Q24</f>
        <v/>
      </c>
    </row>
    <row r="57">
      <c r="A57" t="inlineStr">
        <is>
          <t xml:space="preserve"> -Increase in Cash</t>
        </is>
      </c>
      <c r="B57" s="189">
        <f>-B43</f>
        <v/>
      </c>
      <c r="C57" s="189">
        <f>-C43</f>
        <v/>
      </c>
      <c r="D57" s="189">
        <f>-D43</f>
        <v/>
      </c>
      <c r="E57" s="189">
        <f>-E43</f>
        <v/>
      </c>
      <c r="F57" s="68">
        <f>-F43</f>
        <v/>
      </c>
      <c r="G57" s="68">
        <f>-G43</f>
        <v/>
      </c>
      <c r="H57" s="68">
        <f>-H43</f>
        <v/>
      </c>
      <c r="I57" s="68">
        <f>-I43</f>
        <v/>
      </c>
      <c r="J57" s="68">
        <f>-J43</f>
        <v/>
      </c>
      <c r="K57" s="68">
        <f>-K43</f>
        <v/>
      </c>
      <c r="L57" s="68">
        <f>-L43</f>
        <v/>
      </c>
      <c r="M57" s="68">
        <f>-M43</f>
        <v/>
      </c>
      <c r="N57" s="68">
        <f>-N43</f>
        <v/>
      </c>
      <c r="O57" s="68">
        <f>-O43</f>
        <v/>
      </c>
      <c r="P57" s="68">
        <f>-P43</f>
        <v/>
      </c>
      <c r="Q57" s="68">
        <f>-Q43</f>
        <v/>
      </c>
    </row>
    <row r="58">
      <c r="A58" t="inlineStr">
        <is>
          <t xml:space="preserve"> +Cash From Investing</t>
        </is>
      </c>
      <c r="B58" s="189">
        <f>B31</f>
        <v/>
      </c>
      <c r="C58" s="189">
        <f>C31</f>
        <v/>
      </c>
      <c r="D58" s="189">
        <f>D31</f>
        <v/>
      </c>
      <c r="E58" s="189">
        <f>E31</f>
        <v/>
      </c>
      <c r="F58" s="68">
        <f>F31</f>
        <v/>
      </c>
      <c r="G58" s="68">
        <f>G31</f>
        <v/>
      </c>
      <c r="H58" s="68">
        <f>H31</f>
        <v/>
      </c>
      <c r="I58" s="68">
        <f>I31</f>
        <v/>
      </c>
      <c r="J58" s="68">
        <f>J31</f>
        <v/>
      </c>
      <c r="K58" s="68">
        <f>K31</f>
        <v/>
      </c>
      <c r="L58" s="68">
        <f>L31</f>
        <v/>
      </c>
      <c r="M58" s="68">
        <f>M31</f>
        <v/>
      </c>
      <c r="N58" s="68">
        <f>N31</f>
        <v/>
      </c>
      <c r="O58" s="68">
        <f>O31</f>
        <v/>
      </c>
      <c r="P58" s="68">
        <f>P31</f>
        <v/>
      </c>
      <c r="Q58" s="68">
        <f>Q31</f>
        <v/>
      </c>
    </row>
    <row r="59">
      <c r="A59" t="inlineStr">
        <is>
          <t xml:space="preserve"> +Increase in Debt</t>
        </is>
      </c>
      <c r="B59" s="189">
        <f>B34</f>
        <v/>
      </c>
      <c r="C59" s="189">
        <f>C34</f>
        <v/>
      </c>
      <c r="D59" s="189">
        <f>D34</f>
        <v/>
      </c>
      <c r="E59" s="189">
        <f>E34</f>
        <v/>
      </c>
      <c r="F59" s="68">
        <f>F34</f>
        <v/>
      </c>
      <c r="G59" s="68">
        <f>G34</f>
        <v/>
      </c>
      <c r="H59" s="68">
        <f>H34</f>
        <v/>
      </c>
      <c r="I59" s="68">
        <f>I34</f>
        <v/>
      </c>
      <c r="J59" s="68">
        <f>J34</f>
        <v/>
      </c>
      <c r="K59" s="68">
        <f>K34</f>
        <v/>
      </c>
      <c r="L59" s="68">
        <f>L34</f>
        <v/>
      </c>
      <c r="M59" s="68">
        <f>M34</f>
        <v/>
      </c>
      <c r="N59" s="68">
        <f>N34</f>
        <v/>
      </c>
      <c r="O59" s="68">
        <f>O34</f>
        <v/>
      </c>
      <c r="P59" s="68">
        <f>P34</f>
        <v/>
      </c>
      <c r="Q59" s="68">
        <f>Q34</f>
        <v/>
      </c>
    </row>
    <row r="60">
      <c r="A60" t="inlineStr">
        <is>
          <t xml:space="preserve"> -Dividends Paid to Noncontrolling Interest</t>
        </is>
      </c>
      <c r="B60" s="189">
        <f>B35</f>
        <v/>
      </c>
      <c r="C60" s="189">
        <f>C35</f>
        <v/>
      </c>
      <c r="D60" s="189">
        <f>D35</f>
        <v/>
      </c>
      <c r="E60" s="189">
        <f>E35</f>
        <v/>
      </c>
      <c r="F60" s="68">
        <f>F35</f>
        <v/>
      </c>
      <c r="G60" s="68">
        <f>G35</f>
        <v/>
      </c>
      <c r="H60" s="68">
        <f>H35</f>
        <v/>
      </c>
      <c r="I60" s="68">
        <f>I35</f>
        <v/>
      </c>
      <c r="J60" s="68">
        <f>J35</f>
        <v/>
      </c>
      <c r="K60" s="68">
        <f>K35</f>
        <v/>
      </c>
      <c r="L60" s="68">
        <f>L35</f>
        <v/>
      </c>
      <c r="M60" s="68">
        <f>M35</f>
        <v/>
      </c>
      <c r="N60" s="68">
        <f>N35</f>
        <v/>
      </c>
      <c r="O60" s="68">
        <f>O35</f>
        <v/>
      </c>
      <c r="P60" s="68">
        <f>P35</f>
        <v/>
      </c>
      <c r="Q60" s="68">
        <f>Q35</f>
        <v/>
      </c>
    </row>
    <row r="61">
      <c r="A61" t="inlineStr">
        <is>
          <t xml:space="preserve"> -Dividends Paid on Preferred</t>
        </is>
      </c>
      <c r="B61" s="189">
        <f>'Financial Statements'!C28</f>
        <v/>
      </c>
      <c r="C61" s="189">
        <f>'Financial Statements'!D28</f>
        <v/>
      </c>
      <c r="D61" s="189">
        <f>'Financial Statements'!E28</f>
        <v/>
      </c>
      <c r="E61" s="189">
        <f>'Financial Statements'!F28</f>
        <v/>
      </c>
      <c r="F61" s="68">
        <f>'Financial Statements'!G28</f>
        <v/>
      </c>
      <c r="G61" s="68">
        <f>'Financial Statements'!H28</f>
        <v/>
      </c>
      <c r="H61" s="68">
        <f>'Financial Statements'!I28</f>
        <v/>
      </c>
      <c r="I61" s="68">
        <f>'Financial Statements'!J28</f>
        <v/>
      </c>
      <c r="J61" s="68">
        <f>'Financial Statements'!K28</f>
        <v/>
      </c>
      <c r="K61" s="68">
        <f>'Financial Statements'!L28</f>
        <v/>
      </c>
      <c r="L61" s="68">
        <f>'Financial Statements'!M28</f>
        <v/>
      </c>
      <c r="M61" s="68">
        <f>'Financial Statements'!N28</f>
        <v/>
      </c>
      <c r="N61" s="68">
        <f>'Financial Statements'!O28</f>
        <v/>
      </c>
      <c r="O61" s="68">
        <f>'Financial Statements'!P28</f>
        <v/>
      </c>
      <c r="P61" s="68">
        <f>'Financial Statements'!Q28</f>
        <v/>
      </c>
      <c r="Q61" s="68">
        <f>'Financial Statements'!R28</f>
        <v/>
      </c>
    </row>
    <row r="62">
      <c r="A62" t="inlineStr">
        <is>
          <t xml:space="preserve"> +Increase in Preferred Stock</t>
        </is>
      </c>
      <c r="B62" s="189">
        <f>B37</f>
        <v/>
      </c>
      <c r="C62" s="189">
        <f>C37</f>
        <v/>
      </c>
      <c r="D62" s="189">
        <f>D37</f>
        <v/>
      </c>
      <c r="E62" s="189">
        <f>E37</f>
        <v/>
      </c>
      <c r="F62" s="68">
        <f>F37</f>
        <v/>
      </c>
      <c r="G62" s="68">
        <f>G37</f>
        <v/>
      </c>
      <c r="H62" s="68">
        <f>H37</f>
        <v/>
      </c>
      <c r="I62" s="68">
        <f>I37</f>
        <v/>
      </c>
      <c r="J62" s="68">
        <f>J37</f>
        <v/>
      </c>
      <c r="K62" s="68">
        <f>K37</f>
        <v/>
      </c>
      <c r="L62" s="68">
        <f>L37</f>
        <v/>
      </c>
      <c r="M62" s="68">
        <f>M37</f>
        <v/>
      </c>
      <c r="N62" s="68">
        <f>N37</f>
        <v/>
      </c>
      <c r="O62" s="68">
        <f>O37</f>
        <v/>
      </c>
      <c r="P62" s="68">
        <f>P37</f>
        <v/>
      </c>
      <c r="Q62" s="68">
        <f>Q37</f>
        <v/>
      </c>
    </row>
    <row r="63">
      <c r="A63" t="inlineStr">
        <is>
          <t xml:space="preserve"> +/-Clean Surplus Plug (Ignore)</t>
        </is>
      </c>
      <c r="B63" s="189">
        <f>'Financial Statements'!C65</f>
        <v/>
      </c>
      <c r="C63" s="189">
        <f>'Financial Statements'!D65</f>
        <v/>
      </c>
      <c r="D63" s="189">
        <f>'Financial Statements'!E65</f>
        <v/>
      </c>
      <c r="E63" s="189">
        <f>'Financial Statements'!F65</f>
        <v/>
      </c>
      <c r="F63" s="68">
        <f>'Financial Statements'!G65</f>
        <v/>
      </c>
      <c r="G63" s="68">
        <f>'Financial Statements'!H65</f>
        <v/>
      </c>
      <c r="H63" s="68">
        <f>'Financial Statements'!I65</f>
        <v/>
      </c>
      <c r="I63" s="68">
        <f>'Financial Statements'!J65</f>
        <v/>
      </c>
      <c r="J63" s="68">
        <f>'Financial Statements'!K65</f>
        <v/>
      </c>
      <c r="K63" s="68">
        <f>'Financial Statements'!L65</f>
        <v/>
      </c>
      <c r="L63" s="68">
        <f>'Financial Statements'!M65</f>
        <v/>
      </c>
      <c r="M63" s="68">
        <f>'Financial Statements'!N65</f>
        <v/>
      </c>
      <c r="N63" s="68">
        <f>'Financial Statements'!O65</f>
        <v/>
      </c>
      <c r="O63" s="68">
        <f>'Financial Statements'!P65</f>
        <v/>
      </c>
      <c r="P63" s="68">
        <f>'Financial Statements'!Q65</f>
        <v/>
      </c>
      <c r="Q63" s="68">
        <f>'Financial Statements'!R65</f>
        <v/>
      </c>
    </row>
    <row r="64" ht="15.95" customHeight="1" s="16">
      <c r="A64" t="inlineStr">
        <is>
          <t xml:space="preserve"> =Free Cash Flow to Common Equity</t>
        </is>
      </c>
      <c r="B64" s="190">
        <f>SUM(B56:B63)</f>
        <v/>
      </c>
      <c r="C64" s="190">
        <f>SUM(C56:C63)</f>
        <v/>
      </c>
      <c r="D64" s="190">
        <f>SUM(D56:D63)</f>
        <v/>
      </c>
      <c r="E64" s="190">
        <f>SUM(E56:E63)</f>
        <v/>
      </c>
      <c r="F64" s="219">
        <f>SUM(F56:F63)</f>
        <v/>
      </c>
      <c r="G64" s="219">
        <f>SUM(G56:G63)</f>
        <v/>
      </c>
      <c r="H64" s="219">
        <f>SUM(H56:H63)</f>
        <v/>
      </c>
      <c r="I64" s="219">
        <f>SUM(I56:I63)</f>
        <v/>
      </c>
      <c r="J64" s="219">
        <f>SUM(J56:J63)</f>
        <v/>
      </c>
      <c r="K64" s="219">
        <f>SUM(K56:K63)</f>
        <v/>
      </c>
      <c r="L64" s="219">
        <f>SUM(L56:L63)</f>
        <v/>
      </c>
      <c r="M64" s="219">
        <f>SUM(M56:M63)</f>
        <v/>
      </c>
      <c r="N64" s="219">
        <f>SUM(N56:N63)</f>
        <v/>
      </c>
      <c r="O64" s="219">
        <f>SUM(O56:O63)</f>
        <v/>
      </c>
      <c r="P64" s="219">
        <f>SUM(P56:P63)</f>
        <v/>
      </c>
      <c r="Q64" s="219">
        <f>SUM(Q56:Q63)</f>
        <v/>
      </c>
    </row>
    <row r="65" ht="15.95" customHeight="1" s="16">
      <c r="E65" s="189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</row>
    <row r="66">
      <c r="A66" t="inlineStr">
        <is>
          <t>Financing Flows:</t>
        </is>
      </c>
      <c r="E66" s="189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</row>
    <row r="67">
      <c r="A67" t="inlineStr">
        <is>
          <t xml:space="preserve"> +Dividends Paid</t>
        </is>
      </c>
      <c r="B67" s="189">
        <f>-'Financial Statements'!C64</f>
        <v/>
      </c>
      <c r="C67" s="189">
        <f>-'Financial Statements'!D64</f>
        <v/>
      </c>
      <c r="D67" s="189">
        <f>-'Financial Statements'!E64</f>
        <v/>
      </c>
      <c r="E67" s="189">
        <f>-'Financial Statements'!F64</f>
        <v/>
      </c>
      <c r="F67" s="68">
        <f>-'Financial Statements'!G64</f>
        <v/>
      </c>
      <c r="G67" s="68">
        <f>-'Financial Statements'!H64</f>
        <v/>
      </c>
      <c r="H67" s="68">
        <f>-'Financial Statements'!I64</f>
        <v/>
      </c>
      <c r="I67" s="68">
        <f>-'Financial Statements'!J64</f>
        <v/>
      </c>
      <c r="J67" s="68">
        <f>-'Financial Statements'!K64</f>
        <v/>
      </c>
      <c r="K67" s="68">
        <f>-'Financial Statements'!L64</f>
        <v/>
      </c>
      <c r="L67" s="68">
        <f>-'Financial Statements'!M64</f>
        <v/>
      </c>
      <c r="M67" s="68">
        <f>-'Financial Statements'!N64</f>
        <v/>
      </c>
      <c r="N67" s="68">
        <f>-'Financial Statements'!O64</f>
        <v/>
      </c>
      <c r="O67" s="68">
        <f>-'Financial Statements'!P64</f>
        <v/>
      </c>
      <c r="P67" s="68">
        <f>-'Financial Statements'!Q64</f>
        <v/>
      </c>
      <c r="Q67" s="68">
        <f>-'Financial Statements'!R64</f>
        <v/>
      </c>
    </row>
    <row r="68">
      <c r="A68" t="inlineStr">
        <is>
          <t xml:space="preserve"> -Net Issuance of Common Stock</t>
        </is>
      </c>
      <c r="B68" s="189">
        <f>-('Financial Statements'!C55-'Financial Statements'!B55)</f>
        <v/>
      </c>
      <c r="C68" s="189">
        <f>-('Financial Statements'!D55-'Financial Statements'!C55)</f>
        <v/>
      </c>
      <c r="D68" s="189">
        <f>-('Financial Statements'!E55-'Financial Statements'!D55)</f>
        <v/>
      </c>
      <c r="E68" s="189">
        <f>-('Financial Statements'!F55-'Financial Statements'!E55)</f>
        <v/>
      </c>
      <c r="F68" s="68">
        <f>-('Financial Statements'!G55-'Financial Statements'!F55)</f>
        <v/>
      </c>
      <c r="G68" s="68">
        <f>-('Financial Statements'!H55-'Financial Statements'!G55)</f>
        <v/>
      </c>
      <c r="H68" s="68">
        <f>-('Financial Statements'!I55-'Financial Statements'!H55)</f>
        <v/>
      </c>
      <c r="I68" s="68">
        <f>-('Financial Statements'!J55-'Financial Statements'!I55)</f>
        <v/>
      </c>
      <c r="J68" s="68">
        <f>-('Financial Statements'!K55-'Financial Statements'!J55)</f>
        <v/>
      </c>
      <c r="K68" s="68">
        <f>-('Financial Statements'!L55-'Financial Statements'!K55)</f>
        <v/>
      </c>
      <c r="L68" s="68">
        <f>-('Financial Statements'!M55-'Financial Statements'!L55)</f>
        <v/>
      </c>
      <c r="M68" s="68">
        <f>-('Financial Statements'!N55-'Financial Statements'!M55)</f>
        <v/>
      </c>
      <c r="N68" s="68">
        <f>-('Financial Statements'!O55-'Financial Statements'!N55)</f>
        <v/>
      </c>
      <c r="O68" s="68">
        <f>-('Financial Statements'!P55-'Financial Statements'!O55)</f>
        <v/>
      </c>
      <c r="P68" s="68">
        <f>-('Financial Statements'!Q55-'Financial Statements'!P55)</f>
        <v/>
      </c>
      <c r="Q68" s="68">
        <f>-('Financial Statements'!R55-'Financial Statements'!Q55)</f>
        <v/>
      </c>
    </row>
    <row r="69" ht="15.95" customHeight="1" s="16">
      <c r="A69" t="inlineStr">
        <is>
          <t xml:space="preserve"> = Free Cash Flow to Common Equity</t>
        </is>
      </c>
      <c r="B69" s="190">
        <f>B67+B68</f>
        <v/>
      </c>
      <c r="C69" s="190">
        <f>C67+C68</f>
        <v/>
      </c>
      <c r="D69" s="190">
        <f>D67+D68</f>
        <v/>
      </c>
      <c r="E69" s="190">
        <f>E67+E68</f>
        <v/>
      </c>
      <c r="F69" s="219">
        <f>F67+F68</f>
        <v/>
      </c>
      <c r="G69" s="219">
        <f>G67+G68</f>
        <v/>
      </c>
      <c r="H69" s="219">
        <f>H67+H68</f>
        <v/>
      </c>
      <c r="I69" s="219">
        <f>I67+I68</f>
        <v/>
      </c>
      <c r="J69" s="219">
        <f>J67+J68</f>
        <v/>
      </c>
      <c r="K69" s="219">
        <f>K67+K68</f>
        <v/>
      </c>
      <c r="L69" s="219">
        <f>L67+L68</f>
        <v/>
      </c>
      <c r="M69" s="219">
        <f>M67+M68</f>
        <v/>
      </c>
      <c r="N69" s="219">
        <f>N67+N68</f>
        <v/>
      </c>
      <c r="O69" s="219">
        <f>O67+O68</f>
        <v/>
      </c>
      <c r="P69" s="219">
        <f>P67+P68</f>
        <v/>
      </c>
      <c r="Q69" s="219">
        <f>Q67+Q68</f>
        <v/>
      </c>
    </row>
    <row r="70" ht="15.95" customHeight="1" s="16">
      <c r="B70" s="189" t="n"/>
      <c r="C70" s="189" t="n"/>
      <c r="D70" s="189" t="n"/>
      <c r="E70" s="189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</row>
    <row r="71">
      <c r="E71" s="189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</row>
    <row r="72">
      <c r="A72" s="100" t="inlineStr">
        <is>
          <t>Free Cash Flow to all Investors</t>
        </is>
      </c>
      <c r="C72" s="17" t="n"/>
      <c r="E72" s="189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/>
    </row>
    <row r="74">
      <c r="A74" t="inlineStr">
        <is>
          <t xml:space="preserve">   Net Operating Income</t>
        </is>
      </c>
      <c r="B74" s="193">
        <f>'Financial Statements'!C71</f>
        <v/>
      </c>
      <c r="C74" s="193">
        <f>'Financial Statements'!D71</f>
        <v/>
      </c>
      <c r="D74" s="193">
        <f>'Financial Statements'!E71</f>
        <v/>
      </c>
      <c r="E74" s="193">
        <f>'Financial Statements'!F71</f>
        <v/>
      </c>
      <c r="F74" s="196">
        <f>'Financial Statements'!G71</f>
        <v/>
      </c>
      <c r="G74" s="196">
        <f>'Financial Statements'!H71</f>
        <v/>
      </c>
      <c r="H74" s="196">
        <f>'Financial Statements'!I71</f>
        <v/>
      </c>
      <c r="I74" s="196">
        <f>'Financial Statements'!J71</f>
        <v/>
      </c>
      <c r="J74" s="196">
        <f>'Financial Statements'!K71</f>
        <v/>
      </c>
      <c r="K74" s="196">
        <f>'Financial Statements'!L71</f>
        <v/>
      </c>
      <c r="L74" s="196">
        <f>'Financial Statements'!M71</f>
        <v/>
      </c>
      <c r="M74" s="196">
        <f>'Financial Statements'!N71</f>
        <v/>
      </c>
      <c r="N74" s="196">
        <f>'Financial Statements'!O71</f>
        <v/>
      </c>
      <c r="O74" s="196">
        <f>'Financial Statements'!P71</f>
        <v/>
      </c>
      <c r="P74" s="196">
        <f>'Financial Statements'!Q71</f>
        <v/>
      </c>
      <c r="Q74" s="196">
        <f>'Financial Statements'!R71</f>
        <v/>
      </c>
    </row>
    <row r="75">
      <c r="A75" t="inlineStr">
        <is>
          <t xml:space="preserve"> - Increase in Net Operating Assets</t>
        </is>
      </c>
      <c r="B75" s="189">
        <f>-('Financial Statements'!C75-'Financial Statements'!B75)</f>
        <v/>
      </c>
      <c r="C75" s="189">
        <f>-('Financial Statements'!D75-'Financial Statements'!C75)</f>
        <v/>
      </c>
      <c r="D75" s="189">
        <f>-('Financial Statements'!E75-'Financial Statements'!D75)</f>
        <v/>
      </c>
      <c r="E75" s="189">
        <f>-('Financial Statements'!F75-'Financial Statements'!E75)</f>
        <v/>
      </c>
      <c r="F75" s="68">
        <f>-('Financial Statements'!G75-'Financial Statements'!F75)</f>
        <v/>
      </c>
      <c r="G75" s="68">
        <f>-('Financial Statements'!H75-'Financial Statements'!G75)</f>
        <v/>
      </c>
      <c r="H75" s="68">
        <f>-('Financial Statements'!I75-'Financial Statements'!H75)</f>
        <v/>
      </c>
      <c r="I75" s="68">
        <f>-('Financial Statements'!J75-'Financial Statements'!I75)</f>
        <v/>
      </c>
      <c r="J75" s="68">
        <f>-('Financial Statements'!K75-'Financial Statements'!J75)</f>
        <v/>
      </c>
      <c r="K75" s="68">
        <f>-('Financial Statements'!L75-'Financial Statements'!K75)</f>
        <v/>
      </c>
      <c r="L75" s="68">
        <f>-('Financial Statements'!M75-'Financial Statements'!L75)</f>
        <v/>
      </c>
      <c r="M75" s="68">
        <f>-('Financial Statements'!N75-'Financial Statements'!M75)</f>
        <v/>
      </c>
      <c r="N75" s="68">
        <f>-('Financial Statements'!O75-'Financial Statements'!N75)</f>
        <v/>
      </c>
      <c r="O75" s="68">
        <f>-('Financial Statements'!P75-'Financial Statements'!O75)</f>
        <v/>
      </c>
      <c r="P75" s="68">
        <f>-('Financial Statements'!Q75-'Financial Statements'!P75)</f>
        <v/>
      </c>
      <c r="Q75" s="68">
        <f>-('Financial Statements'!R75-'Financial Statements'!Q75)</f>
        <v/>
      </c>
    </row>
    <row r="76">
      <c r="A76" t="inlineStr">
        <is>
          <t xml:space="preserve"> +/-Clean Surplus Plug (Ignore)</t>
        </is>
      </c>
      <c r="B76" s="189">
        <f>'Financial Statements'!C65</f>
        <v/>
      </c>
      <c r="C76" s="189">
        <f>'Financial Statements'!D65</f>
        <v/>
      </c>
      <c r="D76" s="189">
        <f>'Financial Statements'!E65</f>
        <v/>
      </c>
      <c r="E76" s="189">
        <f>'Financial Statements'!F65</f>
        <v/>
      </c>
      <c r="F76" s="68">
        <f>'Financial Statements'!G65</f>
        <v/>
      </c>
      <c r="G76" s="68">
        <f>'Financial Statements'!H65</f>
        <v/>
      </c>
      <c r="H76" s="68">
        <f>'Financial Statements'!I65</f>
        <v/>
      </c>
      <c r="I76" s="68">
        <f>'Financial Statements'!J65</f>
        <v/>
      </c>
      <c r="J76" s="68">
        <f>'Financial Statements'!K65</f>
        <v/>
      </c>
      <c r="K76" s="68">
        <f>'Financial Statements'!L65</f>
        <v/>
      </c>
      <c r="L76" s="68">
        <f>'Financial Statements'!M65</f>
        <v/>
      </c>
      <c r="M76" s="68">
        <f>'Financial Statements'!N65</f>
        <v/>
      </c>
      <c r="N76" s="68">
        <f>'Financial Statements'!O65</f>
        <v/>
      </c>
      <c r="O76" s="68">
        <f>'Financial Statements'!P65</f>
        <v/>
      </c>
      <c r="P76" s="68">
        <f>'Financial Statements'!Q65</f>
        <v/>
      </c>
      <c r="Q76" s="68">
        <f>'Financial Statements'!R65</f>
        <v/>
      </c>
    </row>
    <row r="77" ht="15.95" customHeight="1" s="16">
      <c r="A77" t="inlineStr">
        <is>
          <t xml:space="preserve"> =Free Cash Flow to Investors</t>
        </is>
      </c>
      <c r="B77" s="190">
        <f>SUM(B74:B76)</f>
        <v/>
      </c>
      <c r="C77" s="190">
        <f>SUM(C74:C76)</f>
        <v/>
      </c>
      <c r="D77" s="190">
        <f>SUM(D74:D76)</f>
        <v/>
      </c>
      <c r="E77" s="190">
        <f>SUM(E74:E76)</f>
        <v/>
      </c>
      <c r="F77" s="219">
        <f>SUM(F74:F76)</f>
        <v/>
      </c>
      <c r="G77" s="219">
        <f>SUM(G74:G76)</f>
        <v/>
      </c>
      <c r="H77" s="219">
        <f>SUM(H74:H76)</f>
        <v/>
      </c>
      <c r="I77" s="219">
        <f>SUM(I74:I76)</f>
        <v/>
      </c>
      <c r="J77" s="219">
        <f>SUM(J74:J76)</f>
        <v/>
      </c>
      <c r="K77" s="219">
        <f>SUM(K74:K76)</f>
        <v/>
      </c>
      <c r="L77" s="219">
        <f>SUM(L74:L76)</f>
        <v/>
      </c>
      <c r="M77" s="219">
        <f>SUM(M74:M76)</f>
        <v/>
      </c>
      <c r="N77" s="219">
        <f>SUM(N74:N76)</f>
        <v/>
      </c>
      <c r="O77" s="219">
        <f>SUM(O74:O76)</f>
        <v/>
      </c>
      <c r="P77" s="219">
        <f>SUM(P74:P76)</f>
        <v/>
      </c>
      <c r="Q77" s="219">
        <f>SUM(Q74:Q76)</f>
        <v/>
      </c>
    </row>
    <row r="78" ht="15.95" customHeight="1" s="16">
      <c r="B78" s="189" t="n"/>
      <c r="C78" s="189" t="n"/>
      <c r="D78" s="189" t="n"/>
      <c r="E78" s="189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</row>
    <row r="79">
      <c r="A79" t="inlineStr">
        <is>
          <t>Computation based on SCF:</t>
        </is>
      </c>
      <c r="B79" s="189" t="n"/>
      <c r="C79" s="189" t="n"/>
      <c r="D79" s="189" t="n"/>
      <c r="E79" s="189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</row>
    <row r="80">
      <c r="A80" t="inlineStr">
        <is>
          <t xml:space="preserve">   Cash From Operations</t>
        </is>
      </c>
      <c r="B80" s="189">
        <f>B24</f>
        <v/>
      </c>
      <c r="C80" s="189">
        <f>C24</f>
        <v/>
      </c>
      <c r="D80" s="189">
        <f>D24</f>
        <v/>
      </c>
      <c r="E80" s="189">
        <f>E24</f>
        <v/>
      </c>
      <c r="F80" s="68">
        <f>F24</f>
        <v/>
      </c>
      <c r="G80" s="68">
        <f>G24</f>
        <v/>
      </c>
      <c r="H80" s="68">
        <f>H24</f>
        <v/>
      </c>
      <c r="I80" s="68">
        <f>I24</f>
        <v/>
      </c>
      <c r="J80" s="68">
        <f>J24</f>
        <v/>
      </c>
      <c r="K80" s="68">
        <f>K24</f>
        <v/>
      </c>
      <c r="L80" s="68">
        <f>L24</f>
        <v/>
      </c>
      <c r="M80" s="68">
        <f>M24</f>
        <v/>
      </c>
      <c r="N80" s="68">
        <f>N24</f>
        <v/>
      </c>
      <c r="O80" s="68">
        <f>O24</f>
        <v/>
      </c>
      <c r="P80" s="68">
        <f>P24</f>
        <v/>
      </c>
      <c r="Q80" s="68">
        <f>Q24</f>
        <v/>
      </c>
    </row>
    <row r="81">
      <c r="A81" t="inlineStr">
        <is>
          <t xml:space="preserve">  -Increase in Operating Cash</t>
        </is>
      </c>
      <c r="B81" s="189">
        <f>-('Financial Statements'!C33-'Financial Statements'!B33)</f>
        <v/>
      </c>
      <c r="C81" s="189">
        <f>-('Financial Statements'!D33-'Financial Statements'!C33)</f>
        <v/>
      </c>
      <c r="D81" s="189">
        <f>-('Financial Statements'!E33-'Financial Statements'!D33)</f>
        <v/>
      </c>
      <c r="E81" s="189">
        <f>-('Financial Statements'!F33-'Financial Statements'!E33)</f>
        <v/>
      </c>
      <c r="F81" s="68">
        <f>-('Financial Statements'!G33-'Financial Statements'!F33)</f>
        <v/>
      </c>
      <c r="G81" s="68">
        <f>-('Financial Statements'!H33-'Financial Statements'!G33)</f>
        <v/>
      </c>
      <c r="H81" s="68">
        <f>-('Financial Statements'!I33-'Financial Statements'!H33)</f>
        <v/>
      </c>
      <c r="I81" s="68">
        <f>-('Financial Statements'!J33-'Financial Statements'!I33)</f>
        <v/>
      </c>
      <c r="J81" s="68">
        <f>-('Financial Statements'!K33-'Financial Statements'!J33)</f>
        <v/>
      </c>
      <c r="K81" s="68">
        <f>-('Financial Statements'!L33-'Financial Statements'!K33)</f>
        <v/>
      </c>
      <c r="L81" s="68">
        <f>-('Financial Statements'!M33-'Financial Statements'!L33)</f>
        <v/>
      </c>
      <c r="M81" s="68">
        <f>-('Financial Statements'!N33-'Financial Statements'!M33)</f>
        <v/>
      </c>
      <c r="N81" s="68">
        <f>-('Financial Statements'!O33-'Financial Statements'!N33)</f>
        <v/>
      </c>
      <c r="O81" s="68">
        <f>-('Financial Statements'!P33-'Financial Statements'!O33)</f>
        <v/>
      </c>
      <c r="P81" s="68">
        <f>-('Financial Statements'!Q33-'Financial Statements'!P33)</f>
        <v/>
      </c>
      <c r="Q81" s="68">
        <f>-('Financial Statements'!R33-'Financial Statements'!Q33)</f>
        <v/>
      </c>
    </row>
    <row r="82">
      <c r="A82" t="inlineStr">
        <is>
          <t xml:space="preserve"> +Cash from Investing</t>
        </is>
      </c>
      <c r="B82" s="189">
        <f>B31</f>
        <v/>
      </c>
      <c r="C82" s="189">
        <f>C31</f>
        <v/>
      </c>
      <c r="D82" s="189">
        <f>D31</f>
        <v/>
      </c>
      <c r="E82" s="189">
        <f>E31</f>
        <v/>
      </c>
      <c r="F82" s="68">
        <f>F31</f>
        <v/>
      </c>
      <c r="G82" s="68">
        <f>G31</f>
        <v/>
      </c>
      <c r="H82" s="68">
        <f>H31</f>
        <v/>
      </c>
      <c r="I82" s="68">
        <f>I31</f>
        <v/>
      </c>
      <c r="J82" s="68">
        <f>J31</f>
        <v/>
      </c>
      <c r="K82" s="68">
        <f>K31</f>
        <v/>
      </c>
      <c r="L82" s="68">
        <f>L31</f>
        <v/>
      </c>
      <c r="M82" s="68">
        <f>M31</f>
        <v/>
      </c>
      <c r="N82" s="68">
        <f>N31</f>
        <v/>
      </c>
      <c r="O82" s="68">
        <f>O31</f>
        <v/>
      </c>
      <c r="P82" s="68">
        <f>P31</f>
        <v/>
      </c>
      <c r="Q82" s="68">
        <f>Q31</f>
        <v/>
      </c>
    </row>
    <row r="83">
      <c r="A83" t="inlineStr">
        <is>
          <t xml:space="preserve"> +Interest Expense</t>
        </is>
      </c>
      <c r="B83" s="189">
        <f>-'Financial Statements'!C20</f>
        <v/>
      </c>
      <c r="C83" s="189">
        <f>-'Financial Statements'!D20</f>
        <v/>
      </c>
      <c r="D83" s="189">
        <f>-'Financial Statements'!E20</f>
        <v/>
      </c>
      <c r="E83" s="189">
        <f>-'Financial Statements'!F20</f>
        <v/>
      </c>
      <c r="F83" s="68">
        <f>-'Financial Statements'!G20</f>
        <v/>
      </c>
      <c r="G83" s="68">
        <f>-'Financial Statements'!H20</f>
        <v/>
      </c>
      <c r="H83" s="68">
        <f>-'Financial Statements'!I20</f>
        <v/>
      </c>
      <c r="I83" s="68">
        <f>-'Financial Statements'!J20</f>
        <v/>
      </c>
      <c r="J83" s="68">
        <f>-'Financial Statements'!K20</f>
        <v/>
      </c>
      <c r="K83" s="68">
        <f>-'Financial Statements'!L20</f>
        <v/>
      </c>
      <c r="L83" s="68">
        <f>-'Financial Statements'!M20</f>
        <v/>
      </c>
      <c r="M83" s="68">
        <f>-'Financial Statements'!N20</f>
        <v/>
      </c>
      <c r="N83" s="68">
        <f>-'Financial Statements'!O20</f>
        <v/>
      </c>
      <c r="O83" s="68">
        <f>-'Financial Statements'!P20</f>
        <v/>
      </c>
      <c r="P83" s="68">
        <f>-'Financial Statements'!Q20</f>
        <v/>
      </c>
      <c r="Q83" s="68">
        <f>-'Financial Statements'!R20</f>
        <v/>
      </c>
    </row>
    <row r="84">
      <c r="A84" t="inlineStr">
        <is>
          <t xml:space="preserve"> -Tax Shield on Interest</t>
        </is>
      </c>
      <c r="B84" s="189">
        <f>-(IF('Financial Statements'!C22=0,0,(-'Financial Statements'!C23)/'Financial Statements'!C22))*B83</f>
        <v/>
      </c>
      <c r="C84" s="189">
        <f>-(IF('Financial Statements'!D22=0,0,(-'Financial Statements'!D23)/'Financial Statements'!D22))*C83</f>
        <v/>
      </c>
      <c r="D84" s="189">
        <f>-(IF('Financial Statements'!E22=0,0,(-'Financial Statements'!E23)/'Financial Statements'!E22))*D83</f>
        <v/>
      </c>
      <c r="E84" s="189">
        <f>-(IF('Financial Statements'!F22=0,0,(-'Financial Statements'!F23)/'Financial Statements'!F22))*E83</f>
        <v/>
      </c>
      <c r="F84" s="68">
        <f>-(IF('Financial Statements'!G22=0,0,(-'Financial Statements'!G23)/'Financial Statements'!G22))*F83</f>
        <v/>
      </c>
      <c r="G84" s="68">
        <f>-(IF('Financial Statements'!H22=0,0,(-'Financial Statements'!H23)/'Financial Statements'!H22))*G83</f>
        <v/>
      </c>
      <c r="H84" s="68">
        <f>-(IF('Financial Statements'!I22=0,0,(-'Financial Statements'!I23)/'Financial Statements'!I22))*H83</f>
        <v/>
      </c>
      <c r="I84" s="68">
        <f>-(IF('Financial Statements'!J22=0,0,(-'Financial Statements'!J23)/'Financial Statements'!J22))*I83</f>
        <v/>
      </c>
      <c r="J84" s="68">
        <f>-(IF('Financial Statements'!K22=0,0,(-'Financial Statements'!K23)/'Financial Statements'!K22))*J83</f>
        <v/>
      </c>
      <c r="K84" s="68">
        <f>-(IF('Financial Statements'!L22=0,0,(-'Financial Statements'!L23)/'Financial Statements'!L22))*K83</f>
        <v/>
      </c>
      <c r="L84" s="68">
        <f>-(IF('Financial Statements'!M22=0,0,(-'Financial Statements'!M23)/'Financial Statements'!M22))*L83</f>
        <v/>
      </c>
      <c r="M84" s="68">
        <f>-(IF('Financial Statements'!N22=0,0,(-'Financial Statements'!N23)/'Financial Statements'!N22))*M83</f>
        <v/>
      </c>
      <c r="N84" s="68">
        <f>-(IF('Financial Statements'!O22=0,0,(-'Financial Statements'!O23)/'Financial Statements'!O22))*N83</f>
        <v/>
      </c>
      <c r="O84" s="68">
        <f>-(IF('Financial Statements'!P22=0,0,(-'Financial Statements'!P23)/'Financial Statements'!P22))*O83</f>
        <v/>
      </c>
      <c r="P84" s="68">
        <f>-(IF('Financial Statements'!Q22=0,0,(-'Financial Statements'!Q23)/'Financial Statements'!Q22))*P83</f>
        <v/>
      </c>
      <c r="Q84" s="68">
        <f>-(IF('Financial Statements'!R22=0,0,(-'Financial Statements'!R23)/'Financial Statements'!R22))*Q83</f>
        <v/>
      </c>
    </row>
    <row r="85">
      <c r="A85" t="inlineStr">
        <is>
          <t xml:space="preserve"> +/-Clean Surplus Plug (Ignore)</t>
        </is>
      </c>
      <c r="B85" s="189">
        <f>'Financial Statements'!C65</f>
        <v/>
      </c>
      <c r="C85" s="189">
        <f>'Financial Statements'!D65</f>
        <v/>
      </c>
      <c r="D85" s="189">
        <f>'Financial Statements'!E65</f>
        <v/>
      </c>
      <c r="E85" s="189">
        <f>'Financial Statements'!F65</f>
        <v/>
      </c>
      <c r="F85" s="68">
        <f>'Financial Statements'!G65</f>
        <v/>
      </c>
      <c r="G85" s="68">
        <f>'Financial Statements'!H65</f>
        <v/>
      </c>
      <c r="H85" s="68">
        <f>'Financial Statements'!I65</f>
        <v/>
      </c>
      <c r="I85" s="68">
        <f>'Financial Statements'!J65</f>
        <v/>
      </c>
      <c r="J85" s="68">
        <f>'Financial Statements'!K65</f>
        <v/>
      </c>
      <c r="K85" s="68">
        <f>'Financial Statements'!L65</f>
        <v/>
      </c>
      <c r="L85" s="68">
        <f>'Financial Statements'!M65</f>
        <v/>
      </c>
      <c r="M85" s="68">
        <f>'Financial Statements'!N65</f>
        <v/>
      </c>
      <c r="N85" s="68">
        <f>'Financial Statements'!O65</f>
        <v/>
      </c>
      <c r="O85" s="68">
        <f>'Financial Statements'!P65</f>
        <v/>
      </c>
      <c r="P85" s="68">
        <f>'Financial Statements'!Q65</f>
        <v/>
      </c>
      <c r="Q85" s="68">
        <f>'Financial Statements'!R65</f>
        <v/>
      </c>
    </row>
    <row r="86" ht="15.95" customHeight="1" s="16">
      <c r="A86" t="inlineStr">
        <is>
          <t xml:space="preserve"> =Free Cash Flow to Investors</t>
        </is>
      </c>
      <c r="B86" s="190">
        <f>SUM(B80:B85)</f>
        <v/>
      </c>
      <c r="C86" s="190">
        <f>SUM(C80:C85)</f>
        <v/>
      </c>
      <c r="D86" s="190">
        <f>SUM(D80:D85)</f>
        <v/>
      </c>
      <c r="E86" s="190">
        <f>SUM(E80:E85)</f>
        <v/>
      </c>
      <c r="F86" s="219">
        <f>SUM(F80:F85)</f>
        <v/>
      </c>
      <c r="G86" s="219">
        <f>SUM(G80:G85)</f>
        <v/>
      </c>
      <c r="H86" s="219">
        <f>SUM(H80:H85)</f>
        <v/>
      </c>
      <c r="I86" s="219">
        <f>SUM(I80:I85)</f>
        <v/>
      </c>
      <c r="J86" s="219">
        <f>SUM(J80:J85)</f>
        <v/>
      </c>
      <c r="K86" s="219">
        <f>SUM(K80:K85)</f>
        <v/>
      </c>
      <c r="L86" s="219">
        <f>SUM(L80:L85)</f>
        <v/>
      </c>
      <c r="M86" s="219">
        <f>SUM(M80:M85)</f>
        <v/>
      </c>
      <c r="N86" s="219">
        <f>SUM(N80:N85)</f>
        <v/>
      </c>
      <c r="O86" s="219">
        <f>SUM(O80:O85)</f>
        <v/>
      </c>
      <c r="P86" s="219">
        <f>SUM(P80:P85)</f>
        <v/>
      </c>
      <c r="Q86" s="219">
        <f>SUM(Q80:Q85)</f>
        <v/>
      </c>
    </row>
    <row r="87" ht="15.95" customHeight="1" s="16">
      <c r="B87" s="189" t="n"/>
      <c r="C87" s="189" t="n"/>
      <c r="D87" s="189" t="n"/>
      <c r="E87" s="189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</row>
    <row r="88">
      <c r="A88" t="inlineStr">
        <is>
          <t>Financing Flows:</t>
        </is>
      </c>
      <c r="B88" s="189" t="n"/>
      <c r="C88" s="189" t="n"/>
      <c r="D88" s="189" t="n"/>
      <c r="E88" s="189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</row>
    <row r="89">
      <c r="A89" t="inlineStr">
        <is>
          <t xml:space="preserve"> +Dividends on Common Stock</t>
        </is>
      </c>
      <c r="B89" s="189">
        <f>-'Financial Statements'!C64</f>
        <v/>
      </c>
      <c r="C89" s="189">
        <f>-'Financial Statements'!D64</f>
        <v/>
      </c>
      <c r="D89" s="189">
        <f>-'Financial Statements'!E64</f>
        <v/>
      </c>
      <c r="E89" s="189">
        <f>-'Financial Statements'!F64</f>
        <v/>
      </c>
      <c r="F89" s="68">
        <f>-'Financial Statements'!G64</f>
        <v/>
      </c>
      <c r="G89" s="68">
        <f>-'Financial Statements'!H64</f>
        <v/>
      </c>
      <c r="H89" s="68">
        <f>-'Financial Statements'!I64</f>
        <v/>
      </c>
      <c r="I89" s="68">
        <f>-'Financial Statements'!J64</f>
        <v/>
      </c>
      <c r="J89" s="68">
        <f>-'Financial Statements'!K64</f>
        <v/>
      </c>
      <c r="K89" s="68">
        <f>-'Financial Statements'!L64</f>
        <v/>
      </c>
      <c r="L89" s="68">
        <f>-'Financial Statements'!M64</f>
        <v/>
      </c>
      <c r="M89" s="68">
        <f>-'Financial Statements'!N64</f>
        <v/>
      </c>
      <c r="N89" s="68">
        <f>-'Financial Statements'!O64</f>
        <v/>
      </c>
      <c r="O89" s="68">
        <f>-'Financial Statements'!P64</f>
        <v/>
      </c>
      <c r="P89" s="68">
        <f>-'Financial Statements'!Q64</f>
        <v/>
      </c>
      <c r="Q89" s="68">
        <f>-'Financial Statements'!R64</f>
        <v/>
      </c>
    </row>
    <row r="90">
      <c r="A90" t="inlineStr">
        <is>
          <t xml:space="preserve"> +Interest Expense</t>
        </is>
      </c>
      <c r="B90" s="189">
        <f>-'Financial Statements'!C20</f>
        <v/>
      </c>
      <c r="C90" s="189">
        <f>-'Financial Statements'!D20</f>
        <v/>
      </c>
      <c r="D90" s="189">
        <f>-'Financial Statements'!E20</f>
        <v/>
      </c>
      <c r="E90" s="189">
        <f>-'Financial Statements'!F20</f>
        <v/>
      </c>
      <c r="F90" s="68">
        <f>-'Financial Statements'!G20</f>
        <v/>
      </c>
      <c r="G90" s="68">
        <f>-'Financial Statements'!H20</f>
        <v/>
      </c>
      <c r="H90" s="68">
        <f>-'Financial Statements'!I20</f>
        <v/>
      </c>
      <c r="I90" s="68">
        <f>-'Financial Statements'!J20</f>
        <v/>
      </c>
      <c r="J90" s="68">
        <f>-'Financial Statements'!K20</f>
        <v/>
      </c>
      <c r="K90" s="68">
        <f>-'Financial Statements'!L20</f>
        <v/>
      </c>
      <c r="L90" s="68">
        <f>-'Financial Statements'!M20</f>
        <v/>
      </c>
      <c r="M90" s="68">
        <f>-'Financial Statements'!N20</f>
        <v/>
      </c>
      <c r="N90" s="68">
        <f>-'Financial Statements'!O20</f>
        <v/>
      </c>
      <c r="O90" s="68">
        <f>-'Financial Statements'!P20</f>
        <v/>
      </c>
      <c r="P90" s="68">
        <f>-'Financial Statements'!Q20</f>
        <v/>
      </c>
      <c r="Q90" s="68">
        <f>-'Financial Statements'!R20</f>
        <v/>
      </c>
    </row>
    <row r="91">
      <c r="A91" t="inlineStr">
        <is>
          <t xml:space="preserve"> -Tax Shield on Interest</t>
        </is>
      </c>
      <c r="B91" s="189">
        <f>-(IF('Financial Statements'!C22=0,0,(-'Financial Statements'!C23)/'Financial Statements'!C22))*B90</f>
        <v/>
      </c>
      <c r="C91" s="189">
        <f>-(IF('Financial Statements'!D22=0,0,(-'Financial Statements'!D23)/'Financial Statements'!D22))*C90</f>
        <v/>
      </c>
      <c r="D91" s="189">
        <f>-(IF('Financial Statements'!E22=0,0,(-'Financial Statements'!E23)/'Financial Statements'!E22))*D90</f>
        <v/>
      </c>
      <c r="E91" s="189">
        <f>-(IF('Financial Statements'!F22=0,0,(-'Financial Statements'!F23)/'Financial Statements'!F22))*E90</f>
        <v/>
      </c>
      <c r="F91" s="68">
        <f>-(IF('Financial Statements'!G22=0,0,(-'Financial Statements'!G23)/'Financial Statements'!G22))*F90</f>
        <v/>
      </c>
      <c r="G91" s="68">
        <f>-(IF('Financial Statements'!H22=0,0,(-'Financial Statements'!H23)/'Financial Statements'!H22))*G90</f>
        <v/>
      </c>
      <c r="H91" s="68">
        <f>-(IF('Financial Statements'!I22=0,0,(-'Financial Statements'!I23)/'Financial Statements'!I22))*H90</f>
        <v/>
      </c>
      <c r="I91" s="68">
        <f>-(IF('Financial Statements'!J22=0,0,(-'Financial Statements'!J23)/'Financial Statements'!J22))*I90</f>
        <v/>
      </c>
      <c r="J91" s="68">
        <f>-(IF('Financial Statements'!K22=0,0,(-'Financial Statements'!K23)/'Financial Statements'!K22))*J90</f>
        <v/>
      </c>
      <c r="K91" s="68">
        <f>-(IF('Financial Statements'!L22=0,0,(-'Financial Statements'!L23)/'Financial Statements'!L22))*K90</f>
        <v/>
      </c>
      <c r="L91" s="68">
        <f>-(IF('Financial Statements'!M22=0,0,(-'Financial Statements'!M23)/'Financial Statements'!M22))*L90</f>
        <v/>
      </c>
      <c r="M91" s="68">
        <f>-(IF('Financial Statements'!N22=0,0,(-'Financial Statements'!N23)/'Financial Statements'!N22))*M90</f>
        <v/>
      </c>
      <c r="N91" s="68">
        <f>-(IF('Financial Statements'!O22=0,0,(-'Financial Statements'!O23)/'Financial Statements'!O22))*N90</f>
        <v/>
      </c>
      <c r="O91" s="68">
        <f>-(IF('Financial Statements'!P22=0,0,(-'Financial Statements'!P23)/'Financial Statements'!P22))*O90</f>
        <v/>
      </c>
      <c r="P91" s="68">
        <f>-(IF('Financial Statements'!Q22=0,0,(-'Financial Statements'!Q23)/'Financial Statements'!Q22))*P90</f>
        <v/>
      </c>
      <c r="Q91" s="68">
        <f>-(IF('Financial Statements'!R22=0,0,(-'Financial Statements'!R23)/'Financial Statements'!R22))*Q90</f>
        <v/>
      </c>
    </row>
    <row r="92">
      <c r="A92" t="inlineStr">
        <is>
          <t xml:space="preserve"> +Dividends on Preferred Stock</t>
        </is>
      </c>
      <c r="B92" s="189">
        <f>-'Financial Statements'!C28</f>
        <v/>
      </c>
      <c r="C92" s="189">
        <f>-'Financial Statements'!D28</f>
        <v/>
      </c>
      <c r="D92" s="189">
        <f>-'Financial Statements'!E28</f>
        <v/>
      </c>
      <c r="E92" s="189">
        <f>-'Financial Statements'!F28</f>
        <v/>
      </c>
      <c r="F92" s="68">
        <f>-'Financial Statements'!G28</f>
        <v/>
      </c>
      <c r="G92" s="68">
        <f>-'Financial Statements'!H28</f>
        <v/>
      </c>
      <c r="H92" s="68">
        <f>-'Financial Statements'!I28</f>
        <v/>
      </c>
      <c r="I92" s="68">
        <f>-'Financial Statements'!J28</f>
        <v/>
      </c>
      <c r="J92" s="68">
        <f>-'Financial Statements'!K28</f>
        <v/>
      </c>
      <c r="K92" s="68">
        <f>-'Financial Statements'!L28</f>
        <v/>
      </c>
      <c r="L92" s="68">
        <f>-'Financial Statements'!M28</f>
        <v/>
      </c>
      <c r="M92" s="68">
        <f>-'Financial Statements'!N28</f>
        <v/>
      </c>
      <c r="N92" s="68">
        <f>-'Financial Statements'!O28</f>
        <v/>
      </c>
      <c r="O92" s="68">
        <f>-'Financial Statements'!P28</f>
        <v/>
      </c>
      <c r="P92" s="68">
        <f>-'Financial Statements'!Q28</f>
        <v/>
      </c>
      <c r="Q92" s="68">
        <f>-'Financial Statements'!R28</f>
        <v/>
      </c>
    </row>
    <row r="93">
      <c r="A93" t="inlineStr">
        <is>
          <t xml:space="preserve"> +Dividends Paid to Noncontrolling Interest</t>
        </is>
      </c>
      <c r="B93" s="189">
        <f>-'Financial Statements'!C27-('Financial Statements'!C53-'Financial Statements'!B53)</f>
        <v/>
      </c>
      <c r="C93" s="189">
        <f>-'Financial Statements'!D27-('Financial Statements'!D53-'Financial Statements'!C53)</f>
        <v/>
      </c>
      <c r="D93" s="189">
        <f>-'Financial Statements'!E27-('Financial Statements'!E53-'Financial Statements'!D53)</f>
        <v/>
      </c>
      <c r="E93" s="189">
        <f>-'Financial Statements'!F27-('Financial Statements'!F53-'Financial Statements'!E53)</f>
        <v/>
      </c>
      <c r="F93" s="68">
        <f>-'Financial Statements'!G27-('Financial Statements'!G53-'Financial Statements'!F53)</f>
        <v/>
      </c>
      <c r="G93" s="68">
        <f>-'Financial Statements'!H27-('Financial Statements'!H53-'Financial Statements'!G53)</f>
        <v/>
      </c>
      <c r="H93" s="68">
        <f>-'Financial Statements'!I27-('Financial Statements'!I53-'Financial Statements'!H53)</f>
        <v/>
      </c>
      <c r="I93" s="68">
        <f>-'Financial Statements'!J27-('Financial Statements'!J53-'Financial Statements'!I53)</f>
        <v/>
      </c>
      <c r="J93" s="68">
        <f>-'Financial Statements'!K27-('Financial Statements'!K53-'Financial Statements'!J53)</f>
        <v/>
      </c>
      <c r="K93" s="68">
        <f>-'Financial Statements'!L27-('Financial Statements'!L53-'Financial Statements'!K53)</f>
        <v/>
      </c>
      <c r="L93" s="68">
        <f>-'Financial Statements'!M27-('Financial Statements'!M53-'Financial Statements'!L53)</f>
        <v/>
      </c>
      <c r="M93" s="68">
        <f>-'Financial Statements'!N27-('Financial Statements'!N53-'Financial Statements'!M53)</f>
        <v/>
      </c>
      <c r="N93" s="68">
        <f>-'Financial Statements'!O27-('Financial Statements'!O53-'Financial Statements'!N53)</f>
        <v/>
      </c>
      <c r="O93" s="68">
        <f>-'Financial Statements'!P27-('Financial Statements'!P53-'Financial Statements'!O53)</f>
        <v/>
      </c>
      <c r="P93" s="68">
        <f>-'Financial Statements'!Q27-('Financial Statements'!Q53-'Financial Statements'!P53)</f>
        <v/>
      </c>
      <c r="Q93" s="68">
        <f>-'Financial Statements'!R27-('Financial Statements'!R53-'Financial Statements'!Q53)</f>
        <v/>
      </c>
    </row>
    <row r="94">
      <c r="A94" t="inlineStr">
        <is>
          <t xml:space="preserve"> -Net Issuance of Common Stock</t>
        </is>
      </c>
      <c r="B94" s="189">
        <f>-('Financial Statements'!C55-'Financial Statements'!B55)</f>
        <v/>
      </c>
      <c r="C94" s="189">
        <f>-('Financial Statements'!D55-'Financial Statements'!C55)</f>
        <v/>
      </c>
      <c r="D94" s="189">
        <f>-('Financial Statements'!E55-'Financial Statements'!D55)</f>
        <v/>
      </c>
      <c r="E94" s="189">
        <f>-('Financial Statements'!F55-'Financial Statements'!E55)</f>
        <v/>
      </c>
      <c r="F94" s="68">
        <f>-('Financial Statements'!G55-'Financial Statements'!F55)</f>
        <v/>
      </c>
      <c r="G94" s="68">
        <f>-('Financial Statements'!H55-'Financial Statements'!G55)</f>
        <v/>
      </c>
      <c r="H94" s="68">
        <f>-('Financial Statements'!I55-'Financial Statements'!H55)</f>
        <v/>
      </c>
      <c r="I94" s="68">
        <f>-('Financial Statements'!J55-'Financial Statements'!I55)</f>
        <v/>
      </c>
      <c r="J94" s="68">
        <f>-('Financial Statements'!K55-'Financial Statements'!J55)</f>
        <v/>
      </c>
      <c r="K94" s="68">
        <f>-('Financial Statements'!L55-'Financial Statements'!K55)</f>
        <v/>
      </c>
      <c r="L94" s="68">
        <f>-('Financial Statements'!M55-'Financial Statements'!L55)</f>
        <v/>
      </c>
      <c r="M94" s="68">
        <f>-('Financial Statements'!N55-'Financial Statements'!M55)</f>
        <v/>
      </c>
      <c r="N94" s="68">
        <f>-('Financial Statements'!O55-'Financial Statements'!N55)</f>
        <v/>
      </c>
      <c r="O94" s="68">
        <f>-('Financial Statements'!P55-'Financial Statements'!O55)</f>
        <v/>
      </c>
      <c r="P94" s="68">
        <f>-('Financial Statements'!Q55-'Financial Statements'!P55)</f>
        <v/>
      </c>
      <c r="Q94" s="68">
        <f>-('Financial Statements'!R55-'Financial Statements'!Q55)</f>
        <v/>
      </c>
    </row>
    <row r="95">
      <c r="A95" t="inlineStr">
        <is>
          <t xml:space="preserve"> -Net Issuance of Debt</t>
        </is>
      </c>
      <c r="B95" s="189">
        <f>-('Financial Statements'!C44+'Financial Statements'!C49-'Financial Statements'!B49-'Financial Statements'!B44)</f>
        <v/>
      </c>
      <c r="C95" s="189">
        <f>-('Financial Statements'!D44+'Financial Statements'!D49-'Financial Statements'!C49-'Financial Statements'!C44)</f>
        <v/>
      </c>
      <c r="D95" s="189">
        <f>-('Financial Statements'!E44+'Financial Statements'!E49-'Financial Statements'!D49-'Financial Statements'!D44)</f>
        <v/>
      </c>
      <c r="E95" s="189">
        <f>-('Financial Statements'!F44+'Financial Statements'!F49-'Financial Statements'!E49-'Financial Statements'!E44)</f>
        <v/>
      </c>
      <c r="F95" s="68">
        <f>-('Financial Statements'!G44+'Financial Statements'!G49-'Financial Statements'!F49-'Financial Statements'!F44)</f>
        <v/>
      </c>
      <c r="G95" s="68">
        <f>-('Financial Statements'!H44+'Financial Statements'!H49-'Financial Statements'!G49-'Financial Statements'!G44)</f>
        <v/>
      </c>
      <c r="H95" s="68">
        <f>-('Financial Statements'!I44+'Financial Statements'!I49-'Financial Statements'!H49-'Financial Statements'!H44)</f>
        <v/>
      </c>
      <c r="I95" s="68">
        <f>-('Financial Statements'!J44+'Financial Statements'!J49-'Financial Statements'!I49-'Financial Statements'!I44)</f>
        <v/>
      </c>
      <c r="J95" s="68">
        <f>-('Financial Statements'!K44+'Financial Statements'!K49-'Financial Statements'!J49-'Financial Statements'!J44)</f>
        <v/>
      </c>
      <c r="K95" s="68">
        <f>-('Financial Statements'!L44+'Financial Statements'!L49-'Financial Statements'!K49-'Financial Statements'!K44)</f>
        <v/>
      </c>
      <c r="L95" s="68">
        <f>-('Financial Statements'!M44+'Financial Statements'!M49-'Financial Statements'!L49-'Financial Statements'!L44)</f>
        <v/>
      </c>
      <c r="M95" s="68">
        <f>-('Financial Statements'!N44+'Financial Statements'!N49-'Financial Statements'!M49-'Financial Statements'!M44)</f>
        <v/>
      </c>
      <c r="N95" s="68">
        <f>-('Financial Statements'!O44+'Financial Statements'!O49-'Financial Statements'!N49-'Financial Statements'!N44)</f>
        <v/>
      </c>
      <c r="O95" s="68">
        <f>-('Financial Statements'!P44+'Financial Statements'!P49-'Financial Statements'!O49-'Financial Statements'!O44)</f>
        <v/>
      </c>
      <c r="P95" s="68">
        <f>-('Financial Statements'!Q44+'Financial Statements'!Q49-'Financial Statements'!P49-'Financial Statements'!P44)</f>
        <v/>
      </c>
      <c r="Q95" s="68">
        <f>-('Financial Statements'!R44+'Financial Statements'!R49-'Financial Statements'!Q49-'Financial Statements'!Q44)</f>
        <v/>
      </c>
    </row>
    <row r="96">
      <c r="A96" t="inlineStr">
        <is>
          <t xml:space="preserve"> -Net Issuance of Preferred Stock</t>
        </is>
      </c>
      <c r="B96" s="189">
        <f>-('Financial Statements'!C54-'Financial Statements'!B54)</f>
        <v/>
      </c>
      <c r="C96" s="189">
        <f>-('Financial Statements'!D54-'Financial Statements'!C54)</f>
        <v/>
      </c>
      <c r="D96" s="189">
        <f>-('Financial Statements'!E54-'Financial Statements'!D54)</f>
        <v/>
      </c>
      <c r="E96" s="189">
        <f>-('Financial Statements'!F54-'Financial Statements'!E54)</f>
        <v/>
      </c>
      <c r="F96" s="68">
        <f>-('Financial Statements'!G54-'Financial Statements'!F54)</f>
        <v/>
      </c>
      <c r="G96" s="68">
        <f>-('Financial Statements'!H54-'Financial Statements'!G54)</f>
        <v/>
      </c>
      <c r="H96" s="68">
        <f>-('Financial Statements'!I54-'Financial Statements'!H54)</f>
        <v/>
      </c>
      <c r="I96" s="68">
        <f>-('Financial Statements'!J54-'Financial Statements'!I54)</f>
        <v/>
      </c>
      <c r="J96" s="68">
        <f>-('Financial Statements'!K54-'Financial Statements'!J54)</f>
        <v/>
      </c>
      <c r="K96" s="68">
        <f>-('Financial Statements'!L54-'Financial Statements'!K54)</f>
        <v/>
      </c>
      <c r="L96" s="68">
        <f>-('Financial Statements'!M54-'Financial Statements'!L54)</f>
        <v/>
      </c>
      <c r="M96" s="68">
        <f>-('Financial Statements'!N54-'Financial Statements'!M54)</f>
        <v/>
      </c>
      <c r="N96" s="68">
        <f>-('Financial Statements'!O54-'Financial Statements'!N54)</f>
        <v/>
      </c>
      <c r="O96" s="68">
        <f>-('Financial Statements'!P54-'Financial Statements'!O54)</f>
        <v/>
      </c>
      <c r="P96" s="68">
        <f>-('Financial Statements'!Q54-'Financial Statements'!P54)</f>
        <v/>
      </c>
      <c r="Q96" s="68">
        <f>-('Financial Statements'!R54-'Financial Statements'!Q54)</f>
        <v/>
      </c>
    </row>
    <row r="97" ht="15.95" customHeight="1" s="16">
      <c r="A97" t="inlineStr">
        <is>
          <t xml:space="preserve"> =Free Cash Flow to Investors</t>
        </is>
      </c>
      <c r="B97" s="190">
        <f>SUM(B89:B96)</f>
        <v/>
      </c>
      <c r="C97" s="190">
        <f>SUM(C89:C96)</f>
        <v/>
      </c>
      <c r="D97" s="190">
        <f>SUM(D89:D96)</f>
        <v/>
      </c>
      <c r="E97" s="190">
        <f>SUM(E89:E96)</f>
        <v/>
      </c>
      <c r="F97" s="219">
        <f>SUM(F89:F96)</f>
        <v/>
      </c>
      <c r="G97" s="219">
        <f>SUM(G89:G96)</f>
        <v/>
      </c>
      <c r="H97" s="219">
        <f>SUM(H89:H96)</f>
        <v/>
      </c>
      <c r="I97" s="219">
        <f>SUM(I89:I96)</f>
        <v/>
      </c>
      <c r="J97" s="219">
        <f>SUM(J89:J96)</f>
        <v/>
      </c>
      <c r="K97" s="219">
        <f>SUM(K89:K96)</f>
        <v/>
      </c>
      <c r="L97" s="219">
        <f>SUM(L89:L96)</f>
        <v/>
      </c>
      <c r="M97" s="219">
        <f>SUM(M89:M96)</f>
        <v/>
      </c>
      <c r="N97" s="219">
        <f>SUM(N89:N96)</f>
        <v/>
      </c>
      <c r="O97" s="219">
        <f>SUM(O89:O96)</f>
        <v/>
      </c>
      <c r="P97" s="219">
        <f>SUM(P89:P96)</f>
        <v/>
      </c>
      <c r="Q97" s="219">
        <f>SUM(Q89:Q96)</f>
        <v/>
      </c>
    </row>
    <row r="98" ht="15.95" customHeight="1" s="16">
      <c r="B98" s="189" t="n"/>
      <c r="C98" s="189" t="n"/>
      <c r="D98" s="189" t="n"/>
      <c r="E98" s="189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</row>
    <row r="99">
      <c r="A99" t="inlineStr">
        <is>
          <t>Traditional Computation of FCF:</t>
        </is>
      </c>
      <c r="B99" s="189" t="n"/>
      <c r="C99" s="189" t="n"/>
      <c r="D99" s="189" t="n"/>
      <c r="E99" s="189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</row>
    <row r="100">
      <c r="A100" t="inlineStr">
        <is>
          <t xml:space="preserve">  EBIT</t>
        </is>
      </c>
      <c r="B100" s="189">
        <f>'Financial Statements'!C19</f>
        <v/>
      </c>
      <c r="C100" s="189">
        <f>'Financial Statements'!D19</f>
        <v/>
      </c>
      <c r="D100" s="189">
        <f>'Financial Statements'!E19</f>
        <v/>
      </c>
      <c r="E100" s="189">
        <f>'Financial Statements'!F19</f>
        <v/>
      </c>
      <c r="F100" s="68">
        <f>'Financial Statements'!G19</f>
        <v/>
      </c>
      <c r="G100" s="68">
        <f>'Financial Statements'!H19</f>
        <v/>
      </c>
      <c r="H100" s="68">
        <f>'Financial Statements'!I19</f>
        <v/>
      </c>
      <c r="I100" s="68">
        <f>'Financial Statements'!J19</f>
        <v/>
      </c>
      <c r="J100" s="68">
        <f>'Financial Statements'!K19</f>
        <v/>
      </c>
      <c r="K100" s="68">
        <f>'Financial Statements'!L19</f>
        <v/>
      </c>
      <c r="L100" s="68">
        <f>'Financial Statements'!M19</f>
        <v/>
      </c>
      <c r="M100" s="68">
        <f>'Financial Statements'!N19</f>
        <v/>
      </c>
      <c r="N100" s="68">
        <f>'Financial Statements'!O19</f>
        <v/>
      </c>
      <c r="O100" s="68">
        <f>'Financial Statements'!P19</f>
        <v/>
      </c>
      <c r="P100" s="68">
        <f>'Financial Statements'!Q19</f>
        <v/>
      </c>
      <c r="Q100" s="68">
        <f>'Financial Statements'!R19</f>
        <v/>
      </c>
    </row>
    <row r="101">
      <c r="A101" t="inlineStr">
        <is>
          <t xml:space="preserve"> -Taxes on EBIT</t>
        </is>
      </c>
      <c r="B101" s="189">
        <f>'Financial Statements'!C23+(IF('Financial Statements'!C22=0,0,(-'Financial Statements'!C23)/'Financial Statements'!C22))*'Financial Statements'!C20</f>
        <v/>
      </c>
      <c r="C101" s="189">
        <f>'Financial Statements'!D23+(IF('Financial Statements'!D22=0,0,(-'Financial Statements'!D23)/'Financial Statements'!D22))*'Financial Statements'!D20</f>
        <v/>
      </c>
      <c r="D101" s="189">
        <f>'Financial Statements'!E23+(IF('Financial Statements'!E22=0,0,(-'Financial Statements'!E23)/'Financial Statements'!E22))*'Financial Statements'!E20</f>
        <v/>
      </c>
      <c r="E101" s="189">
        <f>'Financial Statements'!F23+(IF('Financial Statements'!F22=0,0,(-'Financial Statements'!F23)/'Financial Statements'!F22))*'Financial Statements'!F20</f>
        <v/>
      </c>
      <c r="F101" s="68">
        <f>'Financial Statements'!G23+(IF('Financial Statements'!G22=0,0,(-'Financial Statements'!G23)/'Financial Statements'!G22))*'Financial Statements'!G20</f>
        <v/>
      </c>
      <c r="G101" s="68">
        <f>'Financial Statements'!H23+(IF('Financial Statements'!H22=0,0,(-'Financial Statements'!H23)/'Financial Statements'!H22))*'Financial Statements'!H20</f>
        <v/>
      </c>
      <c r="H101" s="68">
        <f>'Financial Statements'!I23+(IF('Financial Statements'!I22=0,0,(-'Financial Statements'!I23)/'Financial Statements'!I22))*'Financial Statements'!I20</f>
        <v/>
      </c>
      <c r="I101" s="68">
        <f>'Financial Statements'!J23+(IF('Financial Statements'!J22=0,0,(-'Financial Statements'!J23)/'Financial Statements'!J22))*'Financial Statements'!J20</f>
        <v/>
      </c>
      <c r="J101" s="68">
        <f>'Financial Statements'!K23+(IF('Financial Statements'!K22=0,0,(-'Financial Statements'!K23)/'Financial Statements'!K22))*'Financial Statements'!K20</f>
        <v/>
      </c>
      <c r="K101" s="68">
        <f>'Financial Statements'!L23+(IF('Financial Statements'!L22=0,0,(-'Financial Statements'!L23)/'Financial Statements'!L22))*'Financial Statements'!L20</f>
        <v/>
      </c>
      <c r="L101" s="68">
        <f>'Financial Statements'!M23+(IF('Financial Statements'!M22=0,0,(-'Financial Statements'!M23)/'Financial Statements'!M22))*'Financial Statements'!M20</f>
        <v/>
      </c>
      <c r="M101" s="68">
        <f>'Financial Statements'!N23+(IF('Financial Statements'!N22=0,0,(-'Financial Statements'!N23)/'Financial Statements'!N22))*'Financial Statements'!N20</f>
        <v/>
      </c>
      <c r="N101" s="68">
        <f>'Financial Statements'!O23+(IF('Financial Statements'!O22=0,0,(-'Financial Statements'!O23)/'Financial Statements'!O22))*'Financial Statements'!O20</f>
        <v/>
      </c>
      <c r="O101" s="68">
        <f>'Financial Statements'!P23+(IF('Financial Statements'!P22=0,0,(-'Financial Statements'!P23)/'Financial Statements'!P22))*'Financial Statements'!P20</f>
        <v/>
      </c>
      <c r="P101" s="68">
        <f>'Financial Statements'!Q23+(IF('Financial Statements'!Q22=0,0,(-'Financial Statements'!Q23)/'Financial Statements'!Q22))*'Financial Statements'!Q20</f>
        <v/>
      </c>
      <c r="Q101" s="68">
        <f>'Financial Statements'!R23+(IF('Financial Statements'!R22=0,0,(-'Financial Statements'!R23)/'Financial Statements'!R22))*'Financial Statements'!R20</f>
        <v/>
      </c>
    </row>
    <row r="102">
      <c r="A102" t="inlineStr">
        <is>
          <t xml:space="preserve"> +Increase in Deferred Taxes</t>
        </is>
      </c>
      <c r="B102" s="189">
        <f>'Financial Statements'!C51-'Financial Statements'!B51</f>
        <v/>
      </c>
      <c r="C102" s="189">
        <f>'Financial Statements'!D51-'Financial Statements'!C51</f>
        <v/>
      </c>
      <c r="D102" s="189">
        <f>'Financial Statements'!E51-'Financial Statements'!D51</f>
        <v/>
      </c>
      <c r="E102" s="189">
        <f>'Financial Statements'!F51-'Financial Statements'!E51</f>
        <v/>
      </c>
      <c r="F102" s="68">
        <f>'Financial Statements'!G51-'Financial Statements'!F51</f>
        <v/>
      </c>
      <c r="G102" s="68">
        <f>'Financial Statements'!H51-'Financial Statements'!G51</f>
        <v/>
      </c>
      <c r="H102" s="68">
        <f>'Financial Statements'!I51-'Financial Statements'!H51</f>
        <v/>
      </c>
      <c r="I102" s="68">
        <f>'Financial Statements'!J51-'Financial Statements'!I51</f>
        <v/>
      </c>
      <c r="J102" s="68">
        <f>'Financial Statements'!K51-'Financial Statements'!J51</f>
        <v/>
      </c>
      <c r="K102" s="68">
        <f>'Financial Statements'!L51-'Financial Statements'!K51</f>
        <v/>
      </c>
      <c r="L102" s="68">
        <f>'Financial Statements'!M51-'Financial Statements'!L51</f>
        <v/>
      </c>
      <c r="M102" s="68">
        <f>'Financial Statements'!N51-'Financial Statements'!M51</f>
        <v/>
      </c>
      <c r="N102" s="68">
        <f>'Financial Statements'!O51-'Financial Statements'!N51</f>
        <v/>
      </c>
      <c r="O102" s="68">
        <f>'Financial Statements'!P51-'Financial Statements'!O51</f>
        <v/>
      </c>
      <c r="P102" s="68">
        <f>'Financial Statements'!Q51-'Financial Statements'!P51</f>
        <v/>
      </c>
      <c r="Q102" s="68">
        <f>'Financial Statements'!R51-'Financial Statements'!Q51</f>
        <v/>
      </c>
    </row>
    <row r="103">
      <c r="A103" t="inlineStr">
        <is>
          <t xml:space="preserve"> = NOPLAT</t>
        </is>
      </c>
      <c r="B103" s="189">
        <f>SUM(B100:B102)</f>
        <v/>
      </c>
      <c r="C103" s="189">
        <f>SUM(C100:C102)</f>
        <v/>
      </c>
      <c r="D103" s="189">
        <f>SUM(D100:D102)</f>
        <v/>
      </c>
      <c r="E103" s="189">
        <f>SUM(E100:E102)</f>
        <v/>
      </c>
      <c r="F103" s="68">
        <f>SUM(F100:F102)</f>
        <v/>
      </c>
      <c r="G103" s="68">
        <f>SUM(G100:G102)</f>
        <v/>
      </c>
      <c r="H103" s="68">
        <f>SUM(H100:H102)</f>
        <v/>
      </c>
      <c r="I103" s="68">
        <f>SUM(I100:I102)</f>
        <v/>
      </c>
      <c r="J103" s="68">
        <f>SUM(J100:J102)</f>
        <v/>
      </c>
      <c r="K103" s="68">
        <f>SUM(K100:K102)</f>
        <v/>
      </c>
      <c r="L103" s="68">
        <f>SUM(L100:L102)</f>
        <v/>
      </c>
      <c r="M103" s="68">
        <f>SUM(M100:M102)</f>
        <v/>
      </c>
      <c r="N103" s="68">
        <f>SUM(N100:N102)</f>
        <v/>
      </c>
      <c r="O103" s="68">
        <f>SUM(O100:O102)</f>
        <v/>
      </c>
      <c r="P103" s="68">
        <f>SUM(P100:P102)</f>
        <v/>
      </c>
      <c r="Q103" s="68">
        <f>SUM(Q100:Q102)</f>
        <v/>
      </c>
    </row>
    <row r="104">
      <c r="A104" t="inlineStr">
        <is>
          <t xml:space="preserve"> +Depreciation &amp; Amortization</t>
        </is>
      </c>
      <c r="B104" s="189">
        <f>-'Financial Statements'!C18</f>
        <v/>
      </c>
      <c r="C104" s="189">
        <f>-'Financial Statements'!D18</f>
        <v/>
      </c>
      <c r="D104" s="189">
        <f>-'Financial Statements'!E18</f>
        <v/>
      </c>
      <c r="E104" s="189">
        <f>-'Financial Statements'!F18</f>
        <v/>
      </c>
      <c r="F104" s="68">
        <f>-'Financial Statements'!G18</f>
        <v/>
      </c>
      <c r="G104" s="68">
        <f>-'Financial Statements'!H18</f>
        <v/>
      </c>
      <c r="H104" s="68">
        <f>-'Financial Statements'!I18</f>
        <v/>
      </c>
      <c r="I104" s="68">
        <f>-'Financial Statements'!J18</f>
        <v/>
      </c>
      <c r="J104" s="68">
        <f>-'Financial Statements'!K18</f>
        <v/>
      </c>
      <c r="K104" s="68">
        <f>-'Financial Statements'!L18</f>
        <v/>
      </c>
      <c r="L104" s="68">
        <f>-'Financial Statements'!M18</f>
        <v/>
      </c>
      <c r="M104" s="68">
        <f>-'Financial Statements'!N18</f>
        <v/>
      </c>
      <c r="N104" s="68">
        <f>-'Financial Statements'!O18</f>
        <v/>
      </c>
      <c r="O104" s="68">
        <f>-'Financial Statements'!P18</f>
        <v/>
      </c>
      <c r="P104" s="68">
        <f>-'Financial Statements'!Q18</f>
        <v/>
      </c>
      <c r="Q104" s="68">
        <f>-'Financial Statements'!R18</f>
        <v/>
      </c>
    </row>
    <row r="105">
      <c r="A105" t="inlineStr">
        <is>
          <t xml:space="preserve"> +Non-Operating Income (Loss)</t>
        </is>
      </c>
      <c r="B105" s="189">
        <f>'Financial Statements'!C21</f>
        <v/>
      </c>
      <c r="C105" s="189">
        <f>'Financial Statements'!D21</f>
        <v/>
      </c>
      <c r="D105" s="189">
        <f>'Financial Statements'!E21</f>
        <v/>
      </c>
      <c r="E105" s="189">
        <f>'Financial Statements'!F21</f>
        <v/>
      </c>
      <c r="F105" s="68">
        <f>'Financial Statements'!G21</f>
        <v/>
      </c>
      <c r="G105" s="68">
        <f>'Financial Statements'!H21</f>
        <v/>
      </c>
      <c r="H105" s="68">
        <f>'Financial Statements'!I21</f>
        <v/>
      </c>
      <c r="I105" s="68">
        <f>'Financial Statements'!J21</f>
        <v/>
      </c>
      <c r="J105" s="68">
        <f>'Financial Statements'!K21</f>
        <v/>
      </c>
      <c r="K105" s="68">
        <f>'Financial Statements'!L21</f>
        <v/>
      </c>
      <c r="L105" s="68">
        <f>'Financial Statements'!M21</f>
        <v/>
      </c>
      <c r="M105" s="68">
        <f>'Financial Statements'!N21</f>
        <v/>
      </c>
      <c r="N105" s="68">
        <f>'Financial Statements'!O21</f>
        <v/>
      </c>
      <c r="O105" s="68">
        <f>'Financial Statements'!P21</f>
        <v/>
      </c>
      <c r="P105" s="68">
        <f>'Financial Statements'!Q21</f>
        <v/>
      </c>
      <c r="Q105" s="68">
        <f>'Financial Statements'!R21</f>
        <v/>
      </c>
    </row>
    <row r="106">
      <c r="A106" t="inlineStr">
        <is>
          <t xml:space="preserve"> +Other Income (Loss)</t>
        </is>
      </c>
      <c r="B106" s="189">
        <f>'Financial Statements'!C24</f>
        <v/>
      </c>
      <c r="C106" s="189">
        <f>'Financial Statements'!D24</f>
        <v/>
      </c>
      <c r="D106" s="189">
        <f>'Financial Statements'!E24</f>
        <v/>
      </c>
      <c r="E106" s="189">
        <f>'Financial Statements'!F24</f>
        <v/>
      </c>
      <c r="F106" s="68">
        <f>'Financial Statements'!G24</f>
        <v/>
      </c>
      <c r="G106" s="68">
        <f>'Financial Statements'!H24</f>
        <v/>
      </c>
      <c r="H106" s="68">
        <f>'Financial Statements'!I24</f>
        <v/>
      </c>
      <c r="I106" s="68">
        <f>'Financial Statements'!J24</f>
        <v/>
      </c>
      <c r="J106" s="68">
        <f>'Financial Statements'!K24</f>
        <v/>
      </c>
      <c r="K106" s="68">
        <f>'Financial Statements'!L24</f>
        <v/>
      </c>
      <c r="L106" s="68">
        <f>'Financial Statements'!M24</f>
        <v/>
      </c>
      <c r="M106" s="68">
        <f>'Financial Statements'!N24</f>
        <v/>
      </c>
      <c r="N106" s="68">
        <f>'Financial Statements'!O24</f>
        <v/>
      </c>
      <c r="O106" s="68">
        <f>'Financial Statements'!P24</f>
        <v/>
      </c>
      <c r="P106" s="68">
        <f>'Financial Statements'!Q24</f>
        <v/>
      </c>
      <c r="Q106" s="68">
        <f>'Financial Statements'!R24</f>
        <v/>
      </c>
    </row>
    <row r="107">
      <c r="A107" t="inlineStr">
        <is>
          <t xml:space="preserve"> +Ext. Items &amp; Disc. Ops.</t>
        </is>
      </c>
      <c r="B107" s="189">
        <f>'Financial Statements'!C26</f>
        <v/>
      </c>
      <c r="C107" s="189">
        <f>'Financial Statements'!D26</f>
        <v/>
      </c>
      <c r="D107" s="189">
        <f>'Financial Statements'!E26</f>
        <v/>
      </c>
      <c r="E107" s="189">
        <f>'Financial Statements'!F26</f>
        <v/>
      </c>
      <c r="F107" s="68">
        <f>'Financial Statements'!G26</f>
        <v/>
      </c>
      <c r="G107" s="68">
        <f>'Financial Statements'!H26</f>
        <v/>
      </c>
      <c r="H107" s="68">
        <f>'Financial Statements'!I26</f>
        <v/>
      </c>
      <c r="I107" s="68">
        <f>'Financial Statements'!J26</f>
        <v/>
      </c>
      <c r="J107" s="68">
        <f>'Financial Statements'!K26</f>
        <v/>
      </c>
      <c r="K107" s="68">
        <f>'Financial Statements'!L26</f>
        <v/>
      </c>
      <c r="L107" s="68">
        <f>'Financial Statements'!M26</f>
        <v/>
      </c>
      <c r="M107" s="68">
        <f>'Financial Statements'!N26</f>
        <v/>
      </c>
      <c r="N107" s="68">
        <f>'Financial Statements'!O26</f>
        <v/>
      </c>
      <c r="O107" s="68">
        <f>'Financial Statements'!P26</f>
        <v/>
      </c>
      <c r="P107" s="68">
        <f>'Financial Statements'!Q26</f>
        <v/>
      </c>
      <c r="Q107" s="68">
        <f>'Financial Statements'!R26</f>
        <v/>
      </c>
    </row>
    <row r="108">
      <c r="A108" t="inlineStr">
        <is>
          <t xml:space="preserve"> =Gross Cash Flow</t>
        </is>
      </c>
      <c r="B108" s="189">
        <f>SUM(B103:B107)</f>
        <v/>
      </c>
      <c r="C108" s="189">
        <f>SUM(C103:C107)</f>
        <v/>
      </c>
      <c r="D108" s="189">
        <f>SUM(D103:D107)</f>
        <v/>
      </c>
      <c r="E108" s="189">
        <f>SUM(E103:E107)</f>
        <v/>
      </c>
      <c r="F108" s="68">
        <f>SUM(F103:F107)</f>
        <v/>
      </c>
      <c r="G108" s="68">
        <f>SUM(G103:G107)</f>
        <v/>
      </c>
      <c r="H108" s="68">
        <f>SUM(H103:H107)</f>
        <v/>
      </c>
      <c r="I108" s="68">
        <f>SUM(I103:I107)</f>
        <v/>
      </c>
      <c r="J108" s="68">
        <f>SUM(J103:J107)</f>
        <v/>
      </c>
      <c r="K108" s="68">
        <f>SUM(K103:K107)</f>
        <v/>
      </c>
      <c r="L108" s="68">
        <f>SUM(L103:L107)</f>
        <v/>
      </c>
      <c r="M108" s="68">
        <f>SUM(M103:M107)</f>
        <v/>
      </c>
      <c r="N108" s="68">
        <f>SUM(N103:N107)</f>
        <v/>
      </c>
      <c r="O108" s="68">
        <f>SUM(O103:O107)</f>
        <v/>
      </c>
      <c r="P108" s="68">
        <f>SUM(P103:P107)</f>
        <v/>
      </c>
      <c r="Q108" s="68">
        <f>SUM(Q103:Q107)</f>
        <v/>
      </c>
    </row>
    <row r="109">
      <c r="A109" t="inlineStr">
        <is>
          <t xml:space="preserve"> -Increase in Working Capital</t>
        </is>
      </c>
      <c r="B109" s="189">
        <f>-('Financial Statements'!C37-'Financial Statements'!B37)+('Financial Statements'!C48-'Financial Statements'!C44-'Financial Statements'!B48+'Financial Statements'!B44)</f>
        <v/>
      </c>
      <c r="C109" s="189">
        <f>-('Financial Statements'!D37-'Financial Statements'!C37)+('Financial Statements'!D48-'Financial Statements'!D44-'Financial Statements'!C48+'Financial Statements'!C44)</f>
        <v/>
      </c>
      <c r="D109" s="189">
        <f>-('Financial Statements'!E37-'Financial Statements'!D37)+('Financial Statements'!E48-'Financial Statements'!E44-'Financial Statements'!D48+'Financial Statements'!D44)</f>
        <v/>
      </c>
      <c r="E109" s="189">
        <f>-('Financial Statements'!F37-'Financial Statements'!E37)+('Financial Statements'!F48-'Financial Statements'!F44-'Financial Statements'!E48+'Financial Statements'!E44)</f>
        <v/>
      </c>
      <c r="F109" s="68">
        <f>-('Financial Statements'!G37-'Financial Statements'!F37)+('Financial Statements'!G48-'Financial Statements'!G44-'Financial Statements'!F48+'Financial Statements'!F44)</f>
        <v/>
      </c>
      <c r="G109" s="68">
        <f>-('Financial Statements'!H37-'Financial Statements'!G37)+('Financial Statements'!H48-'Financial Statements'!H44-'Financial Statements'!G48+'Financial Statements'!G44)</f>
        <v/>
      </c>
      <c r="H109" s="68">
        <f>-('Financial Statements'!I37-'Financial Statements'!H37)+('Financial Statements'!I48-'Financial Statements'!I44-'Financial Statements'!H48+'Financial Statements'!H44)</f>
        <v/>
      </c>
      <c r="I109" s="68">
        <f>-('Financial Statements'!J37-'Financial Statements'!I37)+('Financial Statements'!J48-'Financial Statements'!J44-'Financial Statements'!I48+'Financial Statements'!I44)</f>
        <v/>
      </c>
      <c r="J109" s="68">
        <f>-('Financial Statements'!K37-'Financial Statements'!J37)+('Financial Statements'!K48-'Financial Statements'!K44-'Financial Statements'!J48+'Financial Statements'!J44)</f>
        <v/>
      </c>
      <c r="K109" s="68">
        <f>-('Financial Statements'!L37-'Financial Statements'!K37)+('Financial Statements'!L48-'Financial Statements'!L44-'Financial Statements'!K48+'Financial Statements'!K44)</f>
        <v/>
      </c>
      <c r="L109" s="68">
        <f>-('Financial Statements'!M37-'Financial Statements'!L37)+('Financial Statements'!M48-'Financial Statements'!M44-'Financial Statements'!L48+'Financial Statements'!L44)</f>
        <v/>
      </c>
      <c r="M109" s="68">
        <f>-('Financial Statements'!N37-'Financial Statements'!M37)+('Financial Statements'!N48-'Financial Statements'!N44-'Financial Statements'!M48+'Financial Statements'!M44)</f>
        <v/>
      </c>
      <c r="N109" s="68">
        <f>-('Financial Statements'!O37-'Financial Statements'!N37)+('Financial Statements'!O48-'Financial Statements'!O44-'Financial Statements'!N48+'Financial Statements'!N44)</f>
        <v/>
      </c>
      <c r="O109" s="68">
        <f>-('Financial Statements'!P37-'Financial Statements'!O37)+('Financial Statements'!P48-'Financial Statements'!P44-'Financial Statements'!O48+'Financial Statements'!O44)</f>
        <v/>
      </c>
      <c r="P109" s="68">
        <f>-('Financial Statements'!Q37-'Financial Statements'!P37)+('Financial Statements'!Q48-'Financial Statements'!Q44-'Financial Statements'!P48+'Financial Statements'!P44)</f>
        <v/>
      </c>
      <c r="Q109" s="68">
        <f>-('Financial Statements'!R37-'Financial Statements'!Q37)+('Financial Statements'!R48-'Financial Statements'!R44-'Financial Statements'!Q48+'Financial Statements'!Q44)</f>
        <v/>
      </c>
    </row>
    <row r="110">
      <c r="A110" t="inlineStr">
        <is>
          <t xml:space="preserve"> -Capital Expenditures</t>
        </is>
      </c>
      <c r="B110" s="189">
        <f>-('Financial Statements'!C38-'Financial Statements'!B38-'Financial Statements'!C18)</f>
        <v/>
      </c>
      <c r="C110" s="189">
        <f>-('Financial Statements'!D38-'Financial Statements'!C38-'Financial Statements'!D18)</f>
        <v/>
      </c>
      <c r="D110" s="189">
        <f>-('Financial Statements'!E38-'Financial Statements'!D38-'Financial Statements'!E18)</f>
        <v/>
      </c>
      <c r="E110" s="189">
        <f>-('Financial Statements'!F38-'Financial Statements'!E38-'Financial Statements'!F18)</f>
        <v/>
      </c>
      <c r="F110" s="68">
        <f>-('Financial Statements'!G38-'Financial Statements'!F38-'Financial Statements'!G18)</f>
        <v/>
      </c>
      <c r="G110" s="68">
        <f>-('Financial Statements'!H38-'Financial Statements'!G38-'Financial Statements'!H18)</f>
        <v/>
      </c>
      <c r="H110" s="68">
        <f>-('Financial Statements'!I38-'Financial Statements'!H38-'Financial Statements'!I18)</f>
        <v/>
      </c>
      <c r="I110" s="68">
        <f>-('Financial Statements'!J38-'Financial Statements'!I38-'Financial Statements'!J18)</f>
        <v/>
      </c>
      <c r="J110" s="68">
        <f>-('Financial Statements'!K38-'Financial Statements'!J38-'Financial Statements'!K18)</f>
        <v/>
      </c>
      <c r="K110" s="68">
        <f>-('Financial Statements'!L38-'Financial Statements'!K38-'Financial Statements'!L18)</f>
        <v/>
      </c>
      <c r="L110" s="68">
        <f>-('Financial Statements'!M38-'Financial Statements'!L38-'Financial Statements'!M18)</f>
        <v/>
      </c>
      <c r="M110" s="68">
        <f>-('Financial Statements'!N38-'Financial Statements'!M38-'Financial Statements'!N18)</f>
        <v/>
      </c>
      <c r="N110" s="68">
        <f>-('Financial Statements'!O38-'Financial Statements'!N38-'Financial Statements'!O18)</f>
        <v/>
      </c>
      <c r="O110" s="68">
        <f>-('Financial Statements'!P38-'Financial Statements'!O38-'Financial Statements'!P18)</f>
        <v/>
      </c>
      <c r="P110" s="68">
        <f>-('Financial Statements'!Q38-'Financial Statements'!P38-'Financial Statements'!Q18)</f>
        <v/>
      </c>
      <c r="Q110" s="68">
        <f>-('Financial Statements'!R38-'Financial Statements'!Q38-'Financial Statements'!R18)</f>
        <v/>
      </c>
    </row>
    <row r="111">
      <c r="A111" t="inlineStr">
        <is>
          <t xml:space="preserve"> -Increase in Investments</t>
        </is>
      </c>
      <c r="B111" s="189">
        <f>-('Financial Statements'!C39-'Financial Statements'!B39)</f>
        <v/>
      </c>
      <c r="C111" s="189">
        <f>-('Financial Statements'!D39-'Financial Statements'!C39)</f>
        <v/>
      </c>
      <c r="D111" s="189">
        <f>-('Financial Statements'!E39-'Financial Statements'!D39)</f>
        <v/>
      </c>
      <c r="E111" s="189">
        <f>-('Financial Statements'!F39-'Financial Statements'!E39)</f>
        <v/>
      </c>
      <c r="F111" s="68">
        <f>-('Financial Statements'!G39-'Financial Statements'!F39)</f>
        <v/>
      </c>
      <c r="G111" s="68">
        <f>-('Financial Statements'!H39-'Financial Statements'!G39)</f>
        <v/>
      </c>
      <c r="H111" s="68">
        <f>-('Financial Statements'!I39-'Financial Statements'!H39)</f>
        <v/>
      </c>
      <c r="I111" s="68">
        <f>-('Financial Statements'!J39-'Financial Statements'!I39)</f>
        <v/>
      </c>
      <c r="J111" s="68">
        <f>-('Financial Statements'!K39-'Financial Statements'!J39)</f>
        <v/>
      </c>
      <c r="K111" s="68">
        <f>-('Financial Statements'!L39-'Financial Statements'!K39)</f>
        <v/>
      </c>
      <c r="L111" s="68">
        <f>-('Financial Statements'!M39-'Financial Statements'!L39)</f>
        <v/>
      </c>
      <c r="M111" s="68">
        <f>-('Financial Statements'!N39-'Financial Statements'!M39)</f>
        <v/>
      </c>
      <c r="N111" s="68">
        <f>-('Financial Statements'!O39-'Financial Statements'!N39)</f>
        <v/>
      </c>
      <c r="O111" s="68">
        <f>-('Financial Statements'!P39-'Financial Statements'!O39)</f>
        <v/>
      </c>
      <c r="P111" s="68">
        <f>-('Financial Statements'!Q39-'Financial Statements'!P39)</f>
        <v/>
      </c>
      <c r="Q111" s="68">
        <f>-('Financial Statements'!R39-'Financial Statements'!Q39)</f>
        <v/>
      </c>
    </row>
    <row r="112">
      <c r="A112" t="inlineStr">
        <is>
          <t xml:space="preserve"> -Purchases of Intangibles</t>
        </is>
      </c>
      <c r="B112" s="189">
        <f>-('Financial Statements'!C40-'Financial Statements'!B40)</f>
        <v/>
      </c>
      <c r="C112" s="189">
        <f>-('Financial Statements'!D40-'Financial Statements'!C40)</f>
        <v/>
      </c>
      <c r="D112" s="189">
        <f>-('Financial Statements'!E40-'Financial Statements'!D40)</f>
        <v/>
      </c>
      <c r="E112" s="189">
        <f>-('Financial Statements'!F40-'Financial Statements'!E40)</f>
        <v/>
      </c>
      <c r="F112" s="68">
        <f>-('Financial Statements'!G40-'Financial Statements'!F40)</f>
        <v/>
      </c>
      <c r="G112" s="68">
        <f>-('Financial Statements'!H40-'Financial Statements'!G40)</f>
        <v/>
      </c>
      <c r="H112" s="68">
        <f>-('Financial Statements'!I40-'Financial Statements'!H40)</f>
        <v/>
      </c>
      <c r="I112" s="68">
        <f>-('Financial Statements'!J40-'Financial Statements'!I40)</f>
        <v/>
      </c>
      <c r="J112" s="68">
        <f>-('Financial Statements'!K40-'Financial Statements'!J40)</f>
        <v/>
      </c>
      <c r="K112" s="68">
        <f>-('Financial Statements'!L40-'Financial Statements'!K40)</f>
        <v/>
      </c>
      <c r="L112" s="68">
        <f>-('Financial Statements'!M40-'Financial Statements'!L40)</f>
        <v/>
      </c>
      <c r="M112" s="68">
        <f>-('Financial Statements'!N40-'Financial Statements'!M40)</f>
        <v/>
      </c>
      <c r="N112" s="68">
        <f>-('Financial Statements'!O40-'Financial Statements'!N40)</f>
        <v/>
      </c>
      <c r="O112" s="68">
        <f>-('Financial Statements'!P40-'Financial Statements'!O40)</f>
        <v/>
      </c>
      <c r="P112" s="68">
        <f>-('Financial Statements'!Q40-'Financial Statements'!P40)</f>
        <v/>
      </c>
      <c r="Q112" s="68">
        <f>-('Financial Statements'!R40-'Financial Statements'!Q40)</f>
        <v/>
      </c>
    </row>
    <row r="113">
      <c r="A113" t="inlineStr">
        <is>
          <t xml:space="preserve"> -Increase in Other Assets</t>
        </is>
      </c>
      <c r="B113" s="189">
        <f>-('Financial Statements'!C41-'Financial Statements'!B41)</f>
        <v/>
      </c>
      <c r="C113" s="189">
        <f>-('Financial Statements'!D41-'Financial Statements'!C41)</f>
        <v/>
      </c>
      <c r="D113" s="189">
        <f>-('Financial Statements'!E41-'Financial Statements'!D41)</f>
        <v/>
      </c>
      <c r="E113" s="189">
        <f>-('Financial Statements'!F41-'Financial Statements'!E41)</f>
        <v/>
      </c>
      <c r="F113" s="68">
        <f>-('Financial Statements'!G41-'Financial Statements'!F41)</f>
        <v/>
      </c>
      <c r="G113" s="68">
        <f>-('Financial Statements'!H41-'Financial Statements'!G41)</f>
        <v/>
      </c>
      <c r="H113" s="68">
        <f>-('Financial Statements'!I41-'Financial Statements'!H41)</f>
        <v/>
      </c>
      <c r="I113" s="68">
        <f>-('Financial Statements'!J41-'Financial Statements'!I41)</f>
        <v/>
      </c>
      <c r="J113" s="68">
        <f>-('Financial Statements'!K41-'Financial Statements'!J41)</f>
        <v/>
      </c>
      <c r="K113" s="68">
        <f>-('Financial Statements'!L41-'Financial Statements'!K41)</f>
        <v/>
      </c>
      <c r="L113" s="68">
        <f>-('Financial Statements'!M41-'Financial Statements'!L41)</f>
        <v/>
      </c>
      <c r="M113" s="68">
        <f>-('Financial Statements'!N41-'Financial Statements'!M41)</f>
        <v/>
      </c>
      <c r="N113" s="68">
        <f>-('Financial Statements'!O41-'Financial Statements'!N41)</f>
        <v/>
      </c>
      <c r="O113" s="68">
        <f>-('Financial Statements'!P41-'Financial Statements'!O41)</f>
        <v/>
      </c>
      <c r="P113" s="68">
        <f>-('Financial Statements'!Q41-'Financial Statements'!P41)</f>
        <v/>
      </c>
      <c r="Q113" s="68">
        <f>-('Financial Statements'!R41-'Financial Statements'!Q41)</f>
        <v/>
      </c>
    </row>
    <row r="114">
      <c r="A114" t="inlineStr">
        <is>
          <t xml:space="preserve"> +Increase in Other Liabilities</t>
        </is>
      </c>
      <c r="B114" s="189">
        <f>('Financial Statements'!C50-'Financial Statements'!B50)</f>
        <v/>
      </c>
      <c r="C114" s="189">
        <f>('Financial Statements'!D50-'Financial Statements'!C50)</f>
        <v/>
      </c>
      <c r="D114" s="189">
        <f>('Financial Statements'!E50-'Financial Statements'!D50)</f>
        <v/>
      </c>
      <c r="E114" s="189">
        <f>('Financial Statements'!F50-'Financial Statements'!E50)</f>
        <v/>
      </c>
      <c r="F114" s="68">
        <f>('Financial Statements'!G50-'Financial Statements'!F50)</f>
        <v/>
      </c>
      <c r="G114" s="68">
        <f>('Financial Statements'!H50-'Financial Statements'!G50)</f>
        <v/>
      </c>
      <c r="H114" s="68">
        <f>('Financial Statements'!I50-'Financial Statements'!H50)</f>
        <v/>
      </c>
      <c r="I114" s="68">
        <f>('Financial Statements'!J50-'Financial Statements'!I50)</f>
        <v/>
      </c>
      <c r="J114" s="68">
        <f>('Financial Statements'!K50-'Financial Statements'!J50)</f>
        <v/>
      </c>
      <c r="K114" s="68">
        <f>('Financial Statements'!L50-'Financial Statements'!K50)</f>
        <v/>
      </c>
      <c r="L114" s="68">
        <f>('Financial Statements'!M50-'Financial Statements'!L50)</f>
        <v/>
      </c>
      <c r="M114" s="68">
        <f>('Financial Statements'!N50-'Financial Statements'!M50)</f>
        <v/>
      </c>
      <c r="N114" s="68">
        <f>('Financial Statements'!O50-'Financial Statements'!N50)</f>
        <v/>
      </c>
      <c r="O114" s="68">
        <f>('Financial Statements'!P50-'Financial Statements'!O50)</f>
        <v/>
      </c>
      <c r="P114" s="68">
        <f>('Financial Statements'!Q50-'Financial Statements'!P50)</f>
        <v/>
      </c>
      <c r="Q114" s="68">
        <f>('Financial Statements'!R50-'Financial Statements'!Q50)</f>
        <v/>
      </c>
    </row>
    <row r="115">
      <c r="A115" t="inlineStr">
        <is>
          <t xml:space="preserve"> +/-Clean Surplus Plug (Ignore)</t>
        </is>
      </c>
      <c r="B115" s="189">
        <f>'Financial Statements'!C65</f>
        <v/>
      </c>
      <c r="C115" s="189">
        <f>'Financial Statements'!D65</f>
        <v/>
      </c>
      <c r="D115" s="189">
        <f>'Financial Statements'!E65</f>
        <v/>
      </c>
      <c r="E115" s="189">
        <f>'Financial Statements'!F65</f>
        <v/>
      </c>
      <c r="F115" s="68">
        <f>'Financial Statements'!G65</f>
        <v/>
      </c>
      <c r="G115" s="68">
        <f>'Financial Statements'!H65</f>
        <v/>
      </c>
      <c r="H115" s="68">
        <f>'Financial Statements'!I65</f>
        <v/>
      </c>
      <c r="I115" s="68">
        <f>'Financial Statements'!J65</f>
        <v/>
      </c>
      <c r="J115" s="68">
        <f>'Financial Statements'!K65</f>
        <v/>
      </c>
      <c r="K115" s="68">
        <f>'Financial Statements'!L65</f>
        <v/>
      </c>
      <c r="L115" s="68">
        <f>'Financial Statements'!M65</f>
        <v/>
      </c>
      <c r="M115" s="68">
        <f>'Financial Statements'!N65</f>
        <v/>
      </c>
      <c r="N115" s="68">
        <f>'Financial Statements'!O65</f>
        <v/>
      </c>
      <c r="O115" s="68">
        <f>'Financial Statements'!P65</f>
        <v/>
      </c>
      <c r="P115" s="68">
        <f>'Financial Statements'!Q65</f>
        <v/>
      </c>
      <c r="Q115" s="68">
        <f>'Financial Statements'!R65</f>
        <v/>
      </c>
    </row>
    <row r="116" ht="15.95" customHeight="1" s="16">
      <c r="A116" t="inlineStr">
        <is>
          <t xml:space="preserve"> =Free Cash Flow to Investors</t>
        </is>
      </c>
      <c r="B116" s="190">
        <f>SUM(B108:B115)</f>
        <v/>
      </c>
      <c r="C116" s="190">
        <f>SUM(C108:C115)</f>
        <v/>
      </c>
      <c r="D116" s="190">
        <f>SUM(D108:D115)</f>
        <v/>
      </c>
      <c r="E116" s="190">
        <f>SUM(E108:E115)</f>
        <v/>
      </c>
      <c r="F116" s="219">
        <f>SUM(F108:F115)</f>
        <v/>
      </c>
      <c r="G116" s="219">
        <f>SUM(G108:G115)</f>
        <v/>
      </c>
      <c r="H116" s="219">
        <f>SUM(H108:H115)</f>
        <v/>
      </c>
      <c r="I116" s="219">
        <f>SUM(I108:I115)</f>
        <v/>
      </c>
      <c r="J116" s="219">
        <f>SUM(J108:J115)</f>
        <v/>
      </c>
      <c r="K116" s="219">
        <f>SUM(K108:K115)</f>
        <v/>
      </c>
      <c r="L116" s="219">
        <f>SUM(L108:L115)</f>
        <v/>
      </c>
      <c r="M116" s="219">
        <f>SUM(M108:M115)</f>
        <v/>
      </c>
      <c r="N116" s="219">
        <f>SUM(N108:N115)</f>
        <v/>
      </c>
      <c r="O116" s="219">
        <f>SUM(O108:O115)</f>
        <v/>
      </c>
      <c r="P116" s="219">
        <f>SUM(P108:P115)</f>
        <v/>
      </c>
      <c r="Q116" s="219">
        <f>SUM(Q108:Q115)</f>
        <v/>
      </c>
    </row>
    <row r="117" ht="15.95" customHeight="1" s="16"/>
    <row r="118">
      <c r="A118" s="100" t="inlineStr">
        <is>
          <t>Analysis of Earnings Quality</t>
        </is>
      </c>
      <c r="B118" s="258" t="n"/>
      <c r="C118" s="258" t="n"/>
      <c r="D118" s="258" t="n"/>
      <c r="E118" s="258" t="n"/>
      <c r="F118" s="258" t="n"/>
      <c r="G118" s="259" t="n"/>
      <c r="H118" s="259" t="n"/>
      <c r="I118" s="259" t="n"/>
      <c r="J118" s="259" t="n"/>
      <c r="K118" s="259" t="n"/>
      <c r="L118" s="259" t="n"/>
      <c r="M118" s="259" t="n"/>
      <c r="N118" s="259" t="n"/>
      <c r="O118" s="259" t="n"/>
      <c r="P118" s="259" t="n"/>
      <c r="Q118" s="259" t="n"/>
      <c r="R118" s="259" t="n"/>
    </row>
    <row r="119">
      <c r="A119" s="194" t="inlineStr">
        <is>
          <t>(Red Shading = Quality Flag)</t>
        </is>
      </c>
      <c r="B119" s="258" t="n"/>
      <c r="C119" s="258" t="n"/>
      <c r="D119" s="258" t="n"/>
      <c r="E119" s="258" t="n"/>
      <c r="F119" s="258" t="n"/>
      <c r="G119" s="259" t="n"/>
      <c r="H119" s="259" t="n"/>
      <c r="I119" s="259" t="n"/>
      <c r="J119" s="259" t="n"/>
      <c r="K119" s="259" t="n"/>
      <c r="L119" s="259" t="n"/>
      <c r="M119" s="259" t="n"/>
      <c r="N119" s="259" t="n"/>
      <c r="O119" s="259" t="n"/>
      <c r="P119" s="259" t="n"/>
      <c r="Q119" s="259" t="n"/>
      <c r="R119" s="259" t="n"/>
    </row>
    <row r="120">
      <c r="A120" t="inlineStr">
        <is>
          <t xml:space="preserve">    Current Op. Accruals/NOA</t>
        </is>
      </c>
      <c r="B120" s="258">
        <f>(('Financial Statements'!C37-'Financial Statements'!C33-'Financial Statements'!C48+'Financial Statements'!C44)-('Financial Statements'!B37-'Financial Statements'!B33-'Financial Statements'!B48+'Financial Statements'!B44))/('Financial Statements'!B75-'Financial Statements'!B33)</f>
        <v/>
      </c>
      <c r="C120" s="258">
        <f>(('Financial Statements'!D37-'Financial Statements'!D33-'Financial Statements'!D48+'Financial Statements'!D44)-('Financial Statements'!C37-'Financial Statements'!C33-'Financial Statements'!C48+'Financial Statements'!C44))/('Financial Statements'!C75-'Financial Statements'!C33)</f>
        <v/>
      </c>
      <c r="D120" s="258">
        <f>(('Financial Statements'!E37-'Financial Statements'!E33-'Financial Statements'!E48+'Financial Statements'!E44)-('Financial Statements'!D37-'Financial Statements'!D33-'Financial Statements'!D48+'Financial Statements'!D44))/('Financial Statements'!D75-'Financial Statements'!D33)</f>
        <v/>
      </c>
      <c r="E120" s="258">
        <f>(('Financial Statements'!F37-'Financial Statements'!F33-'Financial Statements'!F48+'Financial Statements'!F44)-('Financial Statements'!E37-'Financial Statements'!E33-'Financial Statements'!E48+'Financial Statements'!E44))/('Financial Statements'!E75-'Financial Statements'!E33)</f>
        <v/>
      </c>
      <c r="F120" s="259">
        <f>(('Financial Statements'!G37-'Financial Statements'!G33-'Financial Statements'!G48+'Financial Statements'!G44)-('Financial Statements'!F37-'Financial Statements'!F33-'Financial Statements'!F48+'Financial Statements'!F44))/('Financial Statements'!F75-'Financial Statements'!F33)</f>
        <v/>
      </c>
      <c r="G120" s="259">
        <f>(('Financial Statements'!H37-'Financial Statements'!H33-'Financial Statements'!H48+'Financial Statements'!H44)-('Financial Statements'!G37-'Financial Statements'!G33-'Financial Statements'!G48+'Financial Statements'!G44))/('Financial Statements'!G75-'Financial Statements'!G33)</f>
        <v/>
      </c>
      <c r="H120" s="259">
        <f>(('Financial Statements'!I37-'Financial Statements'!I33-'Financial Statements'!I48+'Financial Statements'!I44)-('Financial Statements'!H37-'Financial Statements'!H33-'Financial Statements'!H48+'Financial Statements'!H44))/('Financial Statements'!H75-'Financial Statements'!H33)</f>
        <v/>
      </c>
      <c r="I120" s="259">
        <f>(('Financial Statements'!J37-'Financial Statements'!J33-'Financial Statements'!J48+'Financial Statements'!J44)-('Financial Statements'!I37-'Financial Statements'!I33-'Financial Statements'!I48+'Financial Statements'!I44))/('Financial Statements'!I75-'Financial Statements'!I33)</f>
        <v/>
      </c>
      <c r="J120" s="259">
        <f>(('Financial Statements'!K37-'Financial Statements'!K33-'Financial Statements'!K48+'Financial Statements'!K44)-('Financial Statements'!J37-'Financial Statements'!J33-'Financial Statements'!J48+'Financial Statements'!J44))/('Financial Statements'!J75-'Financial Statements'!J33)</f>
        <v/>
      </c>
      <c r="K120" s="259">
        <f>(('Financial Statements'!L37-'Financial Statements'!L33-'Financial Statements'!L48+'Financial Statements'!L44)-('Financial Statements'!K37-'Financial Statements'!K33-'Financial Statements'!K48+'Financial Statements'!K44))/('Financial Statements'!K75-'Financial Statements'!K33)</f>
        <v/>
      </c>
      <c r="L120" s="259">
        <f>(('Financial Statements'!M37-'Financial Statements'!M33-'Financial Statements'!M48+'Financial Statements'!M44)-('Financial Statements'!L37-'Financial Statements'!L33-'Financial Statements'!L48+'Financial Statements'!L44))/('Financial Statements'!L75-'Financial Statements'!L33)</f>
        <v/>
      </c>
      <c r="M120" s="259">
        <f>(('Financial Statements'!N37-'Financial Statements'!N33-'Financial Statements'!N48+'Financial Statements'!N44)-('Financial Statements'!M37-'Financial Statements'!M33-'Financial Statements'!M48+'Financial Statements'!M44))/('Financial Statements'!M75-'Financial Statements'!M33)</f>
        <v/>
      </c>
      <c r="N120" s="259">
        <f>(('Financial Statements'!O37-'Financial Statements'!O33-'Financial Statements'!O48+'Financial Statements'!O44)-('Financial Statements'!N37-'Financial Statements'!N33-'Financial Statements'!N48+'Financial Statements'!N44))/('Financial Statements'!N75-'Financial Statements'!N33)</f>
        <v/>
      </c>
      <c r="O120" s="259">
        <f>(('Financial Statements'!P37-'Financial Statements'!P33-'Financial Statements'!P48+'Financial Statements'!P44)-('Financial Statements'!O37-'Financial Statements'!O33-'Financial Statements'!O48+'Financial Statements'!O44))/('Financial Statements'!O75-'Financial Statements'!O33)</f>
        <v/>
      </c>
      <c r="P120" s="259">
        <f>(('Financial Statements'!Q37-'Financial Statements'!Q33-'Financial Statements'!Q48+'Financial Statements'!Q44)-('Financial Statements'!P37-'Financial Statements'!P33-'Financial Statements'!P48+'Financial Statements'!P44))/('Financial Statements'!P75-'Financial Statements'!P33)</f>
        <v/>
      </c>
      <c r="Q120" s="259">
        <f>(('Financial Statements'!R37-'Financial Statements'!R33-'Financial Statements'!R48+'Financial Statements'!R44)-('Financial Statements'!Q37-'Financial Statements'!Q33-'Financial Statements'!Q48+'Financial Statements'!Q44))/('Financial Statements'!Q75-'Financial Statements'!Q33)</f>
        <v/>
      </c>
      <c r="R120" s="259" t="n"/>
    </row>
    <row r="121">
      <c r="A121" t="inlineStr">
        <is>
          <t xml:space="preserve"> + Non-Current Op. Accruals/NOA</t>
        </is>
      </c>
      <c r="B121" s="258">
        <f>(('Financial Statements'!C42-'Financial Statements'!C37-'Financial Statements'!C52+'Financial Statements'!C49+'Financial Statements'!C48+'Financial Statements'!C53)-('Financial Statements'!B42-'Financial Statements'!B37-'Financial Statements'!B52+'Financial Statements'!B49+'Financial Statements'!B48+'Financial Statements'!B53))/('Financial Statements'!B75-'Financial Statements'!B33)</f>
        <v/>
      </c>
      <c r="C121" s="258">
        <f>(('Financial Statements'!D42-'Financial Statements'!D37-'Financial Statements'!D52+'Financial Statements'!D49+'Financial Statements'!D48+'Financial Statements'!D53)-('Financial Statements'!C42-'Financial Statements'!C37-'Financial Statements'!C52+'Financial Statements'!C49+'Financial Statements'!C48+'Financial Statements'!C53))/('Financial Statements'!C75-'Financial Statements'!C33)</f>
        <v/>
      </c>
      <c r="D121" s="258">
        <f>(('Financial Statements'!E42-'Financial Statements'!E37-'Financial Statements'!E52+'Financial Statements'!E49+'Financial Statements'!E48+'Financial Statements'!E53)-('Financial Statements'!D42-'Financial Statements'!D37-'Financial Statements'!D52+'Financial Statements'!D49+'Financial Statements'!D48+'Financial Statements'!D53))/('Financial Statements'!D75-'Financial Statements'!D33)</f>
        <v/>
      </c>
      <c r="E121" s="258">
        <f>(('Financial Statements'!F42-'Financial Statements'!F37-'Financial Statements'!F52+'Financial Statements'!F49+'Financial Statements'!F48+'Financial Statements'!F53)-('Financial Statements'!E42-'Financial Statements'!E37-'Financial Statements'!E52+'Financial Statements'!E49+'Financial Statements'!E48+'Financial Statements'!E53))/('Financial Statements'!E75-'Financial Statements'!E33)</f>
        <v/>
      </c>
      <c r="F121" s="259">
        <f>(('Financial Statements'!G42-'Financial Statements'!G37-'Financial Statements'!G52+'Financial Statements'!G49+'Financial Statements'!G48+'Financial Statements'!G53)-('Financial Statements'!F42-'Financial Statements'!F37-'Financial Statements'!F52+'Financial Statements'!F49+'Financial Statements'!F48+'Financial Statements'!F53))/('Financial Statements'!F75-'Financial Statements'!F33)</f>
        <v/>
      </c>
      <c r="G121" s="259">
        <f>(('Financial Statements'!H42-'Financial Statements'!H37-'Financial Statements'!H52+'Financial Statements'!H49+'Financial Statements'!H48+'Financial Statements'!H53)-('Financial Statements'!G42-'Financial Statements'!G37-'Financial Statements'!G52+'Financial Statements'!G49+'Financial Statements'!G48+'Financial Statements'!G53))/('Financial Statements'!G75-'Financial Statements'!G33)</f>
        <v/>
      </c>
      <c r="H121" s="259">
        <f>(('Financial Statements'!I42-'Financial Statements'!I37-'Financial Statements'!I52+'Financial Statements'!I49+'Financial Statements'!I48+'Financial Statements'!I53)-('Financial Statements'!H42-'Financial Statements'!H37-'Financial Statements'!H52+'Financial Statements'!H49+'Financial Statements'!H48+'Financial Statements'!H53))/('Financial Statements'!H75-'Financial Statements'!H33)</f>
        <v/>
      </c>
      <c r="I121" s="259">
        <f>(('Financial Statements'!J42-'Financial Statements'!J37-'Financial Statements'!J52+'Financial Statements'!J49+'Financial Statements'!J48+'Financial Statements'!J53)-('Financial Statements'!I42-'Financial Statements'!I37-'Financial Statements'!I52+'Financial Statements'!I49+'Financial Statements'!I48+'Financial Statements'!I53))/('Financial Statements'!I75-'Financial Statements'!I33)</f>
        <v/>
      </c>
      <c r="J121" s="259">
        <f>(('Financial Statements'!K42-'Financial Statements'!K37-'Financial Statements'!K52+'Financial Statements'!K49+'Financial Statements'!K48+'Financial Statements'!K53)-('Financial Statements'!J42-'Financial Statements'!J37-'Financial Statements'!J52+'Financial Statements'!J49+'Financial Statements'!J48+'Financial Statements'!J53))/('Financial Statements'!J75-'Financial Statements'!J33)</f>
        <v/>
      </c>
      <c r="K121" s="259">
        <f>(('Financial Statements'!L42-'Financial Statements'!L37-'Financial Statements'!L52+'Financial Statements'!L49+'Financial Statements'!L48+'Financial Statements'!L53)-('Financial Statements'!K42-'Financial Statements'!K37-'Financial Statements'!K52+'Financial Statements'!K49+'Financial Statements'!K48+'Financial Statements'!K53))/('Financial Statements'!K75-'Financial Statements'!K33)</f>
        <v/>
      </c>
      <c r="L121" s="259">
        <f>(('Financial Statements'!M42-'Financial Statements'!M37-'Financial Statements'!M52+'Financial Statements'!M49+'Financial Statements'!M48+'Financial Statements'!M53)-('Financial Statements'!L42-'Financial Statements'!L37-'Financial Statements'!L52+'Financial Statements'!L49+'Financial Statements'!L48+'Financial Statements'!L53))/('Financial Statements'!L75-'Financial Statements'!L33)</f>
        <v/>
      </c>
      <c r="M121" s="259">
        <f>(('Financial Statements'!N42-'Financial Statements'!N37-'Financial Statements'!N52+'Financial Statements'!N49+'Financial Statements'!N48+'Financial Statements'!N53)-('Financial Statements'!M42-'Financial Statements'!M37-'Financial Statements'!M52+'Financial Statements'!M49+'Financial Statements'!M48+'Financial Statements'!M53))/('Financial Statements'!M75-'Financial Statements'!M33)</f>
        <v/>
      </c>
      <c r="N121" s="259">
        <f>(('Financial Statements'!O42-'Financial Statements'!O37-'Financial Statements'!O52+'Financial Statements'!O49+'Financial Statements'!O48+'Financial Statements'!O53)-('Financial Statements'!N42-'Financial Statements'!N37-'Financial Statements'!N52+'Financial Statements'!N49+'Financial Statements'!N48+'Financial Statements'!N53))/('Financial Statements'!N75-'Financial Statements'!N33)</f>
        <v/>
      </c>
      <c r="O121" s="259">
        <f>(('Financial Statements'!P42-'Financial Statements'!P37-'Financial Statements'!P52+'Financial Statements'!P49+'Financial Statements'!P48+'Financial Statements'!P53)-('Financial Statements'!O42-'Financial Statements'!O37-'Financial Statements'!O52+'Financial Statements'!O49+'Financial Statements'!O48+'Financial Statements'!O53))/('Financial Statements'!O75-'Financial Statements'!O33)</f>
        <v/>
      </c>
      <c r="P121" s="259">
        <f>(('Financial Statements'!Q42-'Financial Statements'!Q37-'Financial Statements'!Q52+'Financial Statements'!Q49+'Financial Statements'!Q48+'Financial Statements'!Q53)-('Financial Statements'!P42-'Financial Statements'!P37-'Financial Statements'!P52+'Financial Statements'!P49+'Financial Statements'!P48+'Financial Statements'!P53))/('Financial Statements'!P75-'Financial Statements'!P33)</f>
        <v/>
      </c>
      <c r="Q121" s="259">
        <f>(('Financial Statements'!R42-'Financial Statements'!R37-'Financial Statements'!R52+'Financial Statements'!R49+'Financial Statements'!R48+'Financial Statements'!R53)-('Financial Statements'!Q42-'Financial Statements'!Q37-'Financial Statements'!Q52+'Financial Statements'!Q49+'Financial Statements'!Q48+'Financial Statements'!Q53))/('Financial Statements'!Q75-'Financial Statements'!Q33)</f>
        <v/>
      </c>
      <c r="R121" s="259" t="n"/>
    </row>
    <row r="122">
      <c r="A122" t="inlineStr">
        <is>
          <t xml:space="preserve"> = Operating Accruals/NOA</t>
        </is>
      </c>
      <c r="B122" s="258">
        <f>('Financial Statements'!C75-'Financial Statements'!C33-'Financial Statements'!B75+'Financial Statements'!B33)/('Financial Statements'!B75-'Financial Statements'!B33)</f>
        <v/>
      </c>
      <c r="C122" s="258">
        <f>('Financial Statements'!D75-'Financial Statements'!D33-'Financial Statements'!C75+'Financial Statements'!C33)/('Financial Statements'!C75-'Financial Statements'!C33)</f>
        <v/>
      </c>
      <c r="D122" s="258">
        <f>('Financial Statements'!E75-'Financial Statements'!E33-'Financial Statements'!D75+'Financial Statements'!D33)/('Financial Statements'!D75-'Financial Statements'!D33)</f>
        <v/>
      </c>
      <c r="E122" s="258">
        <f>('Financial Statements'!F75-'Financial Statements'!F33-'Financial Statements'!E75+'Financial Statements'!E33)/('Financial Statements'!E75-'Financial Statements'!E33)</f>
        <v/>
      </c>
      <c r="F122" s="259">
        <f>('Financial Statements'!G75-'Financial Statements'!G33-'Financial Statements'!F75+'Financial Statements'!F33)/('Financial Statements'!F75-'Financial Statements'!F33)</f>
        <v/>
      </c>
      <c r="G122" s="259">
        <f>('Financial Statements'!H75-'Financial Statements'!H33-'Financial Statements'!G75+'Financial Statements'!G33)/('Financial Statements'!G75-'Financial Statements'!G33)</f>
        <v/>
      </c>
      <c r="H122" s="259">
        <f>('Financial Statements'!I75-'Financial Statements'!I33-'Financial Statements'!H75+'Financial Statements'!H33)/('Financial Statements'!H75-'Financial Statements'!H33)</f>
        <v/>
      </c>
      <c r="I122" s="259">
        <f>('Financial Statements'!J75-'Financial Statements'!J33-'Financial Statements'!I75+'Financial Statements'!I33)/('Financial Statements'!I75-'Financial Statements'!I33)</f>
        <v/>
      </c>
      <c r="J122" s="259">
        <f>('Financial Statements'!K75-'Financial Statements'!K33-'Financial Statements'!J75+'Financial Statements'!J33)/('Financial Statements'!J75-'Financial Statements'!J33)</f>
        <v/>
      </c>
      <c r="K122" s="259">
        <f>('Financial Statements'!L75-'Financial Statements'!L33-'Financial Statements'!K75+'Financial Statements'!K33)/('Financial Statements'!K75-'Financial Statements'!K33)</f>
        <v/>
      </c>
      <c r="L122" s="259">
        <f>('Financial Statements'!M75-'Financial Statements'!M33-'Financial Statements'!L75+'Financial Statements'!L33)/('Financial Statements'!L75-'Financial Statements'!L33)</f>
        <v/>
      </c>
      <c r="M122" s="259">
        <f>('Financial Statements'!N75-'Financial Statements'!N33-'Financial Statements'!M75+'Financial Statements'!M33)/('Financial Statements'!M75-'Financial Statements'!M33)</f>
        <v/>
      </c>
      <c r="N122" s="259">
        <f>('Financial Statements'!O75-'Financial Statements'!O33-'Financial Statements'!N75+'Financial Statements'!N33)/('Financial Statements'!N75-'Financial Statements'!N33)</f>
        <v/>
      </c>
      <c r="O122" s="259">
        <f>('Financial Statements'!P75-'Financial Statements'!P33-'Financial Statements'!O75+'Financial Statements'!O33)/('Financial Statements'!O75-'Financial Statements'!O33)</f>
        <v/>
      </c>
      <c r="P122" s="259">
        <f>('Financial Statements'!Q75-'Financial Statements'!Q33-'Financial Statements'!P75+'Financial Statements'!P33)/('Financial Statements'!P75-'Financial Statements'!P33)</f>
        <v/>
      </c>
      <c r="Q122" s="259">
        <f>('Financial Statements'!R75-'Financial Statements'!R33-'Financial Statements'!Q75+'Financial Statements'!Q33)/('Financial Statements'!Q75-'Financial Statements'!Q33)</f>
        <v/>
      </c>
      <c r="R122" s="259" t="n"/>
    </row>
    <row r="123">
      <c r="B123" s="258" t="n"/>
      <c r="C123" s="258" t="n"/>
      <c r="D123" s="258" t="n"/>
      <c r="E123" s="258" t="n"/>
      <c r="F123" s="259" t="n"/>
      <c r="G123" s="259" t="n"/>
      <c r="H123" s="259" t="n"/>
      <c r="I123" s="259" t="n"/>
      <c r="J123" s="259" t="n"/>
      <c r="K123" s="259" t="n"/>
      <c r="L123" s="259" t="n"/>
      <c r="M123" s="259" t="n"/>
      <c r="N123" s="259" t="n"/>
      <c r="O123" s="259" t="n"/>
      <c r="P123" s="259" t="n"/>
      <c r="Q123" s="259" t="n"/>
      <c r="R123" s="259" t="n"/>
    </row>
    <row r="124">
      <c r="A124" t="inlineStr">
        <is>
          <t xml:space="preserve">    Sales Growth</t>
        </is>
      </c>
      <c r="B124" s="258">
        <f>'Ratio Analysis'!C10</f>
        <v/>
      </c>
      <c r="C124" s="258">
        <f>'Ratio Analysis'!D10</f>
        <v/>
      </c>
      <c r="D124" s="258">
        <f>'Ratio Analysis'!E10</f>
        <v/>
      </c>
      <c r="E124" s="258">
        <f>'Ratio Analysis'!F10</f>
        <v/>
      </c>
      <c r="F124" s="259">
        <f>'Ratio Analysis'!G10</f>
        <v/>
      </c>
      <c r="G124" s="259">
        <f>'Ratio Analysis'!H10</f>
        <v/>
      </c>
      <c r="H124" s="259">
        <f>'Ratio Analysis'!I10</f>
        <v/>
      </c>
      <c r="I124" s="259">
        <f>'Ratio Analysis'!J10</f>
        <v/>
      </c>
      <c r="J124" s="259">
        <f>'Ratio Analysis'!K10</f>
        <v/>
      </c>
      <c r="K124" s="259">
        <f>'Ratio Analysis'!L10</f>
        <v/>
      </c>
      <c r="L124" s="259">
        <f>'Ratio Analysis'!M10</f>
        <v/>
      </c>
      <c r="M124" s="259">
        <f>'Ratio Analysis'!N10</f>
        <v/>
      </c>
      <c r="N124" s="259">
        <f>'Ratio Analysis'!O10</f>
        <v/>
      </c>
      <c r="O124" s="259">
        <f>'Ratio Analysis'!P10</f>
        <v/>
      </c>
      <c r="P124" s="259">
        <f>'Ratio Analysis'!Q10</f>
        <v/>
      </c>
      <c r="Q124" s="259">
        <f>'Ratio Analysis'!R10</f>
        <v/>
      </c>
      <c r="R124" s="259" t="n"/>
    </row>
    <row r="125">
      <c r="A125" t="inlineStr">
        <is>
          <t xml:space="preserve">  - NOA Turnover Growth</t>
        </is>
      </c>
      <c r="B125" s="258">
        <f>-(('Financial Statements'!C12/('Financial Statements'!C75-'Financial Statements'!C33)-'Financial Statements'!B12/('Financial Statements'!B75-'Financial Statements'!B33)))/('Financial Statements'!C12/('Financial Statements'!C75-'Financial Statements'!C33))</f>
        <v/>
      </c>
      <c r="C125" s="258">
        <f>-(('Financial Statements'!D12/('Financial Statements'!D75-'Financial Statements'!D33)-'Financial Statements'!C12/('Financial Statements'!C75-'Financial Statements'!C33)))/('Financial Statements'!D12/('Financial Statements'!D75-'Financial Statements'!D33))</f>
        <v/>
      </c>
      <c r="D125" s="258">
        <f>-(('Financial Statements'!E12/('Financial Statements'!E75-'Financial Statements'!E33)-'Financial Statements'!D12/('Financial Statements'!D75-'Financial Statements'!D33)))/('Financial Statements'!E12/('Financial Statements'!E75-'Financial Statements'!E33))</f>
        <v/>
      </c>
      <c r="E125" s="258">
        <f>-(('Financial Statements'!F12/('Financial Statements'!F75-'Financial Statements'!F33)-'Financial Statements'!E12/('Financial Statements'!E75-'Financial Statements'!E33)))/('Financial Statements'!F12/('Financial Statements'!F75-'Financial Statements'!F33))</f>
        <v/>
      </c>
      <c r="F125" s="259">
        <f>-(('Financial Statements'!G12/('Financial Statements'!G75-'Financial Statements'!G33)-'Financial Statements'!F12/('Financial Statements'!F75-'Financial Statements'!F33)))/('Financial Statements'!G12/('Financial Statements'!G75-'Financial Statements'!G33))</f>
        <v/>
      </c>
      <c r="G125" s="259">
        <f>-(('Financial Statements'!H12/('Financial Statements'!H75-'Financial Statements'!H33)-'Financial Statements'!G12/('Financial Statements'!G75-'Financial Statements'!G33)))/('Financial Statements'!H12/('Financial Statements'!H75-'Financial Statements'!H33))</f>
        <v/>
      </c>
      <c r="H125" s="259">
        <f>-(('Financial Statements'!I12/('Financial Statements'!I75-'Financial Statements'!I33)-'Financial Statements'!H12/('Financial Statements'!H75-'Financial Statements'!H33)))/('Financial Statements'!I12/('Financial Statements'!I75-'Financial Statements'!I33))</f>
        <v/>
      </c>
      <c r="I125" s="259">
        <f>-(('Financial Statements'!J12/('Financial Statements'!J75-'Financial Statements'!J33)-'Financial Statements'!I12/('Financial Statements'!I75-'Financial Statements'!I33)))/('Financial Statements'!J12/('Financial Statements'!J75-'Financial Statements'!J33))</f>
        <v/>
      </c>
      <c r="J125" s="259">
        <f>-(('Financial Statements'!K12/('Financial Statements'!K75-'Financial Statements'!K33)-'Financial Statements'!J12/('Financial Statements'!J75-'Financial Statements'!J33)))/('Financial Statements'!K12/('Financial Statements'!K75-'Financial Statements'!K33))</f>
        <v/>
      </c>
      <c r="K125" s="259">
        <f>-(('Financial Statements'!L12/('Financial Statements'!L75-'Financial Statements'!L33)-'Financial Statements'!K12/('Financial Statements'!K75-'Financial Statements'!K33)))/('Financial Statements'!L12/('Financial Statements'!L75-'Financial Statements'!L33))</f>
        <v/>
      </c>
      <c r="L125" s="259">
        <f>-(('Financial Statements'!M12/('Financial Statements'!M75-'Financial Statements'!M33)-'Financial Statements'!L12/('Financial Statements'!L75-'Financial Statements'!L33)))/('Financial Statements'!M12/('Financial Statements'!M75-'Financial Statements'!M33))</f>
        <v/>
      </c>
      <c r="M125" s="259">
        <f>-(('Financial Statements'!N12/('Financial Statements'!N75-'Financial Statements'!N33)-'Financial Statements'!M12/('Financial Statements'!M75-'Financial Statements'!M33)))/('Financial Statements'!N12/('Financial Statements'!N75-'Financial Statements'!N33))</f>
        <v/>
      </c>
      <c r="N125" s="259">
        <f>-(('Financial Statements'!O12/('Financial Statements'!O75-'Financial Statements'!O33)-'Financial Statements'!N12/('Financial Statements'!N75-'Financial Statements'!N33)))/('Financial Statements'!O12/('Financial Statements'!O75-'Financial Statements'!O33))</f>
        <v/>
      </c>
      <c r="O125" s="259">
        <f>-(('Financial Statements'!P12/('Financial Statements'!P75-'Financial Statements'!P33)-'Financial Statements'!O12/('Financial Statements'!O75-'Financial Statements'!O33)))/('Financial Statements'!P12/('Financial Statements'!P75-'Financial Statements'!P33))</f>
        <v/>
      </c>
      <c r="P125" s="259">
        <f>-(('Financial Statements'!Q12/('Financial Statements'!Q75-'Financial Statements'!Q33)-'Financial Statements'!P12/('Financial Statements'!P75-'Financial Statements'!P33)))/('Financial Statements'!Q12/('Financial Statements'!Q75-'Financial Statements'!Q33))</f>
        <v/>
      </c>
      <c r="Q125" s="259">
        <f>-(('Financial Statements'!R12/('Financial Statements'!R75-'Financial Statements'!R33)-'Financial Statements'!Q12/('Financial Statements'!Q75-'Financial Statements'!Q33)))/('Financial Statements'!R12/('Financial Statements'!R75-'Financial Statements'!R33))</f>
        <v/>
      </c>
      <c r="R125" s="259" t="n"/>
    </row>
    <row r="126">
      <c r="A126" t="inlineStr">
        <is>
          <t xml:space="preserve">  - Interaction</t>
        </is>
      </c>
      <c r="B126" s="258">
        <f>B124*B125</f>
        <v/>
      </c>
      <c r="C126" s="258">
        <f>C124*C125</f>
        <v/>
      </c>
      <c r="D126" s="258">
        <f>D124*D125</f>
        <v/>
      </c>
      <c r="E126" s="258">
        <f>E124*E125</f>
        <v/>
      </c>
      <c r="F126" s="259">
        <f>F124*F125</f>
        <v/>
      </c>
      <c r="G126" s="259">
        <f>G124*G125</f>
        <v/>
      </c>
      <c r="H126" s="259">
        <f>H124*H125</f>
        <v/>
      </c>
      <c r="I126" s="259">
        <f>I124*I125</f>
        <v/>
      </c>
      <c r="J126" s="259">
        <f>J124*J125</f>
        <v/>
      </c>
      <c r="K126" s="259">
        <f>K124*K125</f>
        <v/>
      </c>
      <c r="L126" s="259">
        <f>L124*L125</f>
        <v/>
      </c>
      <c r="M126" s="259">
        <f>M124*M125</f>
        <v/>
      </c>
      <c r="N126" s="259">
        <f>N124*N125</f>
        <v/>
      </c>
      <c r="O126" s="259">
        <f>O124*O125</f>
        <v/>
      </c>
      <c r="P126" s="259">
        <f>P124*P125</f>
        <v/>
      </c>
      <c r="Q126" s="259">
        <f>Q124*Q125</f>
        <v/>
      </c>
      <c r="R126" s="259" t="n"/>
    </row>
    <row r="127">
      <c r="A127" t="inlineStr">
        <is>
          <t xml:space="preserve"> = Operating Accruals/NOA</t>
        </is>
      </c>
      <c r="B127" s="258">
        <f>B124+B125+B126</f>
        <v/>
      </c>
      <c r="C127" s="258">
        <f>C124+C125+C126</f>
        <v/>
      </c>
      <c r="D127" s="258">
        <f>D124+D125+D126</f>
        <v/>
      </c>
      <c r="E127" s="258">
        <f>E124+E125+E126</f>
        <v/>
      </c>
      <c r="F127" s="259">
        <f>F124+F125+F126</f>
        <v/>
      </c>
      <c r="G127" s="259">
        <f>G124+G125+G126</f>
        <v/>
      </c>
      <c r="H127" s="259">
        <f>H124+H125+H126</f>
        <v/>
      </c>
      <c r="I127" s="259">
        <f>I124+I125+I126</f>
        <v/>
      </c>
      <c r="J127" s="259">
        <f>J124+J125+J126</f>
        <v/>
      </c>
      <c r="K127" s="259">
        <f>K124+K125+K126</f>
        <v/>
      </c>
      <c r="L127" s="259">
        <f>L124+L125+L126</f>
        <v/>
      </c>
      <c r="M127" s="259">
        <f>M124+M125+M126</f>
        <v/>
      </c>
      <c r="N127" s="259">
        <f>N124+N125+N126</f>
        <v/>
      </c>
      <c r="O127" s="259">
        <f>O124+O125+O126</f>
        <v/>
      </c>
      <c r="P127" s="259">
        <f>P124+P125+P126</f>
        <v/>
      </c>
      <c r="Q127" s="259">
        <f>Q124+Q125+Q126</f>
        <v/>
      </c>
      <c r="R127" s="259" t="n"/>
    </row>
    <row r="128" customFormat="1" s="195">
      <c r="A128" s="195" t="inlineStr">
        <is>
          <t>Fiscal Year</t>
        </is>
      </c>
      <c r="B128" s="170">
        <f>IF(MONTH(B7)&gt;6,YEAR(B7),YEAR(B7)-1)</f>
        <v/>
      </c>
      <c r="C128" s="170">
        <f>IF(MONTH(C7)&gt;6,YEAR(C7),YEAR(C7)-1)</f>
        <v/>
      </c>
      <c r="D128" s="170">
        <f>IF(MONTH(D7)&gt;6,YEAR(D7),YEAR(D7)-1)</f>
        <v/>
      </c>
      <c r="E128" s="170">
        <f>IF(MONTH(E7)&gt;6,YEAR(E7),YEAR(E7)-1)</f>
        <v/>
      </c>
      <c r="F128" s="195">
        <f>IF(MONTH(F7)&gt;6,YEAR(F7),YEAR(F7)-1)</f>
        <v/>
      </c>
      <c r="G128" s="195">
        <f>IF(MONTH(G7)&gt;6,YEAR(G7),YEAR(G7)-1)</f>
        <v/>
      </c>
      <c r="H128" s="195">
        <f>IF(MONTH(H7)&gt;6,YEAR(H7),YEAR(H7)-1)</f>
        <v/>
      </c>
      <c r="I128" s="195">
        <f>IF(MONTH(I7)&gt;6,YEAR(I7),YEAR(I7)-1)</f>
        <v/>
      </c>
      <c r="J128" s="195">
        <f>IF(MONTH(J7)&gt;6,YEAR(J7),YEAR(J7)-1)</f>
        <v/>
      </c>
      <c r="K128" s="195">
        <f>IF(MONTH(K7)&gt;6,YEAR(K7),YEAR(K7)-1)</f>
        <v/>
      </c>
      <c r="L128" s="195">
        <f>IF(MONTH(L7)&gt;6,YEAR(L7),YEAR(L7)-1)</f>
        <v/>
      </c>
      <c r="M128" s="195">
        <f>IF(MONTH(M7)&gt;6,YEAR(M7),YEAR(M7)-1)</f>
        <v/>
      </c>
      <c r="N128" s="195">
        <f>IF(MONTH(N7)&gt;6,YEAR(N7),YEAR(N7)-1)</f>
        <v/>
      </c>
      <c r="O128" s="195">
        <f>IF(MONTH(O7)&gt;6,YEAR(O7),YEAR(O7)-1)</f>
        <v/>
      </c>
      <c r="P128" s="195">
        <f>IF(MONTH(P7)&gt;6,YEAR(P7),YEAR(P7)-1)</f>
        <v/>
      </c>
      <c r="Q128" s="195">
        <f>IF(MONTH(Q7)&gt;6,YEAR(Q7),YEAR(Q7)-1)</f>
        <v/>
      </c>
    </row>
    <row r="130">
      <c r="B130" s="68" t="n"/>
      <c r="C130" s="259" t="n"/>
    </row>
  </sheetData>
  <mergeCells count="2">
    <mergeCell ref="A48:B48"/>
    <mergeCell ref="A72:B72"/>
  </mergeCells>
  <conditionalFormatting sqref="B120:R120">
    <cfRule type="cellIs" priority="6" operator="greaterThan" dxfId="0" stopIfTrue="1">
      <formula>0.11</formula>
    </cfRule>
  </conditionalFormatting>
  <conditionalFormatting sqref="B121:R121">
    <cfRule type="cellIs" priority="7" operator="greaterThan" dxfId="0" stopIfTrue="1">
      <formula>0.14</formula>
    </cfRule>
  </conditionalFormatting>
  <conditionalFormatting sqref="B123:R123">
    <cfRule type="cellIs" priority="5" operator="greaterThan" dxfId="0" stopIfTrue="1">
      <formula>0.09</formula>
    </cfRule>
  </conditionalFormatting>
  <conditionalFormatting sqref="B124:R124">
    <cfRule type="cellIs" priority="9" operator="greaterThan" dxfId="0" stopIfTrue="1">
      <formula>0.39</formula>
    </cfRule>
  </conditionalFormatting>
  <conditionalFormatting sqref="B125:E125">
    <cfRule type="cellIs" priority="2" operator="greaterThan" dxfId="0" stopIfTrue="1">
      <formula>0.21</formula>
    </cfRule>
  </conditionalFormatting>
  <conditionalFormatting sqref="F125:Q125">
    <cfRule type="cellIs" priority="1" operator="greaterThan" dxfId="0" stopIfTrue="1">
      <formula>0.07</formula>
    </cfRule>
  </conditionalFormatting>
  <conditionalFormatting sqref="R125">
    <cfRule type="cellIs" priority="10" operator="greaterThan" dxfId="0" stopIfTrue="1">
      <formula>0.2</formula>
    </cfRule>
  </conditionalFormatting>
  <conditionalFormatting sqref="F126:R126">
    <cfRule type="cellIs" priority="11" operator="greaterThan" dxfId="0" stopIfTrue="1">
      <formula>0.07</formula>
    </cfRule>
  </conditionalFormatting>
  <conditionalFormatting sqref="B122:R122 B127:R127">
    <cfRule type="cellIs" priority="8" operator="greaterThan" dxfId="0" stopIfTrue="1">
      <formula>0.38</formula>
    </cfRule>
  </conditionalFormatting>
  <pageMargins left="0.75" right="0.75" top="1" bottom="1" header="0.5" footer="0.5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56"/>
  <sheetViews>
    <sheetView zoomScale="125" zoomScaleNormal="125" workbookViewId="0">
      <pane xSplit="1" ySplit="7" topLeftCell="B8" activePane="bottomRight" state="frozenSplit"/>
      <selection activeCell="A1" sqref="A1"/>
      <selection pane="topRight" activeCell="A1" sqref="A1"/>
      <selection pane="bottomLeft" activeCell="A1" sqref="A1"/>
      <selection pane="bottomRight" activeCell="G11" sqref="G11"/>
    </sheetView>
  </sheetViews>
  <sheetFormatPr baseColWidth="8" defaultColWidth="8.830357142857141" defaultRowHeight="15.2"/>
  <cols>
    <col width="29.5" customWidth="1" style="16" min="1" max="1"/>
    <col width="10.6607142857143" customWidth="1" style="16" min="2" max="18"/>
  </cols>
  <sheetData>
    <row r="1" ht="20.4" customFormat="1" customHeight="1" s="56">
      <c r="A1" s="163" t="inlineStr">
        <is>
          <t>Credit Analysis</t>
        </is>
      </c>
      <c r="B1" s="164" t="n"/>
      <c r="C1" s="164" t="n"/>
      <c r="D1" s="164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</row>
    <row r="2" ht="18" customHeight="1" s="16">
      <c r="A2" s="138" t="n"/>
      <c r="B2" s="138" t="n"/>
      <c r="C2" s="138" t="n"/>
      <c r="D2" s="138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</row>
    <row r="3" ht="12.75" customHeight="1" s="16">
      <c r="A3" s="90" t="inlineStr">
        <is>
          <t xml:space="preserve"> </t>
        </is>
      </c>
      <c r="B3" s="90" t="n"/>
      <c r="C3" s="90" t="n"/>
      <c r="D3" s="90" t="n"/>
      <c r="E3" s="141" t="n"/>
      <c r="F3" s="141" t="n"/>
      <c r="G3" s="141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</row>
    <row r="4">
      <c r="A4" s="17" t="inlineStr">
        <is>
          <t>Company Name</t>
        </is>
      </c>
      <c r="B4" s="61">
        <f>'Financial Statements'!B4</f>
        <v/>
      </c>
      <c r="C4" s="17" t="n"/>
      <c r="D4" s="17" t="n"/>
      <c r="E4" s="94" t="n"/>
      <c r="L4" s="161" t="n"/>
    </row>
    <row r="5">
      <c r="A5" s="17" t="n"/>
      <c r="B5" s="17" t="n"/>
      <c r="C5" s="17" t="n"/>
      <c r="D5" s="17" t="n"/>
      <c r="L5" s="161" t="n"/>
    </row>
    <row r="6">
      <c r="A6" s="17" t="n"/>
      <c r="B6" s="145" t="inlineStr">
        <is>
          <t>Actual</t>
        </is>
      </c>
      <c r="C6" s="145" t="inlineStr">
        <is>
          <t>Actual</t>
        </is>
      </c>
      <c r="D6" s="145" t="inlineStr">
        <is>
          <t>Actual</t>
        </is>
      </c>
      <c r="E6" s="145" t="inlineStr">
        <is>
          <t>Actual</t>
        </is>
      </c>
      <c r="F6" s="145" t="inlineStr">
        <is>
          <t>Actual</t>
        </is>
      </c>
      <c r="G6" s="191" t="inlineStr">
        <is>
          <t>Forecast</t>
        </is>
      </c>
      <c r="H6" s="191" t="inlineStr">
        <is>
          <t>Forecast</t>
        </is>
      </c>
      <c r="I6" s="191" t="inlineStr">
        <is>
          <t>Forecast</t>
        </is>
      </c>
      <c r="J6" s="191" t="inlineStr">
        <is>
          <t>Forecast</t>
        </is>
      </c>
      <c r="K6" s="191" t="inlineStr">
        <is>
          <t>Forecast</t>
        </is>
      </c>
      <c r="L6" s="191" t="inlineStr">
        <is>
          <t>Forecast</t>
        </is>
      </c>
      <c r="M6" s="191" t="inlineStr">
        <is>
          <t>Forecast</t>
        </is>
      </c>
      <c r="N6" s="191" t="inlineStr">
        <is>
          <t>Forecast</t>
        </is>
      </c>
      <c r="O6" s="191" t="inlineStr">
        <is>
          <t>Forecast</t>
        </is>
      </c>
      <c r="P6" s="191" t="inlineStr">
        <is>
          <t>Forecast</t>
        </is>
      </c>
      <c r="Q6" s="191" t="inlineStr">
        <is>
          <t>Forecast</t>
        </is>
      </c>
      <c r="R6" s="191" t="inlineStr">
        <is>
          <t>Forecast</t>
        </is>
      </c>
    </row>
    <row r="7" ht="15.95" customHeight="1" s="16">
      <c r="A7" s="17" t="inlineStr">
        <is>
          <t>Fiscal Year End Date</t>
        </is>
      </c>
      <c r="B7" s="255">
        <f>'Financial Statements'!B8</f>
        <v/>
      </c>
      <c r="C7" s="255">
        <f>'Financial Statements'!C8</f>
        <v/>
      </c>
      <c r="D7" s="255">
        <f>'Financial Statements'!D8</f>
        <v/>
      </c>
      <c r="E7" s="255">
        <f>'Financial Statements'!E8</f>
        <v/>
      </c>
      <c r="F7" s="255">
        <f>'Financial Statements'!F8</f>
        <v/>
      </c>
      <c r="G7" s="249">
        <f>'Financial Statements'!G8</f>
        <v/>
      </c>
      <c r="H7" s="249">
        <f>'Financial Statements'!H8</f>
        <v/>
      </c>
      <c r="I7" s="249">
        <f>'Financial Statements'!I8</f>
        <v/>
      </c>
      <c r="J7" s="249">
        <f>'Financial Statements'!J8</f>
        <v/>
      </c>
      <c r="K7" s="249">
        <f>'Financial Statements'!K8</f>
        <v/>
      </c>
      <c r="L7" s="249">
        <f>'Financial Statements'!L8</f>
        <v/>
      </c>
      <c r="M7" s="249">
        <f>'Financial Statements'!M8</f>
        <v/>
      </c>
      <c r="N7" s="249">
        <f>'Financial Statements'!N8</f>
        <v/>
      </c>
      <c r="O7" s="249">
        <f>'Financial Statements'!O8</f>
        <v/>
      </c>
      <c r="P7" s="249">
        <f>'Financial Statements'!P8</f>
        <v/>
      </c>
      <c r="Q7" s="249">
        <f>'Financial Statements'!Q8</f>
        <v/>
      </c>
      <c r="R7" s="249">
        <f>'Financial Statements'!R8</f>
        <v/>
      </c>
    </row>
    <row r="9">
      <c r="A9" s="100" t="inlineStr">
        <is>
          <t>Analysis of Leverage</t>
        </is>
      </c>
      <c r="B9" s="150" t="n"/>
      <c r="C9" s="150" t="n"/>
      <c r="D9" s="150" t="n"/>
      <c r="E9" s="258" t="n"/>
      <c r="F9" s="258" t="n"/>
      <c r="G9" s="259" t="n"/>
      <c r="H9" s="259" t="n"/>
      <c r="I9" s="259" t="n"/>
      <c r="J9" s="259" t="n"/>
      <c r="K9" s="259" t="n"/>
      <c r="L9" s="259" t="n"/>
      <c r="M9" s="259" t="n"/>
      <c r="N9" s="259" t="n"/>
      <c r="O9" s="259" t="n"/>
      <c r="P9" s="259" t="n"/>
      <c r="Q9" s="259" t="n"/>
      <c r="R9" s="259" t="n"/>
    </row>
    <row r="10">
      <c r="A10" s="239" t="inlineStr">
        <is>
          <t xml:space="preserve"> - Long-Term Capital Structure</t>
        </is>
      </c>
      <c r="B10" s="150" t="n"/>
      <c r="C10" s="150" t="n"/>
      <c r="D10" s="150" t="n"/>
      <c r="E10" s="258" t="n"/>
      <c r="F10" s="258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</row>
    <row r="11">
      <c r="A11" t="inlineStr">
        <is>
          <t>Debt to Equity Ratio</t>
        </is>
      </c>
      <c r="B11" s="258">
        <f>('Financial Statements'!B44+'Financial Statements'!B49)/('Financial Statements'!B57)</f>
        <v/>
      </c>
      <c r="C11" s="258">
        <f>('Financial Statements'!C44+'Financial Statements'!C49)/('Financial Statements'!C57)</f>
        <v/>
      </c>
      <c r="D11" s="258">
        <f>('Financial Statements'!D44+'Financial Statements'!D49)/('Financial Statements'!D57)</f>
        <v/>
      </c>
      <c r="E11" s="258">
        <f>('Financial Statements'!E44+'Financial Statements'!E49)/('Financial Statements'!E57)</f>
        <v/>
      </c>
      <c r="F11" s="258">
        <f>('Financial Statements'!F44+'Financial Statements'!F49)/('Financial Statements'!F57)</f>
        <v/>
      </c>
      <c r="G11" s="259">
        <f>('Financial Statements'!G44+'Financial Statements'!G49)/('Financial Statements'!G57)</f>
        <v/>
      </c>
      <c r="H11" s="259">
        <f>('Financial Statements'!H44+'Financial Statements'!H49)/('Financial Statements'!H57)</f>
        <v/>
      </c>
      <c r="I11" s="259">
        <f>('Financial Statements'!I44+'Financial Statements'!I49)/('Financial Statements'!I57)</f>
        <v/>
      </c>
      <c r="J11" s="259">
        <f>('Financial Statements'!J44+'Financial Statements'!J49)/('Financial Statements'!J57)</f>
        <v/>
      </c>
      <c r="K11" s="259">
        <f>('Financial Statements'!K44+'Financial Statements'!K49)/('Financial Statements'!K57)</f>
        <v/>
      </c>
      <c r="L11" s="259">
        <f>('Financial Statements'!L44+'Financial Statements'!L49)/('Financial Statements'!L57)</f>
        <v/>
      </c>
      <c r="M11" s="259">
        <f>('Financial Statements'!M44+'Financial Statements'!M49)/('Financial Statements'!M57)</f>
        <v/>
      </c>
      <c r="N11" s="259">
        <f>('Financial Statements'!N44+'Financial Statements'!N49)/('Financial Statements'!N57)</f>
        <v/>
      </c>
      <c r="O11" s="259">
        <f>('Financial Statements'!O44+'Financial Statements'!O49)/('Financial Statements'!O57)</f>
        <v/>
      </c>
      <c r="P11" s="259">
        <f>('Financial Statements'!P44+'Financial Statements'!P49)/('Financial Statements'!P57)</f>
        <v/>
      </c>
      <c r="Q11" s="259">
        <f>('Financial Statements'!Q44+'Financial Statements'!Q49)/('Financial Statements'!Q57)</f>
        <v/>
      </c>
      <c r="R11" s="259">
        <f>('Financial Statements'!R44+'Financial Statements'!R49)/('Financial Statements'!R57)</f>
        <v/>
      </c>
    </row>
    <row r="12">
      <c r="A12" t="inlineStr">
        <is>
          <t>FFO to Total Debt</t>
        </is>
      </c>
      <c r="B12" s="258" t="n"/>
      <c r="C12" s="258">
        <f>'Cash Flow Analysis'!B17/(('Financial Statements'!C44+'Financial Statements'!C49+'Financial Statements'!B44+'Financial Statements'!B49)/2)</f>
        <v/>
      </c>
      <c r="D12" s="258">
        <f>'Cash Flow Analysis'!C17/(('Financial Statements'!D44+'Financial Statements'!D49+'Financial Statements'!C44+'Financial Statements'!C49)/2)</f>
        <v/>
      </c>
      <c r="E12" s="258">
        <f>'Cash Flow Analysis'!D17/(('Financial Statements'!E44+'Financial Statements'!E49+'Financial Statements'!D44+'Financial Statements'!D49)/2)</f>
        <v/>
      </c>
      <c r="F12" s="258">
        <f>'Cash Flow Analysis'!E17/(('Financial Statements'!F44+'Financial Statements'!F49+'Financial Statements'!E44+'Financial Statements'!E49)/2)</f>
        <v/>
      </c>
      <c r="G12" s="259">
        <f>'Cash Flow Analysis'!F17/(('Financial Statements'!G44+'Financial Statements'!G49+'Financial Statements'!F44+'Financial Statements'!F49)/2)</f>
        <v/>
      </c>
      <c r="H12" s="259">
        <f>'Cash Flow Analysis'!G17/(('Financial Statements'!H44+'Financial Statements'!H49+'Financial Statements'!G44+'Financial Statements'!G49)/2)</f>
        <v/>
      </c>
      <c r="I12" s="259">
        <f>'Cash Flow Analysis'!H17/(('Financial Statements'!I44+'Financial Statements'!I49+'Financial Statements'!H44+'Financial Statements'!H49)/2)</f>
        <v/>
      </c>
      <c r="J12" s="259">
        <f>'Cash Flow Analysis'!I17/(('Financial Statements'!J44+'Financial Statements'!J49+'Financial Statements'!I44+'Financial Statements'!I49)/2)</f>
        <v/>
      </c>
      <c r="K12" s="259">
        <f>'Cash Flow Analysis'!J17/(('Financial Statements'!K44+'Financial Statements'!K49+'Financial Statements'!J44+'Financial Statements'!J49)/2)</f>
        <v/>
      </c>
      <c r="L12" s="259">
        <f>'Cash Flow Analysis'!K17/(('Financial Statements'!L44+'Financial Statements'!L49+'Financial Statements'!K44+'Financial Statements'!K49)/2)</f>
        <v/>
      </c>
      <c r="M12" s="259">
        <f>'Cash Flow Analysis'!L17/(('Financial Statements'!M44+'Financial Statements'!M49+'Financial Statements'!L44+'Financial Statements'!L49)/2)</f>
        <v/>
      </c>
      <c r="N12" s="259">
        <f>'Cash Flow Analysis'!M17/(('Financial Statements'!N44+'Financial Statements'!N49+'Financial Statements'!M44+'Financial Statements'!M49)/2)</f>
        <v/>
      </c>
      <c r="O12" s="259">
        <f>'Cash Flow Analysis'!N17/(('Financial Statements'!O44+'Financial Statements'!O49+'Financial Statements'!N44+'Financial Statements'!N49)/2)</f>
        <v/>
      </c>
      <c r="P12" s="259">
        <f>'Cash Flow Analysis'!O17/(('Financial Statements'!P44+'Financial Statements'!P49+'Financial Statements'!O44+'Financial Statements'!O49)/2)</f>
        <v/>
      </c>
      <c r="Q12" s="259">
        <f>'Cash Flow Analysis'!P17/(('Financial Statements'!Q44+'Financial Statements'!Q49+'Financial Statements'!P44+'Financial Statements'!P49)/2)</f>
        <v/>
      </c>
      <c r="R12" s="259">
        <f>'Cash Flow Analysis'!Q17/(('Financial Statements'!R44+'Financial Statements'!R49+'Financial Statements'!Q44+'Financial Statements'!Q49)/2)</f>
        <v/>
      </c>
    </row>
    <row r="13">
      <c r="A13" t="inlineStr">
        <is>
          <t>CFO to Total Debt</t>
        </is>
      </c>
      <c r="B13" s="258" t="n"/>
      <c r="C13" s="258">
        <f>'Cash Flow Analysis'!B24/(('Financial Statements'!C44+'Financial Statements'!C49+'Financial Statements'!B44+'Financial Statements'!B49)/2)</f>
        <v/>
      </c>
      <c r="D13" s="258">
        <f>'Cash Flow Analysis'!C24/(('Financial Statements'!D44+'Financial Statements'!D49+'Financial Statements'!C44+'Financial Statements'!C49)/2)</f>
        <v/>
      </c>
      <c r="E13" s="258">
        <f>'Cash Flow Analysis'!D24/(('Financial Statements'!E44+'Financial Statements'!E49+'Financial Statements'!D44+'Financial Statements'!D49)/2)</f>
        <v/>
      </c>
      <c r="F13" s="258">
        <f>'Cash Flow Analysis'!E24/(('Financial Statements'!F44+'Financial Statements'!F49+'Financial Statements'!E44+'Financial Statements'!E49)/2)</f>
        <v/>
      </c>
      <c r="G13" s="259">
        <f>'Cash Flow Analysis'!F24/(('Financial Statements'!G44+'Financial Statements'!G49+'Financial Statements'!F44+'Financial Statements'!F49)/2)</f>
        <v/>
      </c>
      <c r="H13" s="259">
        <f>'Cash Flow Analysis'!G24/(('Financial Statements'!H44+'Financial Statements'!H49+'Financial Statements'!G44+'Financial Statements'!G49)/2)</f>
        <v/>
      </c>
      <c r="I13" s="259">
        <f>'Cash Flow Analysis'!H24/(('Financial Statements'!I44+'Financial Statements'!I49+'Financial Statements'!H44+'Financial Statements'!H49)/2)</f>
        <v/>
      </c>
      <c r="J13" s="259">
        <f>'Cash Flow Analysis'!I24/(('Financial Statements'!J44+'Financial Statements'!J49+'Financial Statements'!I44+'Financial Statements'!I49)/2)</f>
        <v/>
      </c>
      <c r="K13" s="259">
        <f>'Cash Flow Analysis'!J24/(('Financial Statements'!K44+'Financial Statements'!K49+'Financial Statements'!J44+'Financial Statements'!J49)/2)</f>
        <v/>
      </c>
      <c r="L13" s="259">
        <f>'Cash Flow Analysis'!K24/(('Financial Statements'!L44+'Financial Statements'!L49+'Financial Statements'!K44+'Financial Statements'!K49)/2)</f>
        <v/>
      </c>
      <c r="M13" s="259">
        <f>'Cash Flow Analysis'!L24/(('Financial Statements'!M44+'Financial Statements'!M49+'Financial Statements'!L44+'Financial Statements'!L49)/2)</f>
        <v/>
      </c>
      <c r="N13" s="259">
        <f>'Cash Flow Analysis'!M24/(('Financial Statements'!N44+'Financial Statements'!N49+'Financial Statements'!M44+'Financial Statements'!M49)/2)</f>
        <v/>
      </c>
      <c r="O13" s="259">
        <f>'Cash Flow Analysis'!N24/(('Financial Statements'!O44+'Financial Statements'!O49+'Financial Statements'!N44+'Financial Statements'!N49)/2)</f>
        <v/>
      </c>
      <c r="P13" s="259">
        <f>'Cash Flow Analysis'!O24/(('Financial Statements'!P44+'Financial Statements'!P49+'Financial Statements'!O44+'Financial Statements'!O49)/2)</f>
        <v/>
      </c>
      <c r="Q13" s="259">
        <f>'Cash Flow Analysis'!P24/(('Financial Statements'!Q44+'Financial Statements'!Q49+'Financial Statements'!P44+'Financial Statements'!P49)/2)</f>
        <v/>
      </c>
      <c r="R13" s="259">
        <f>'Cash Flow Analysis'!Q24/(('Financial Statements'!R44+'Financial Statements'!R49+'Financial Statements'!Q44+'Financial Statements'!Q49)/2)</f>
        <v/>
      </c>
    </row>
    <row r="14">
      <c r="B14" s="61" t="n"/>
      <c r="C14" s="61" t="n"/>
      <c r="D14" s="61" t="n"/>
      <c r="E14" s="258" t="n"/>
      <c r="F14" s="258" t="n"/>
      <c r="G14" s="259" t="n"/>
      <c r="H14" s="259" t="n"/>
      <c r="I14" s="259" t="n"/>
      <c r="J14" s="259" t="n"/>
      <c r="K14" s="259" t="n"/>
      <c r="L14" s="259" t="n"/>
      <c r="M14" s="259" t="n"/>
      <c r="N14" s="259" t="n"/>
      <c r="O14" s="259" t="n"/>
      <c r="P14" s="259" t="n"/>
      <c r="Q14" s="259" t="n"/>
      <c r="R14" s="259" t="n"/>
    </row>
    <row r="15">
      <c r="A15" s="100" t="inlineStr">
        <is>
          <t>Analysis of Leverage</t>
        </is>
      </c>
      <c r="B15" s="150" t="n"/>
      <c r="C15" s="150" t="n"/>
      <c r="D15" s="150" t="n"/>
      <c r="E15" s="258" t="n"/>
      <c r="F15" s="258" t="n"/>
      <c r="G15" s="259" t="n"/>
      <c r="H15" s="259" t="n"/>
      <c r="I15" s="259" t="n"/>
      <c r="J15" s="259" t="n"/>
      <c r="K15" s="259" t="n"/>
      <c r="L15" s="259" t="n"/>
      <c r="M15" s="259" t="n"/>
      <c r="N15" s="259" t="n"/>
      <c r="O15" s="259" t="n"/>
      <c r="P15" s="259" t="n"/>
      <c r="Q15" s="259" t="n"/>
      <c r="R15" s="259" t="n"/>
    </row>
    <row r="16">
      <c r="A16" s="239" t="inlineStr">
        <is>
          <t xml:space="preserve"> - Short-Term Liquidity</t>
        </is>
      </c>
      <c r="B16" s="150" t="n"/>
      <c r="C16" s="150" t="n"/>
      <c r="D16" s="150" t="n"/>
      <c r="E16" s="258" t="n"/>
      <c r="F16" s="258" t="n"/>
      <c r="G16" s="259" t="n"/>
      <c r="H16" s="259" t="n"/>
      <c r="I16" s="259" t="n"/>
      <c r="J16" s="259" t="n"/>
      <c r="K16" s="259" t="n"/>
      <c r="L16" s="259" t="n"/>
      <c r="M16" s="259" t="n"/>
      <c r="N16" s="259" t="n"/>
      <c r="O16" s="259" t="n"/>
      <c r="P16" s="259" t="n"/>
      <c r="Q16" s="259" t="n"/>
      <c r="R16" s="259" t="n"/>
    </row>
    <row r="17">
      <c r="A17" t="inlineStr">
        <is>
          <t>Current Ratio</t>
        </is>
      </c>
      <c r="B17" s="258">
        <f>'Financial Statements'!B37/'Financial Statements'!B48</f>
        <v/>
      </c>
      <c r="C17" s="258">
        <f>'Financial Statements'!C37/'Financial Statements'!C48</f>
        <v/>
      </c>
      <c r="D17" s="258">
        <f>'Financial Statements'!D37/'Financial Statements'!D48</f>
        <v/>
      </c>
      <c r="E17" s="258">
        <f>'Financial Statements'!E37/'Financial Statements'!E48</f>
        <v/>
      </c>
      <c r="F17" s="258">
        <f>'Financial Statements'!F37/'Financial Statements'!F48</f>
        <v/>
      </c>
      <c r="G17" s="259">
        <f>'Financial Statements'!G37/'Financial Statements'!G48</f>
        <v/>
      </c>
      <c r="H17" s="259">
        <f>'Financial Statements'!H37/'Financial Statements'!H48</f>
        <v/>
      </c>
      <c r="I17" s="259">
        <f>'Financial Statements'!I37/'Financial Statements'!I48</f>
        <v/>
      </c>
      <c r="J17" s="259">
        <f>'Financial Statements'!J37/'Financial Statements'!J48</f>
        <v/>
      </c>
      <c r="K17" s="259">
        <f>'Financial Statements'!K37/'Financial Statements'!K48</f>
        <v/>
      </c>
      <c r="L17" s="259">
        <f>'Financial Statements'!L37/'Financial Statements'!L48</f>
        <v/>
      </c>
      <c r="M17" s="259">
        <f>'Financial Statements'!M37/'Financial Statements'!M48</f>
        <v/>
      </c>
      <c r="N17" s="259">
        <f>'Financial Statements'!N37/'Financial Statements'!N48</f>
        <v/>
      </c>
      <c r="O17" s="259">
        <f>'Financial Statements'!O37/'Financial Statements'!O48</f>
        <v/>
      </c>
      <c r="P17" s="259">
        <f>'Financial Statements'!P37/'Financial Statements'!P48</f>
        <v/>
      </c>
      <c r="Q17" s="259">
        <f>'Financial Statements'!Q37/'Financial Statements'!Q48</f>
        <v/>
      </c>
      <c r="R17" s="259">
        <f>'Financial Statements'!R37/'Financial Statements'!R48</f>
        <v/>
      </c>
    </row>
    <row r="18">
      <c r="A18" t="inlineStr">
        <is>
          <t>Quick Ratio</t>
        </is>
      </c>
      <c r="B18" s="258">
        <f>('Financial Statements'!B33+'Financial Statements'!B34)/'Financial Statements'!B48</f>
        <v/>
      </c>
      <c r="C18" s="258">
        <f>('Financial Statements'!C33+'Financial Statements'!C34)/'Financial Statements'!C48</f>
        <v/>
      </c>
      <c r="D18" s="258">
        <f>('Financial Statements'!D33+'Financial Statements'!D34)/'Financial Statements'!D48</f>
        <v/>
      </c>
      <c r="E18" s="258">
        <f>('Financial Statements'!E33+'Financial Statements'!E34)/'Financial Statements'!E48</f>
        <v/>
      </c>
      <c r="F18" s="258">
        <f>('Financial Statements'!F33+'Financial Statements'!F34)/'Financial Statements'!F48</f>
        <v/>
      </c>
      <c r="G18" s="259">
        <f>('Financial Statements'!G33+'Financial Statements'!G34)/'Financial Statements'!G48</f>
        <v/>
      </c>
      <c r="H18" s="259">
        <f>('Financial Statements'!H33+'Financial Statements'!H34)/'Financial Statements'!H48</f>
        <v/>
      </c>
      <c r="I18" s="259">
        <f>('Financial Statements'!I33+'Financial Statements'!I34)/'Financial Statements'!I48</f>
        <v/>
      </c>
      <c r="J18" s="259">
        <f>('Financial Statements'!J33+'Financial Statements'!J34)/'Financial Statements'!J48</f>
        <v/>
      </c>
      <c r="K18" s="259">
        <f>('Financial Statements'!K33+'Financial Statements'!K34)/'Financial Statements'!K48</f>
        <v/>
      </c>
      <c r="L18" s="259">
        <f>('Financial Statements'!L33+'Financial Statements'!L34)/'Financial Statements'!L48</f>
        <v/>
      </c>
      <c r="M18" s="259">
        <f>('Financial Statements'!M33+'Financial Statements'!M34)/'Financial Statements'!M48</f>
        <v/>
      </c>
      <c r="N18" s="259">
        <f>('Financial Statements'!N33+'Financial Statements'!N34)/'Financial Statements'!N48</f>
        <v/>
      </c>
      <c r="O18" s="259">
        <f>('Financial Statements'!O33+'Financial Statements'!O34)/'Financial Statements'!O48</f>
        <v/>
      </c>
      <c r="P18" s="259">
        <f>('Financial Statements'!P33+'Financial Statements'!P34)/'Financial Statements'!P48</f>
        <v/>
      </c>
      <c r="Q18" s="259">
        <f>('Financial Statements'!Q33+'Financial Statements'!Q34)/'Financial Statements'!Q48</f>
        <v/>
      </c>
      <c r="R18" s="259">
        <f>('Financial Statements'!R33+'Financial Statements'!R34)/'Financial Statements'!R48</f>
        <v/>
      </c>
    </row>
    <row r="19">
      <c r="A19" t="inlineStr">
        <is>
          <t>EBIT Interest Coverage</t>
        </is>
      </c>
      <c r="B19" s="258">
        <f>-'Financial Statements'!B19/'Financial Statements'!B20</f>
        <v/>
      </c>
      <c r="C19" s="258">
        <f>-'Financial Statements'!C19/'Financial Statements'!C20</f>
        <v/>
      </c>
      <c r="D19" s="258">
        <f>-'Financial Statements'!D19/'Financial Statements'!D20</f>
        <v/>
      </c>
      <c r="E19" s="258">
        <f>-'Financial Statements'!E19/'Financial Statements'!E20</f>
        <v/>
      </c>
      <c r="F19" s="258">
        <f>-'Financial Statements'!F19/'Financial Statements'!F20</f>
        <v/>
      </c>
      <c r="G19" s="259">
        <f>-'Financial Statements'!G19/'Financial Statements'!G20</f>
        <v/>
      </c>
      <c r="H19" s="259">
        <f>-'Financial Statements'!H19/'Financial Statements'!H20</f>
        <v/>
      </c>
      <c r="I19" s="259">
        <f>-'Financial Statements'!I19/'Financial Statements'!I20</f>
        <v/>
      </c>
      <c r="J19" s="259">
        <f>-'Financial Statements'!J19/'Financial Statements'!J20</f>
        <v/>
      </c>
      <c r="K19" s="259">
        <f>-'Financial Statements'!K19/'Financial Statements'!K20</f>
        <v/>
      </c>
      <c r="L19" s="259">
        <f>-'Financial Statements'!L19/'Financial Statements'!L20</f>
        <v/>
      </c>
      <c r="M19" s="259">
        <f>-'Financial Statements'!M19/'Financial Statements'!M20</f>
        <v/>
      </c>
      <c r="N19" s="259">
        <f>-'Financial Statements'!N19/'Financial Statements'!N20</f>
        <v/>
      </c>
      <c r="O19" s="259">
        <f>-'Financial Statements'!O19/'Financial Statements'!O20</f>
        <v/>
      </c>
      <c r="P19" s="259">
        <f>-'Financial Statements'!P19/'Financial Statements'!P20</f>
        <v/>
      </c>
      <c r="Q19" s="259">
        <f>-'Financial Statements'!Q19/'Financial Statements'!Q20</f>
        <v/>
      </c>
      <c r="R19" s="259">
        <f>-'Financial Statements'!R19/'Financial Statements'!R20</f>
        <v/>
      </c>
    </row>
    <row r="20">
      <c r="A20" t="inlineStr">
        <is>
          <t>EBITDA Interest Coverage</t>
        </is>
      </c>
      <c r="B20" s="258">
        <f>-'Financial Statements'!B17/'Financial Statements'!B20</f>
        <v/>
      </c>
      <c r="C20" s="258">
        <f>-'Financial Statements'!C17/'Financial Statements'!C20</f>
        <v/>
      </c>
      <c r="D20" s="258">
        <f>-'Financial Statements'!D17/'Financial Statements'!D20</f>
        <v/>
      </c>
      <c r="E20" s="258">
        <f>-'Financial Statements'!E17/'Financial Statements'!E20</f>
        <v/>
      </c>
      <c r="F20" s="258">
        <f>-'Financial Statements'!F17/'Financial Statements'!F20</f>
        <v/>
      </c>
      <c r="G20" s="259">
        <f>-'Financial Statements'!G17/'Financial Statements'!G20</f>
        <v/>
      </c>
      <c r="H20" s="259">
        <f>-'Financial Statements'!H17/'Financial Statements'!H20</f>
        <v/>
      </c>
      <c r="I20" s="259">
        <f>-'Financial Statements'!I17/'Financial Statements'!I20</f>
        <v/>
      </c>
      <c r="J20" s="259">
        <f>-'Financial Statements'!J17/'Financial Statements'!J20</f>
        <v/>
      </c>
      <c r="K20" s="259">
        <f>-'Financial Statements'!K17/'Financial Statements'!K20</f>
        <v/>
      </c>
      <c r="L20" s="259">
        <f>-'Financial Statements'!L17/'Financial Statements'!L20</f>
        <v/>
      </c>
      <c r="M20" s="259">
        <f>-'Financial Statements'!M17/'Financial Statements'!M20</f>
        <v/>
      </c>
      <c r="N20" s="259">
        <f>-'Financial Statements'!N17/'Financial Statements'!N20</f>
        <v/>
      </c>
      <c r="O20" s="259">
        <f>-'Financial Statements'!O17/'Financial Statements'!O20</f>
        <v/>
      </c>
      <c r="P20" s="259">
        <f>-'Financial Statements'!P17/'Financial Statements'!P20</f>
        <v/>
      </c>
      <c r="Q20" s="259">
        <f>-'Financial Statements'!Q17/'Financial Statements'!Q20</f>
        <v/>
      </c>
      <c r="R20" s="259">
        <f>-'Financial Statements'!R17/'Financial Statements'!R20</f>
        <v/>
      </c>
    </row>
    <row r="21">
      <c r="B21" s="258" t="n"/>
      <c r="C21" s="258" t="n"/>
      <c r="G21" s="259" t="n"/>
      <c r="H21" s="259" t="n"/>
      <c r="I21" s="259" t="n"/>
      <c r="J21" s="259" t="n"/>
      <c r="K21" s="259" t="n"/>
      <c r="L21" s="259" t="n"/>
      <c r="M21" s="259" t="n"/>
      <c r="N21" s="259" t="n"/>
      <c r="O21" s="259" t="n"/>
      <c r="P21" s="259" t="n"/>
      <c r="Q21" s="259" t="n"/>
      <c r="R21" s="259" t="n"/>
    </row>
    <row r="22">
      <c r="A22" s="100" t="inlineStr">
        <is>
          <t>Analysis of Credit Risk</t>
        </is>
      </c>
      <c r="B22" s="258" t="n"/>
      <c r="C22" s="258" t="n"/>
      <c r="G22" s="259" t="n"/>
      <c r="H22" s="259" t="n"/>
      <c r="I22" s="259" t="n"/>
      <c r="J22" s="259" t="n"/>
      <c r="K22" s="259" t="n"/>
      <c r="L22" s="259" t="n"/>
      <c r="M22" s="259" t="n"/>
      <c r="N22" s="259" t="n"/>
      <c r="O22" s="259" t="n"/>
      <c r="P22" s="259" t="n"/>
      <c r="Q22" s="259" t="n"/>
      <c r="R22" s="259" t="n"/>
    </row>
    <row r="23">
      <c r="A23" t="inlineStr">
        <is>
          <t>Net Income to Total Assets</t>
        </is>
      </c>
      <c r="B23" s="261">
        <f>'Financial Statements'!B25/'Financial Statements'!B42</f>
        <v/>
      </c>
      <c r="C23" s="261">
        <f>'Financial Statements'!C25/'Financial Statements'!C42</f>
        <v/>
      </c>
      <c r="D23" s="261">
        <f>'Financial Statements'!D25/'Financial Statements'!D42</f>
        <v/>
      </c>
      <c r="E23" s="261">
        <f>'Financial Statements'!E25/'Financial Statements'!E42</f>
        <v/>
      </c>
      <c r="F23" s="261">
        <f>'Financial Statements'!F25/'Financial Statements'!F42</f>
        <v/>
      </c>
      <c r="G23" s="262">
        <f>'Financial Statements'!G25/'Financial Statements'!G42</f>
        <v/>
      </c>
      <c r="H23" s="262">
        <f>'Financial Statements'!H25/'Financial Statements'!H42</f>
        <v/>
      </c>
      <c r="I23" s="262">
        <f>'Financial Statements'!I25/'Financial Statements'!I42</f>
        <v/>
      </c>
      <c r="J23" s="262">
        <f>'Financial Statements'!J25/'Financial Statements'!J42</f>
        <v/>
      </c>
      <c r="K23" s="262">
        <f>'Financial Statements'!K25/'Financial Statements'!K42</f>
        <v/>
      </c>
      <c r="L23" s="262">
        <f>'Financial Statements'!L25/'Financial Statements'!L42</f>
        <v/>
      </c>
      <c r="M23" s="262">
        <f>'Financial Statements'!M25/'Financial Statements'!M42</f>
        <v/>
      </c>
      <c r="N23" s="262">
        <f>'Financial Statements'!N25/'Financial Statements'!N42</f>
        <v/>
      </c>
      <c r="O23" s="262">
        <f>'Financial Statements'!O25/'Financial Statements'!O42</f>
        <v/>
      </c>
      <c r="P23" s="262">
        <f>'Financial Statements'!P25/'Financial Statements'!P42</f>
        <v/>
      </c>
      <c r="Q23" s="262">
        <f>'Financial Statements'!Q25/'Financial Statements'!Q42</f>
        <v/>
      </c>
      <c r="R23" s="262">
        <f>'Financial Statements'!R25/'Financial Statements'!R42</f>
        <v/>
      </c>
    </row>
    <row r="24">
      <c r="A24" t="inlineStr">
        <is>
          <t xml:space="preserve">   implied default probability</t>
        </is>
      </c>
      <c r="B24" s="263">
        <f>IF(B23&lt;$C44,$B45,HLOOKUP(B23,$C44:$K45,2,TRUE))</f>
        <v/>
      </c>
      <c r="C24" s="263">
        <f>IF(C23&lt;$C44,$B45,HLOOKUP(C23,$C44:$K45,2,TRUE))</f>
        <v/>
      </c>
      <c r="D24" s="263">
        <f>IF(D23&lt;$C44,$B45,HLOOKUP(D23,$C44:$K45,2,TRUE))</f>
        <v/>
      </c>
      <c r="E24" s="263">
        <f>IF(E23&lt;$C44,$B45,HLOOKUP(E23,$C44:$K45,2,TRUE))</f>
        <v/>
      </c>
      <c r="F24" s="263">
        <f>IF(F23&lt;$C44,$B45,HLOOKUP(F23,$C44:$K45,2,TRUE))</f>
        <v/>
      </c>
      <c r="G24" s="264">
        <f>IF(G23&lt;$C44,$B45,HLOOKUP(G23,$C44:$K45,2,TRUE))</f>
        <v/>
      </c>
      <c r="H24" s="264">
        <f>IF(H23&lt;$C44,$B45,HLOOKUP(H23,$C44:$K45,2,TRUE))</f>
        <v/>
      </c>
      <c r="I24" s="264">
        <f>IF(I23&lt;$C44,$B45,HLOOKUP(I23,$C44:$K45,2,TRUE))</f>
        <v/>
      </c>
      <c r="J24" s="264">
        <f>IF(J23&lt;$C44,$B45,HLOOKUP(J23,$C44:$K45,2,TRUE))</f>
        <v/>
      </c>
      <c r="K24" s="264">
        <f>IF(K23&lt;$C44,$B45,HLOOKUP(K23,$C44:$K45,2,TRUE))</f>
        <v/>
      </c>
      <c r="L24" s="264">
        <f>IF(L23&lt;$C44,$B45,HLOOKUP(L23,$C44:$K45,2,TRUE))</f>
        <v/>
      </c>
      <c r="M24" s="264">
        <f>IF(M23&lt;$C44,$B45,HLOOKUP(M23,$C44:$K45,2,TRUE))</f>
        <v/>
      </c>
      <c r="N24" s="264">
        <f>IF(N23&lt;$C44,$B45,HLOOKUP(N23,$C44:$K45,2,TRUE))</f>
        <v/>
      </c>
      <c r="O24" s="264">
        <f>IF(O23&lt;$C44,$B45,HLOOKUP(O23,$C44:$K45,2,TRUE))</f>
        <v/>
      </c>
      <c r="P24" s="264">
        <f>IF(P23&lt;$C44,$B45,HLOOKUP(P23,$C44:$K45,2,TRUE))</f>
        <v/>
      </c>
      <c r="Q24" s="264">
        <f>IF(Q23&lt;$C44,$B45,HLOOKUP(Q23,$C44:$K45,2,TRUE))</f>
        <v/>
      </c>
      <c r="R24" s="264">
        <f>IF(R23&lt;$C44,$B45,HLOOKUP(R23,$C44:$K45,2,TRUE))</f>
        <v/>
      </c>
    </row>
    <row r="25">
      <c r="A25" t="inlineStr">
        <is>
          <t>Total Liabilities to Total Assets</t>
        </is>
      </c>
      <c r="B25" s="261">
        <f>'Financial Statements'!B52/'Financial Statements'!B42</f>
        <v/>
      </c>
      <c r="C25" s="261">
        <f>'Financial Statements'!C52/'Financial Statements'!C42</f>
        <v/>
      </c>
      <c r="D25" s="261">
        <f>'Financial Statements'!D52/'Financial Statements'!D42</f>
        <v/>
      </c>
      <c r="E25" s="261">
        <f>'Financial Statements'!E52/'Financial Statements'!E42</f>
        <v/>
      </c>
      <c r="F25" s="261">
        <f>'Financial Statements'!F52/'Financial Statements'!F42</f>
        <v/>
      </c>
      <c r="G25" s="262">
        <f>'Financial Statements'!G52/'Financial Statements'!G42</f>
        <v/>
      </c>
      <c r="H25" s="262">
        <f>'Financial Statements'!H52/'Financial Statements'!H42</f>
        <v/>
      </c>
      <c r="I25" s="262">
        <f>'Financial Statements'!I52/'Financial Statements'!I42</f>
        <v/>
      </c>
      <c r="J25" s="262">
        <f>'Financial Statements'!J52/'Financial Statements'!J42</f>
        <v/>
      </c>
      <c r="K25" s="262">
        <f>'Financial Statements'!K52/'Financial Statements'!K42</f>
        <v/>
      </c>
      <c r="L25" s="262">
        <f>'Financial Statements'!L52/'Financial Statements'!L42</f>
        <v/>
      </c>
      <c r="M25" s="262">
        <f>'Financial Statements'!M52/'Financial Statements'!M42</f>
        <v/>
      </c>
      <c r="N25" s="262">
        <f>'Financial Statements'!N52/'Financial Statements'!N42</f>
        <v/>
      </c>
      <c r="O25" s="262">
        <f>'Financial Statements'!O52/'Financial Statements'!O42</f>
        <v/>
      </c>
      <c r="P25" s="262">
        <f>'Financial Statements'!P52/'Financial Statements'!P42</f>
        <v/>
      </c>
      <c r="Q25" s="262">
        <f>'Financial Statements'!Q52/'Financial Statements'!Q42</f>
        <v/>
      </c>
      <c r="R25" s="262">
        <f>'Financial Statements'!R52/'Financial Statements'!R42</f>
        <v/>
      </c>
    </row>
    <row r="26">
      <c r="A26" t="inlineStr">
        <is>
          <t xml:space="preserve">   implied default probability</t>
        </is>
      </c>
      <c r="B26" s="263">
        <f>IF(B25&lt;$C46,$B47,HLOOKUP(B25,$C46:$K47,2,TRUE))</f>
        <v/>
      </c>
      <c r="C26" s="263">
        <f>IF(C25&lt;$C46,$B47,HLOOKUP(C25,$C46:$K47,2,TRUE))</f>
        <v/>
      </c>
      <c r="D26" s="263">
        <f>IF(D25&lt;$C46,$B47,HLOOKUP(D25,$C46:$K47,2,TRUE))</f>
        <v/>
      </c>
      <c r="E26" s="263">
        <f>IF(E25&lt;$C46,$B47,HLOOKUP(E25,$C46:$K47,2,TRUE))</f>
        <v/>
      </c>
      <c r="F26" s="263">
        <f>IF(F25&lt;$C46,$B47,HLOOKUP(F25,$C46:$K47,2,TRUE))</f>
        <v/>
      </c>
      <c r="G26" s="264">
        <f>IF(G25&lt;$C46,$B47,HLOOKUP(G25,$C46:$K47,2,TRUE))</f>
        <v/>
      </c>
      <c r="H26" s="264">
        <f>IF(H25&lt;$C46,$B47,HLOOKUP(H25,$C46:$K47,2,TRUE))</f>
        <v/>
      </c>
      <c r="I26" s="264">
        <f>IF(I25&lt;$C46,$B47,HLOOKUP(I25,$C46:$K47,2,TRUE))</f>
        <v/>
      </c>
      <c r="J26" s="264">
        <f>IF(J25&lt;$C46,$B47,HLOOKUP(J25,$C46:$K47,2,TRUE))</f>
        <v/>
      </c>
      <c r="K26" s="264">
        <f>IF(K25&lt;$C46,$B47,HLOOKUP(K25,$C46:$K47,2,TRUE))</f>
        <v/>
      </c>
      <c r="L26" s="264">
        <f>IF(L25&lt;$C46,$B47,HLOOKUP(L25,$C46:$K47,2,TRUE))</f>
        <v/>
      </c>
      <c r="M26" s="264">
        <f>IF(M25&lt;$C46,$B47,HLOOKUP(M25,$C46:$K47,2,TRUE))</f>
        <v/>
      </c>
      <c r="N26" s="264">
        <f>IF(N25&lt;$C46,$B47,HLOOKUP(N25,$C46:$K47,2,TRUE))</f>
        <v/>
      </c>
      <c r="O26" s="264">
        <f>IF(O25&lt;$C46,$B47,HLOOKUP(O25,$C46:$K47,2,TRUE))</f>
        <v/>
      </c>
      <c r="P26" s="264">
        <f>IF(P25&lt;$C46,$B47,HLOOKUP(P25,$C46:$K47,2,TRUE))</f>
        <v/>
      </c>
      <c r="Q26" s="264">
        <f>IF(Q25&lt;$C46,$B47,HLOOKUP(Q25,$C46:$K47,2,TRUE))</f>
        <v/>
      </c>
      <c r="R26" s="264">
        <f>IF(R25&lt;$C46,$B47,HLOOKUP(R25,$C46:$K47,2,TRUE))</f>
        <v/>
      </c>
    </row>
    <row r="27">
      <c r="A27" t="inlineStr">
        <is>
          <t>Quick Ratio</t>
        </is>
      </c>
      <c r="B27" s="258">
        <f>B18</f>
        <v/>
      </c>
      <c r="C27" s="258">
        <f>C18</f>
        <v/>
      </c>
      <c r="D27" s="258">
        <f>D18</f>
        <v/>
      </c>
      <c r="E27" s="258">
        <f>E18</f>
        <v/>
      </c>
      <c r="F27" s="258">
        <f>F18</f>
        <v/>
      </c>
      <c r="G27" s="259">
        <f>G18</f>
        <v/>
      </c>
      <c r="H27" s="259">
        <f>H18</f>
        <v/>
      </c>
      <c r="I27" s="259">
        <f>I18</f>
        <v/>
      </c>
      <c r="J27" s="259">
        <f>J18</f>
        <v/>
      </c>
      <c r="K27" s="259">
        <f>K18</f>
        <v/>
      </c>
      <c r="L27" s="259">
        <f>L18</f>
        <v/>
      </c>
      <c r="M27" s="259">
        <f>M18</f>
        <v/>
      </c>
      <c r="N27" s="259">
        <f>N18</f>
        <v/>
      </c>
      <c r="O27" s="259">
        <f>O18</f>
        <v/>
      </c>
      <c r="P27" s="259">
        <f>P18</f>
        <v/>
      </c>
      <c r="Q27" s="259">
        <f>Q18</f>
        <v/>
      </c>
      <c r="R27" s="259">
        <f>R18</f>
        <v/>
      </c>
    </row>
    <row r="28">
      <c r="A28" t="inlineStr">
        <is>
          <t xml:space="preserve">   implied default probability</t>
        </is>
      </c>
      <c r="B28" s="263">
        <f>IF(B27&lt;$C48,$B49,HLOOKUP(B27,$C48:$K49,2,TRUE))</f>
        <v/>
      </c>
      <c r="C28" s="263">
        <f>IF(C27&lt;$C48,$B49,HLOOKUP(C27,$C48:$K49,2,TRUE))</f>
        <v/>
      </c>
      <c r="D28" s="263">
        <f>IF(D27&lt;$C48,$B49,HLOOKUP(D27,$C48:$K49,2,TRUE))</f>
        <v/>
      </c>
      <c r="E28" s="263">
        <f>IF(E27&lt;$C48,$B49,HLOOKUP(E27,$C48:$K49,2,TRUE))</f>
        <v/>
      </c>
      <c r="F28" s="263">
        <f>IF(F27&lt;$C48,$B49,HLOOKUP(F27,$C48:$K49,2,TRUE))</f>
        <v/>
      </c>
      <c r="G28" s="257">
        <f>IF(G27&lt;$C48,$B49,HLOOKUP(G27,$C48:$K49,2,TRUE))</f>
        <v/>
      </c>
      <c r="H28" s="257">
        <f>IF(H27&lt;$C48,$B49,HLOOKUP(H27,$C48:$K49,2,TRUE))</f>
        <v/>
      </c>
      <c r="I28" s="257">
        <f>IF(I27&lt;$C48,$B49,HLOOKUP(I27,$C48:$K49,2,TRUE))</f>
        <v/>
      </c>
      <c r="J28" s="257">
        <f>IF(J27&lt;$C48,$B49,HLOOKUP(J27,$C48:$K49,2,TRUE))</f>
        <v/>
      </c>
      <c r="K28" s="257">
        <f>IF(K27&lt;$C48,$B49,HLOOKUP(K27,$C48:$K49,2,TRUE))</f>
        <v/>
      </c>
      <c r="L28" s="257">
        <f>IF(L27&lt;$C48,$B49,HLOOKUP(L27,$C48:$K49,2,TRUE))</f>
        <v/>
      </c>
      <c r="M28" s="257">
        <f>IF(M27&lt;$C48,$B49,HLOOKUP(M27,$C48:$K49,2,TRUE))</f>
        <v/>
      </c>
      <c r="N28" s="257">
        <f>IF(N27&lt;$C48,$B49,HLOOKUP(N27,$C48:$K49,2,TRUE))</f>
        <v/>
      </c>
      <c r="O28" s="257">
        <f>IF(O27&lt;$C48,$B49,HLOOKUP(O27,$C48:$K49,2,TRUE))</f>
        <v/>
      </c>
      <c r="P28" s="257">
        <f>IF(P27&lt;$C48,$B49,HLOOKUP(P27,$C48:$K49,2,TRUE))</f>
        <v/>
      </c>
      <c r="Q28" s="257">
        <f>IF(Q27&lt;$C48,$B49,HLOOKUP(Q27,$C48:$K49,2,TRUE))</f>
        <v/>
      </c>
      <c r="R28" s="257">
        <f>IF(R27&lt;$C48,$B49,HLOOKUP(R27,$C48:$K49,2,TRUE))</f>
        <v/>
      </c>
    </row>
    <row r="29">
      <c r="A29" t="inlineStr">
        <is>
          <t>EBIT to Interest Expense</t>
        </is>
      </c>
      <c r="B29" s="265">
        <f>B19</f>
        <v/>
      </c>
      <c r="C29" s="265">
        <f>C19</f>
        <v/>
      </c>
      <c r="D29" s="265">
        <f>D19</f>
        <v/>
      </c>
      <c r="E29" s="265">
        <f>E19</f>
        <v/>
      </c>
      <c r="F29" s="265">
        <f>F19</f>
        <v/>
      </c>
      <c r="G29" s="266">
        <f>G19</f>
        <v/>
      </c>
      <c r="H29" s="266">
        <f>H19</f>
        <v/>
      </c>
      <c r="I29" s="266">
        <f>I19</f>
        <v/>
      </c>
      <c r="J29" s="266">
        <f>J19</f>
        <v/>
      </c>
      <c r="K29" s="266">
        <f>K19</f>
        <v/>
      </c>
      <c r="L29" s="266">
        <f>L19</f>
        <v/>
      </c>
      <c r="M29" s="266">
        <f>M19</f>
        <v/>
      </c>
      <c r="N29" s="266">
        <f>N19</f>
        <v/>
      </c>
      <c r="O29" s="266">
        <f>O19</f>
        <v/>
      </c>
      <c r="P29" s="266">
        <f>P19</f>
        <v/>
      </c>
      <c r="Q29" s="266">
        <f>Q19</f>
        <v/>
      </c>
      <c r="R29" s="266">
        <f>R19</f>
        <v/>
      </c>
    </row>
    <row r="30">
      <c r="A30" t="inlineStr">
        <is>
          <t xml:space="preserve">   implied default probability</t>
        </is>
      </c>
      <c r="B30" s="263">
        <f>IF(B29&lt;$C50,$B51,HLOOKUP(B29,$C50:$K51,2,TRUE))</f>
        <v/>
      </c>
      <c r="C30" s="263">
        <f>IF(C29&lt;$C50,$B51,HLOOKUP(C29,$C50:$K51,2,TRUE))</f>
        <v/>
      </c>
      <c r="D30" s="263">
        <f>IF(D29&lt;$C50,$B51,HLOOKUP(D29,$C50:$K51,2,TRUE))</f>
        <v/>
      </c>
      <c r="E30" s="263">
        <f>IF(E29&lt;$C50,$B51,HLOOKUP(E29,$C50:$K51,2,TRUE))</f>
        <v/>
      </c>
      <c r="F30" s="263">
        <f>IF(F29&lt;$C50,$B51,HLOOKUP(F29,$C50:$K51,2,TRUE))</f>
        <v/>
      </c>
      <c r="G30" s="257">
        <f>IF(G29&lt;$C50,$B51,HLOOKUP(G29,$C50:$K51,2,TRUE))</f>
        <v/>
      </c>
      <c r="H30" s="257">
        <f>IF(H29&lt;$C50,$B51,HLOOKUP(H29,$C50:$K51,2,TRUE))</f>
        <v/>
      </c>
      <c r="I30" s="257">
        <f>IF(I29&lt;$C50,$B51,HLOOKUP(I29,$C50:$K51,2,TRUE))</f>
        <v/>
      </c>
      <c r="J30" s="257">
        <f>IF(J29&lt;$C50,$B51,HLOOKUP(J29,$C50:$K51,2,TRUE))</f>
        <v/>
      </c>
      <c r="K30" s="257">
        <f>IF(K29&lt;$C50,$B51,HLOOKUP(K29,$C50:$K51,2,TRUE))</f>
        <v/>
      </c>
      <c r="L30" s="257">
        <f>IF(L29&lt;$C50,$B51,HLOOKUP(L29,$C50:$K51,2,TRUE))</f>
        <v/>
      </c>
      <c r="M30" s="257">
        <f>IF(M29&lt;$C50,$B51,HLOOKUP(M29,$C50:$K51,2,TRUE))</f>
        <v/>
      </c>
      <c r="N30" s="257">
        <f>IF(N29&lt;$C50,$B51,HLOOKUP(N29,$C50:$K51,2,TRUE))</f>
        <v/>
      </c>
      <c r="O30" s="257">
        <f>IF(O29&lt;$C50,$B51,HLOOKUP(O29,$C50:$K51,2,TRUE))</f>
        <v/>
      </c>
      <c r="P30" s="257">
        <f>IF(P29&lt;$C50,$B51,HLOOKUP(P29,$C50:$K51,2,TRUE))</f>
        <v/>
      </c>
      <c r="Q30" s="257">
        <f>IF(Q29&lt;$C50,$B51,HLOOKUP(Q29,$C50:$K51,2,TRUE))</f>
        <v/>
      </c>
      <c r="R30" s="257">
        <f>IF(R29&lt;$C50,$B51,HLOOKUP(R29,$C50:$K51,2,TRUE))</f>
        <v/>
      </c>
    </row>
    <row r="31">
      <c r="A31" t="inlineStr">
        <is>
          <t>Inventory Holding Period</t>
        </is>
      </c>
      <c r="B31" s="169">
        <f>-365*'Financial Statements'!B35/'Financial Statements'!B13</f>
        <v/>
      </c>
      <c r="C31" s="169">
        <f>-365*'Financial Statements'!C35/'Financial Statements'!C13</f>
        <v/>
      </c>
      <c r="D31" s="169">
        <f>-365*'Financial Statements'!D35/'Financial Statements'!D13</f>
        <v/>
      </c>
      <c r="E31" s="169">
        <f>-365*'Financial Statements'!E35/'Financial Statements'!E13</f>
        <v/>
      </c>
      <c r="F31" s="169">
        <f>-365*'Financial Statements'!F35/'Financial Statements'!F13</f>
        <v/>
      </c>
      <c r="G31" s="181">
        <f>-365*'Financial Statements'!G35/'Financial Statements'!G13</f>
        <v/>
      </c>
      <c r="H31" s="181">
        <f>-365*'Financial Statements'!H35/'Financial Statements'!H13</f>
        <v/>
      </c>
      <c r="I31" s="181">
        <f>-365*'Financial Statements'!I35/'Financial Statements'!I13</f>
        <v/>
      </c>
      <c r="J31" s="181">
        <f>-365*'Financial Statements'!J35/'Financial Statements'!J13</f>
        <v/>
      </c>
      <c r="K31" s="181">
        <f>-365*'Financial Statements'!K35/'Financial Statements'!K13</f>
        <v/>
      </c>
      <c r="L31" s="181">
        <f>-365*'Financial Statements'!L35/'Financial Statements'!L13</f>
        <v/>
      </c>
      <c r="M31" s="181">
        <f>-365*'Financial Statements'!M35/'Financial Statements'!M13</f>
        <v/>
      </c>
      <c r="N31" s="181">
        <f>-365*'Financial Statements'!N35/'Financial Statements'!N13</f>
        <v/>
      </c>
      <c r="O31" s="181">
        <f>-365*'Financial Statements'!O35/'Financial Statements'!O13</f>
        <v/>
      </c>
      <c r="P31" s="181">
        <f>-365*'Financial Statements'!P35/'Financial Statements'!P13</f>
        <v/>
      </c>
      <c r="Q31" s="181">
        <f>-365*'Financial Statements'!Q35/'Financial Statements'!Q13</f>
        <v/>
      </c>
      <c r="R31" s="181">
        <f>-365*'Financial Statements'!R35/'Financial Statements'!R13</f>
        <v/>
      </c>
    </row>
    <row r="32">
      <c r="A32" t="inlineStr">
        <is>
          <t xml:space="preserve">   implied default probability</t>
        </is>
      </c>
      <c r="B32" s="263">
        <f>IF(B31&lt;$C52,$B53,HLOOKUP(B31,$C52:$K53,2,TRUE))</f>
        <v/>
      </c>
      <c r="C32" s="263">
        <f>IF(C31&lt;$C52,$B53,HLOOKUP(C31,$C52:$K53,2,TRUE))</f>
        <v/>
      </c>
      <c r="D32" s="263">
        <f>IF(D31&lt;$C52,$B53,HLOOKUP(D31,$C52:$K53,2,TRUE))</f>
        <v/>
      </c>
      <c r="E32" s="263">
        <f>IF(E31&lt;$C52,$B53,HLOOKUP(E31,$C52:$K53,2,TRUE))</f>
        <v/>
      </c>
      <c r="F32" s="263">
        <f>IF(F31&lt;$C52,$B53,HLOOKUP(F31,$C52:$K53,2,TRUE))</f>
        <v/>
      </c>
      <c r="G32" s="257">
        <f>IF(G31&lt;$C52,$B53,HLOOKUP(G31,$C52:$K53,2,TRUE))</f>
        <v/>
      </c>
      <c r="H32" s="257">
        <f>IF(H31&lt;$C52,$B53,HLOOKUP(H31,$C52:$K53,2,TRUE))</f>
        <v/>
      </c>
      <c r="I32" s="257">
        <f>IF(I31&lt;$C52,$B53,HLOOKUP(I31,$C52:$K53,2,TRUE))</f>
        <v/>
      </c>
      <c r="J32" s="257">
        <f>IF(J31&lt;$C52,$B53,HLOOKUP(J31,$C52:$K53,2,TRUE))</f>
        <v/>
      </c>
      <c r="K32" s="257">
        <f>IF(K31&lt;$C52,$B53,HLOOKUP(K31,$C52:$K53,2,TRUE))</f>
        <v/>
      </c>
      <c r="L32" s="257">
        <f>IF(L31&lt;$C52,$B53,HLOOKUP(L31,$C52:$K53,2,TRUE))</f>
        <v/>
      </c>
      <c r="M32" s="257">
        <f>IF(M31&lt;$C52,$B53,HLOOKUP(M31,$C52:$K53,2,TRUE))</f>
        <v/>
      </c>
      <c r="N32" s="257">
        <f>IF(N31&lt;$C52,$B53,HLOOKUP(N31,$C52:$K53,2,TRUE))</f>
        <v/>
      </c>
      <c r="O32" s="257">
        <f>IF(O31&lt;$C52,$B53,HLOOKUP(O31,$C52:$K53,2,TRUE))</f>
        <v/>
      </c>
      <c r="P32" s="257">
        <f>IF(P31&lt;$C52,$B53,HLOOKUP(P31,$C52:$K53,2,TRUE))</f>
        <v/>
      </c>
      <c r="Q32" s="257">
        <f>IF(Q31&lt;$C52,$B53,HLOOKUP(Q31,$C52:$K53,2,TRUE))</f>
        <v/>
      </c>
      <c r="R32" s="257">
        <f>IF(R31&lt;$C52,$B53,HLOOKUP(R31,$C52:$K53,2,TRUE))</f>
        <v/>
      </c>
    </row>
    <row r="33">
      <c r="A33" t="inlineStr">
        <is>
          <t>Annual Sales Growth</t>
        </is>
      </c>
      <c r="B33" s="256">
        <f>'Ratio Analysis'!B10</f>
        <v/>
      </c>
      <c r="C33" s="256">
        <f>'Ratio Analysis'!C10</f>
        <v/>
      </c>
      <c r="D33" s="256">
        <f>'Ratio Analysis'!D10</f>
        <v/>
      </c>
      <c r="E33" s="256">
        <f>'Ratio Analysis'!E10</f>
        <v/>
      </c>
      <c r="F33" s="256">
        <f>'Ratio Analysis'!F10</f>
        <v/>
      </c>
      <c r="G33" s="257">
        <f>'Ratio Analysis'!G10</f>
        <v/>
      </c>
      <c r="H33" s="257">
        <f>'Ratio Analysis'!H10</f>
        <v/>
      </c>
      <c r="I33" s="257">
        <f>'Ratio Analysis'!I10</f>
        <v/>
      </c>
      <c r="J33" s="257">
        <f>'Ratio Analysis'!J10</f>
        <v/>
      </c>
      <c r="K33" s="257">
        <f>'Ratio Analysis'!K10</f>
        <v/>
      </c>
      <c r="L33" s="257">
        <f>'Ratio Analysis'!L10</f>
        <v/>
      </c>
      <c r="M33" s="257">
        <f>'Ratio Analysis'!M10</f>
        <v/>
      </c>
      <c r="N33" s="257">
        <f>'Ratio Analysis'!N10</f>
        <v/>
      </c>
      <c r="O33" s="257">
        <f>'Ratio Analysis'!O10</f>
        <v/>
      </c>
      <c r="P33" s="257">
        <f>'Ratio Analysis'!P10</f>
        <v/>
      </c>
      <c r="Q33" s="257">
        <f>'Ratio Analysis'!Q10</f>
        <v/>
      </c>
      <c r="R33" s="257">
        <f>'Ratio Analysis'!R10</f>
        <v/>
      </c>
    </row>
    <row r="34">
      <c r="A34" t="inlineStr">
        <is>
          <t xml:space="preserve">   implied default probability</t>
        </is>
      </c>
      <c r="B34" s="263">
        <f>IF(B33&lt;$C54,$B55,HLOOKUP(B33,$C54:$K55,2,TRUE))</f>
        <v/>
      </c>
      <c r="C34" s="263">
        <f>IF(C33&lt;$C54,$B55,HLOOKUP(C33,$C54:$K55,2,TRUE))</f>
        <v/>
      </c>
      <c r="D34" s="263">
        <f>IF(D33&lt;$C54,$B55,HLOOKUP(D33,$C54:$K55,2,TRUE))</f>
        <v/>
      </c>
      <c r="E34" s="263">
        <f>IF(E33&lt;$C54,$B55,HLOOKUP(E33,$C54:$K55,2,TRUE))</f>
        <v/>
      </c>
      <c r="F34" s="263">
        <f>IF(F33&lt;$C54,$B55,HLOOKUP(F33,$C54:$K55,2,TRUE))</f>
        <v/>
      </c>
      <c r="G34" s="257">
        <f>IF(G33&lt;$C54,$B55,HLOOKUP(G33,$C54:$K55,2,TRUE))</f>
        <v/>
      </c>
      <c r="H34" s="257">
        <f>IF(H33&lt;$C54,$B55,HLOOKUP(H33,$C54:$K55,2,TRUE))</f>
        <v/>
      </c>
      <c r="I34" s="257">
        <f>IF(I33&lt;$C54,$B55,HLOOKUP(I33,$C54:$K55,2,TRUE))</f>
        <v/>
      </c>
      <c r="J34" s="257">
        <f>IF(J33&lt;$C54,$B55,HLOOKUP(J33,$C54:$K55,2,TRUE))</f>
        <v/>
      </c>
      <c r="K34" s="257">
        <f>IF(K33&lt;$C54,$B55,HLOOKUP(K33,$C54:$K55,2,TRUE))</f>
        <v/>
      </c>
      <c r="L34" s="257">
        <f>IF(L33&lt;$C54,$B55,HLOOKUP(L33,$C54:$K55,2,TRUE))</f>
        <v/>
      </c>
      <c r="M34" s="257">
        <f>IF(M33&lt;$C54,$B55,HLOOKUP(M33,$C54:$K55,2,TRUE))</f>
        <v/>
      </c>
      <c r="N34" s="257">
        <f>IF(N33&lt;$C54,$B55,HLOOKUP(N33,$C54:$K55,2,TRUE))</f>
        <v/>
      </c>
      <c r="O34" s="257">
        <f>IF(O33&lt;$C54,$B55,HLOOKUP(O33,$C54:$K55,2,TRUE))</f>
        <v/>
      </c>
      <c r="P34" s="257">
        <f>IF(P33&lt;$C54,$B55,HLOOKUP(P33,$C54:$K55,2,TRUE))</f>
        <v/>
      </c>
      <c r="Q34" s="257">
        <f>IF(Q33&lt;$C54,$B55,HLOOKUP(Q33,$C54:$K55,2,TRUE))</f>
        <v/>
      </c>
      <c r="R34" s="257">
        <f>IF(R33&lt;$C54,$B55,HLOOKUP(R33,$C54:$K55,2,TRUE))</f>
        <v/>
      </c>
    </row>
    <row r="35">
      <c r="A35" t="inlineStr">
        <is>
          <t>Average Implied Default Probability</t>
        </is>
      </c>
      <c r="B35" s="256">
        <f>AVERAGE(B24,B26,B28,B30,B32,B34)</f>
        <v/>
      </c>
      <c r="C35" s="256">
        <f>AVERAGE(C24,C26,C28,C30,C32,C34)</f>
        <v/>
      </c>
      <c r="D35" s="256">
        <f>AVERAGE(D24,D26,D28,D30,D32,D34)</f>
        <v/>
      </c>
      <c r="E35" s="256">
        <f>AVERAGE(E24,E26,E28,E30,E32,E34)</f>
        <v/>
      </c>
      <c r="F35" s="256">
        <f>AVERAGE(F24,F26,F28,F30,F32,F34)</f>
        <v/>
      </c>
      <c r="G35" s="257">
        <f>AVERAGE(G24,G26,G28,G30,G32,G34)</f>
        <v/>
      </c>
      <c r="H35" s="257">
        <f>AVERAGE(H24,H26,H28,H30,H32,H34)</f>
        <v/>
      </c>
      <c r="I35" s="257">
        <f>AVERAGE(I24,I26,I28,I30,I32,I34)</f>
        <v/>
      </c>
      <c r="J35" s="257">
        <f>AVERAGE(J24,J26,J28,J30,J32,J34)</f>
        <v/>
      </c>
      <c r="K35" s="257">
        <f>AVERAGE(K24,K26,K28,K30,K32,K34)</f>
        <v/>
      </c>
      <c r="L35" s="257">
        <f>AVERAGE(L24,L26,L28,L30,L32,L34)</f>
        <v/>
      </c>
      <c r="M35" s="257">
        <f>AVERAGE(M24,M26,M28,M30,M32,M34)</f>
        <v/>
      </c>
      <c r="N35" s="257">
        <f>AVERAGE(N24,N26,N28,N30,N32,N34)</f>
        <v/>
      </c>
      <c r="O35" s="257">
        <f>AVERAGE(O24,O26,O28,O30,O32,O34)</f>
        <v/>
      </c>
      <c r="P35" s="257">
        <f>AVERAGE(P24,P26,P28,P30,P32,P34)</f>
        <v/>
      </c>
      <c r="Q35" s="257">
        <f>AVERAGE(Q24,Q26,Q28,Q30,Q32,Q34)</f>
        <v/>
      </c>
      <c r="R35" s="257">
        <f>AVERAGE(R24,R26,R28,R30,R32,R34)</f>
        <v/>
      </c>
    </row>
    <row r="36">
      <c r="B36" s="256" t="n"/>
      <c r="C36" s="256" t="n"/>
      <c r="D36" s="256" t="n"/>
      <c r="E36" s="256" t="n"/>
      <c r="F36" s="256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</row>
    <row r="37" customFormat="1" s="195">
      <c r="A37" s="195" t="inlineStr">
        <is>
          <t>Fiscal Year</t>
        </is>
      </c>
      <c r="B37" s="170">
        <f>IF(MONTH(B7)&gt;6,YEAR(B7),YEAR(B7)-1)</f>
        <v/>
      </c>
      <c r="C37" s="170">
        <f>IF(MONTH(C7)&gt;6,YEAR(C7),YEAR(C7)-1)</f>
        <v/>
      </c>
      <c r="D37" s="170">
        <f>IF(MONTH(D7)&gt;6,YEAR(D7),YEAR(D7)-1)</f>
        <v/>
      </c>
      <c r="E37" s="170">
        <f>IF(MONTH(E7)&gt;6,YEAR(E7),YEAR(E7)-1)</f>
        <v/>
      </c>
      <c r="F37" s="170">
        <f>IF(MONTH(F7)&gt;6,YEAR(F7),YEAR(F7)-1)</f>
        <v/>
      </c>
      <c r="G37" s="195">
        <f>IF(MONTH(G7)&gt;6,YEAR(G7),YEAR(G7)-1)</f>
        <v/>
      </c>
      <c r="H37" s="195">
        <f>IF(MONTH(H7)&gt;6,YEAR(H7),YEAR(H7)-1)</f>
        <v/>
      </c>
      <c r="I37" s="195">
        <f>IF(MONTH(I7)&gt;6,YEAR(I7),YEAR(I7)-1)</f>
        <v/>
      </c>
      <c r="J37" s="195">
        <f>IF(MONTH(J7)&gt;6,YEAR(J7),YEAR(J7)-1)</f>
        <v/>
      </c>
      <c r="K37" s="195">
        <f>IF(MONTH(K7)&gt;6,YEAR(K7),YEAR(K7)-1)</f>
        <v/>
      </c>
      <c r="L37" s="195">
        <f>IF(MONTH(L7)&gt;6,YEAR(L7),YEAR(L7)-1)</f>
        <v/>
      </c>
      <c r="M37" s="195">
        <f>IF(MONTH(M7)&gt;6,YEAR(M7),YEAR(M7)-1)</f>
        <v/>
      </c>
      <c r="N37" s="195">
        <f>IF(MONTH(N7)&gt;6,YEAR(N7),YEAR(N7)-1)</f>
        <v/>
      </c>
      <c r="O37" s="195">
        <f>IF(MONTH(O7)&gt;6,YEAR(O7),YEAR(O7)-1)</f>
        <v/>
      </c>
      <c r="P37" s="195">
        <f>IF(MONTH(P7)&gt;6,YEAR(P7),YEAR(P7)-1)</f>
        <v/>
      </c>
      <c r="Q37" s="195">
        <f>IF(MONTH(Q7)&gt;6,YEAR(Q7),YEAR(Q7)-1)</f>
        <v/>
      </c>
      <c r="R37" s="195">
        <f>IF(MONTH(R7)&gt;6,YEAR(R7),YEAR(R7)-1)</f>
        <v/>
      </c>
    </row>
    <row r="38" ht="15.95" customHeight="1" s="16">
      <c r="B38" s="61" t="n"/>
      <c r="C38" s="61" t="n"/>
      <c r="D38" s="61" t="n"/>
      <c r="E38" s="61" t="n"/>
      <c r="F38" s="61" t="n"/>
    </row>
    <row r="39" ht="15.95" customHeight="1" s="16">
      <c r="A39" s="171" t="inlineStr">
        <is>
          <t>Default Probability Color  Scale</t>
        </is>
      </c>
      <c r="B39" s="172" t="inlineStr">
        <is>
          <t>Low</t>
        </is>
      </c>
      <c r="C39" s="173" t="inlineStr">
        <is>
          <t>Medium</t>
        </is>
      </c>
      <c r="D39" s="174" t="inlineStr">
        <is>
          <t>High</t>
        </is>
      </c>
      <c r="E39" s="61" t="n"/>
      <c r="F39" s="61" t="n"/>
    </row>
    <row r="40">
      <c r="B40" s="61" t="n"/>
      <c r="C40" s="61" t="n"/>
      <c r="D40" s="61" t="n"/>
      <c r="E40" s="61" t="n"/>
      <c r="F40" s="61" t="n"/>
    </row>
    <row r="41">
      <c r="B41" s="61" t="n"/>
      <c r="C41" s="61" t="n"/>
      <c r="D41" s="61" t="n"/>
      <c r="E41" s="61" t="n"/>
      <c r="F41" s="61" t="n"/>
    </row>
    <row r="42">
      <c r="B42" s="61" t="n"/>
      <c r="C42" s="61" t="n"/>
      <c r="D42" s="61" t="n"/>
      <c r="E42" s="61" t="n"/>
      <c r="F42" s="61" t="n"/>
    </row>
    <row r="43">
      <c r="A43" s="17" t="inlineStr">
        <is>
          <t>Lookup Table of default probability</t>
        </is>
      </c>
      <c r="B43" t="inlineStr">
        <is>
          <t>decile 1</t>
        </is>
      </c>
      <c r="C43" t="inlineStr">
        <is>
          <t>min decile 2</t>
        </is>
      </c>
      <c r="D43" t="inlineStr">
        <is>
          <t>min decile 3</t>
        </is>
      </c>
      <c r="E43" s="259" t="inlineStr">
        <is>
          <t>min decile 4</t>
        </is>
      </c>
      <c r="F43" s="259" t="inlineStr">
        <is>
          <t>min decile 5</t>
        </is>
      </c>
      <c r="G43" s="259" t="inlineStr">
        <is>
          <t>min decile 6</t>
        </is>
      </c>
      <c r="H43" s="259" t="inlineStr">
        <is>
          <t>min decile 7</t>
        </is>
      </c>
      <c r="I43" s="259" t="inlineStr">
        <is>
          <t>min decile 8</t>
        </is>
      </c>
      <c r="J43" s="259" t="inlineStr">
        <is>
          <t>min decile 9</t>
        </is>
      </c>
      <c r="K43" s="259" t="inlineStr">
        <is>
          <t>min decile 10</t>
        </is>
      </c>
      <c r="L43" s="259" t="inlineStr">
        <is>
          <t>Min</t>
        </is>
      </c>
      <c r="M43" s="259" t="inlineStr">
        <is>
          <t>Max</t>
        </is>
      </c>
      <c r="N43" s="259" t="n"/>
      <c r="O43" s="259" t="n"/>
      <c r="P43" s="259" t="n"/>
      <c r="Q43" s="259" t="n"/>
      <c r="R43" s="259" t="n"/>
    </row>
    <row r="44">
      <c r="A44" t="inlineStr">
        <is>
          <t>NI to TA thresholds</t>
        </is>
      </c>
      <c r="C44" t="n">
        <v>-0.448</v>
      </c>
      <c r="D44" t="n">
        <v>-0.161</v>
      </c>
      <c r="E44" t="n">
        <v>-0.049</v>
      </c>
      <c r="F44" s="259" t="n">
        <v>0.001</v>
      </c>
      <c r="G44" s="259" t="n">
        <v>0.022</v>
      </c>
      <c r="H44" s="259" t="n">
        <v>0.038</v>
      </c>
      <c r="I44" s="259" t="n">
        <v>0.056</v>
      </c>
      <c r="J44" s="259" t="n">
        <v>0.079</v>
      </c>
      <c r="K44" s="259" t="n">
        <v>0.118</v>
      </c>
      <c r="L44" s="259" t="n"/>
      <c r="M44" s="259" t="n"/>
      <c r="N44" s="259" t="n"/>
      <c r="O44" s="259" t="n"/>
      <c r="P44" s="259" t="n"/>
      <c r="Q44" s="259" t="n"/>
      <c r="R44" s="259" t="n"/>
    </row>
    <row r="45">
      <c r="A45" t="inlineStr">
        <is>
          <t>NI to TA default rates</t>
        </is>
      </c>
      <c r="B45" t="n">
        <v>0.083</v>
      </c>
      <c r="C45" t="n">
        <v>0.08</v>
      </c>
      <c r="D45" t="n">
        <v>0.07199999999999999</v>
      </c>
      <c r="E45" s="259" t="n">
        <v>0.055</v>
      </c>
      <c r="F45" s="259" t="n">
        <v>0.045</v>
      </c>
      <c r="G45" s="259" t="n">
        <v>0.03</v>
      </c>
      <c r="H45" s="259" t="n">
        <v>0.025</v>
      </c>
      <c r="I45" s="259" t="n">
        <v>0.02</v>
      </c>
      <c r="J45" s="259" t="n">
        <v>0.02</v>
      </c>
      <c r="K45" s="259" t="n">
        <v>0.02</v>
      </c>
      <c r="L45" s="259">
        <f>K45</f>
        <v/>
      </c>
      <c r="M45" s="259">
        <f>B45</f>
        <v/>
      </c>
      <c r="N45" s="259">
        <f>AVERAGE(L45:M45)</f>
        <v/>
      </c>
      <c r="O45" s="259" t="n"/>
      <c r="P45" s="259" t="n"/>
      <c r="Q45" s="259" t="n"/>
      <c r="R45" s="259" t="n"/>
    </row>
    <row r="46">
      <c r="A46" t="inlineStr">
        <is>
          <t>TL to TA thresholds</t>
        </is>
      </c>
      <c r="C46" t="n">
        <v>0.175</v>
      </c>
      <c r="D46" t="n">
        <v>0.283</v>
      </c>
      <c r="E46" t="n">
        <v>0.385</v>
      </c>
      <c r="F46" s="259" t="n">
        <v>0.476</v>
      </c>
      <c r="G46" s="259" t="n">
        <v>0.5580000000000001</v>
      </c>
      <c r="H46" s="259" t="n">
        <v>0.633</v>
      </c>
      <c r="I46" s="259" t="n">
        <v>0.709</v>
      </c>
      <c r="J46" s="259" t="n">
        <v>0.8159999999999999</v>
      </c>
      <c r="K46" s="259" t="n">
        <v>1.03</v>
      </c>
      <c r="L46" s="259" t="n"/>
      <c r="M46" s="259" t="n"/>
      <c r="N46" s="259" t="n"/>
      <c r="O46" s="259" t="n"/>
      <c r="P46" s="259" t="n"/>
      <c r="Q46" s="259" t="n"/>
      <c r="R46" s="259" t="n"/>
    </row>
    <row r="47">
      <c r="A47" t="inlineStr">
        <is>
          <t>TL to TA default rates</t>
        </is>
      </c>
      <c r="B47" t="n">
        <v>0.02</v>
      </c>
      <c r="C47" t="n">
        <v>0.022</v>
      </c>
      <c r="D47" t="n">
        <v>0.025</v>
      </c>
      <c r="E47" s="259" t="n">
        <v>0.03</v>
      </c>
      <c r="F47" s="259" t="n">
        <v>0.035</v>
      </c>
      <c r="G47" s="259" t="n">
        <v>0.045</v>
      </c>
      <c r="H47" s="259" t="n">
        <v>0.055</v>
      </c>
      <c r="I47" s="259" t="n">
        <v>0.07000000000000001</v>
      </c>
      <c r="J47" s="259" t="n">
        <v>0.09</v>
      </c>
      <c r="K47" s="259" t="n">
        <v>0.1</v>
      </c>
      <c r="L47" s="259">
        <f>B47</f>
        <v/>
      </c>
      <c r="M47" s="259">
        <f>K47</f>
        <v/>
      </c>
      <c r="N47" s="259">
        <f>AVERAGE(L47:M47)</f>
        <v/>
      </c>
    </row>
    <row r="48">
      <c r="A48" t="inlineStr">
        <is>
          <t>Quick Ratio thresholds</t>
        </is>
      </c>
      <c r="C48" t="n">
        <v>0.382</v>
      </c>
      <c r="D48" t="n">
        <v>0.522</v>
      </c>
      <c r="E48" t="n">
        <v>0.8090000000000001</v>
      </c>
      <c r="F48" t="n">
        <v>0.994</v>
      </c>
      <c r="G48" s="259" t="n">
        <v>1.2</v>
      </c>
      <c r="H48" s="259" t="n">
        <v>1.47</v>
      </c>
      <c r="I48" s="259" t="n">
        <v>1.89</v>
      </c>
      <c r="J48" s="259" t="n">
        <v>2.53</v>
      </c>
      <c r="K48" s="259" t="n">
        <v>4.55</v>
      </c>
    </row>
    <row r="49">
      <c r="A49" t="inlineStr">
        <is>
          <t>Quick Ratio default rates</t>
        </is>
      </c>
      <c r="B49" t="n">
        <v>0.09</v>
      </c>
      <c r="C49" t="n">
        <v>0.065</v>
      </c>
      <c r="D49" t="n">
        <v>0.05</v>
      </c>
      <c r="E49" s="259" t="n">
        <v>0.042</v>
      </c>
      <c r="F49" s="259" t="n">
        <v>0.04</v>
      </c>
      <c r="G49" s="259" t="n">
        <v>0.035</v>
      </c>
      <c r="H49" s="259" t="n">
        <v>0.025</v>
      </c>
      <c r="I49" s="259" t="n">
        <v>0.02</v>
      </c>
      <c r="J49" s="259" t="n">
        <v>0.015</v>
      </c>
      <c r="K49" s="259" t="n">
        <v>0.01</v>
      </c>
      <c r="L49" s="259">
        <f>K49</f>
        <v/>
      </c>
      <c r="M49" s="259">
        <f>B49</f>
        <v/>
      </c>
      <c r="N49" s="259">
        <f>AVERAGE(L49:M49)</f>
        <v/>
      </c>
    </row>
    <row r="50">
      <c r="A50" t="inlineStr">
        <is>
          <t>EBIT to Int thresholds</t>
        </is>
      </c>
      <c r="C50" t="n">
        <v>-17.4</v>
      </c>
      <c r="D50" t="n">
        <v>-3.6</v>
      </c>
      <c r="E50" t="n">
        <v>-0.139</v>
      </c>
      <c r="F50" t="n">
        <v>1.25</v>
      </c>
      <c r="G50" s="259" t="n">
        <v>2.21</v>
      </c>
      <c r="H50" s="259" t="n">
        <v>3.38</v>
      </c>
      <c r="I50" s="259" t="n">
        <v>5.21</v>
      </c>
      <c r="J50" s="259" t="n">
        <v>9.16</v>
      </c>
      <c r="K50" s="259" t="n">
        <v>23.8</v>
      </c>
    </row>
    <row r="51">
      <c r="A51" t="inlineStr">
        <is>
          <t>EBIT to Int default rates</t>
        </is>
      </c>
      <c r="B51" t="n">
        <v>0.075</v>
      </c>
      <c r="C51" t="n">
        <v>0.09</v>
      </c>
      <c r="D51" t="n">
        <v>0.08500000000000001</v>
      </c>
      <c r="E51" s="259" t="n">
        <v>0.07000000000000001</v>
      </c>
      <c r="F51" s="259" t="n">
        <v>0.05</v>
      </c>
      <c r="G51" s="259" t="n">
        <v>0.03</v>
      </c>
      <c r="H51" s="259" t="n">
        <v>0.021</v>
      </c>
      <c r="I51" s="259" t="n">
        <v>0.018</v>
      </c>
      <c r="J51" s="259" t="n">
        <v>0.015</v>
      </c>
      <c r="K51" s="259" t="n">
        <v>0.01</v>
      </c>
      <c r="L51" s="259">
        <f>K51</f>
        <v/>
      </c>
      <c r="M51" s="259">
        <f>B51</f>
        <v/>
      </c>
      <c r="N51" s="259">
        <f>AVERAGE(L51:M51)</f>
        <v/>
      </c>
    </row>
    <row r="52">
      <c r="A52" t="inlineStr">
        <is>
          <t>Inv Holding thresholds</t>
        </is>
      </c>
      <c r="C52" t="n">
        <v>0.365</v>
      </c>
      <c r="D52" t="n">
        <v>2.56</v>
      </c>
      <c r="E52" t="n">
        <v>14.24</v>
      </c>
      <c r="F52" t="n">
        <v>31.39</v>
      </c>
      <c r="G52" t="n">
        <v>50</v>
      </c>
      <c r="H52" s="259" t="n">
        <v>70.08</v>
      </c>
      <c r="I52" s="259" t="n">
        <v>91.98</v>
      </c>
      <c r="J52" s="259" t="n">
        <v>121.54</v>
      </c>
      <c r="K52" s="259" t="n">
        <v>174.47</v>
      </c>
    </row>
    <row r="53">
      <c r="A53" t="inlineStr">
        <is>
          <t>Inv Holding default rates</t>
        </is>
      </c>
      <c r="B53" t="n">
        <v>0.03</v>
      </c>
      <c r="C53" t="n">
        <v>0.035</v>
      </c>
      <c r="D53" t="n">
        <v>0.039</v>
      </c>
      <c r="E53" s="259" t="n">
        <v>0.04</v>
      </c>
      <c r="F53" s="259" t="n">
        <v>0.042</v>
      </c>
      <c r="G53" s="259" t="n">
        <v>0.045</v>
      </c>
      <c r="H53" s="259" t="n">
        <v>0.049</v>
      </c>
      <c r="I53" s="259" t="n">
        <v>0.055</v>
      </c>
      <c r="J53" s="259" t="n">
        <v>0.06</v>
      </c>
      <c r="K53" s="259" t="n">
        <v>0.07000000000000001</v>
      </c>
      <c r="L53" s="259">
        <f>B53</f>
        <v/>
      </c>
      <c r="M53" s="259">
        <f>K53</f>
        <v/>
      </c>
      <c r="N53" s="259">
        <f>AVERAGE(L53:M53)</f>
        <v/>
      </c>
    </row>
    <row r="54">
      <c r="A54" t="inlineStr">
        <is>
          <t>Sales Growth thresholds</t>
        </is>
      </c>
      <c r="C54" t="n">
        <v>-0.203</v>
      </c>
      <c r="D54" t="n">
        <v>-0.063</v>
      </c>
      <c r="E54" t="n">
        <v>0.003</v>
      </c>
      <c r="F54" t="n">
        <v>0.05</v>
      </c>
      <c r="G54" t="n">
        <v>0.098</v>
      </c>
      <c r="H54" s="259" t="n">
        <v>0.158</v>
      </c>
      <c r="I54" s="259" t="n">
        <v>0.244</v>
      </c>
      <c r="J54" s="259" t="n">
        <v>0.398</v>
      </c>
      <c r="K54" s="259" t="n">
        <v>0.797</v>
      </c>
    </row>
    <row r="55">
      <c r="A55" t="inlineStr">
        <is>
          <t>Sales Growth default rates</t>
        </is>
      </c>
      <c r="B55" t="n">
        <v>0.06900000000000001</v>
      </c>
      <c r="C55" t="n">
        <v>0.055</v>
      </c>
      <c r="D55" t="n">
        <v>0.042</v>
      </c>
      <c r="E55" s="259" t="n">
        <v>0.032</v>
      </c>
      <c r="F55" s="259" t="n">
        <v>0.03</v>
      </c>
      <c r="G55" s="259" t="n">
        <v>0.03</v>
      </c>
      <c r="H55" s="259" t="n">
        <v>0.032</v>
      </c>
      <c r="I55" s="259" t="n">
        <v>0.042</v>
      </c>
      <c r="J55" s="259" t="n">
        <v>0.05</v>
      </c>
      <c r="K55" s="259" t="n">
        <v>0.065</v>
      </c>
      <c r="L55" s="259">
        <f>F55</f>
        <v/>
      </c>
      <c r="M55" s="259">
        <f>B55</f>
        <v/>
      </c>
      <c r="N55" s="259">
        <f>AVERAGE(L55:M55)</f>
        <v/>
      </c>
    </row>
    <row r="56">
      <c r="L56" s="259">
        <f>AVERAGE(L45,L47,L49,L51,L53)</f>
        <v/>
      </c>
      <c r="M56" s="259">
        <f>AVERAGE(M45,M47,M49,M51,M53)</f>
        <v/>
      </c>
      <c r="N56" s="259">
        <f>AVERAGE(L56:M56)</f>
        <v/>
      </c>
    </row>
  </sheetData>
  <conditionalFormatting sqref="B24:R24">
    <cfRule type="colorScale" priority="6">
      <colorScale>
        <cfvo type="formula" val="$L$45"/>
        <cfvo type="formula" val="$N$45"/>
        <cfvo type="formula" val="$M$45"/>
        <color rgb="FF00B050"/>
        <color rgb="FFFFEB84"/>
        <color rgb="FFC00000"/>
      </colorScale>
    </cfRule>
  </conditionalFormatting>
  <conditionalFormatting sqref="B26:R26">
    <cfRule type="colorScale" priority="7">
      <colorScale>
        <cfvo type="formula" val="$L$47"/>
        <cfvo type="formula" val="$N$47"/>
        <cfvo type="formula" val="$M$47"/>
        <color rgb="FF00B050"/>
        <color rgb="FFFFEB84"/>
        <color rgb="FFC00000"/>
      </colorScale>
    </cfRule>
  </conditionalFormatting>
  <conditionalFormatting sqref="B28:R28">
    <cfRule type="colorScale" priority="5">
      <colorScale>
        <cfvo type="formula" val="$L$49"/>
        <cfvo type="formula" val="$N$49"/>
        <cfvo type="formula" val="$M$49"/>
        <color rgb="FF00B050"/>
        <color rgb="FFFFEB84"/>
        <color rgb="FFC00000"/>
      </colorScale>
    </cfRule>
  </conditionalFormatting>
  <conditionalFormatting sqref="B30:R30">
    <cfRule type="colorScale" priority="4">
      <colorScale>
        <cfvo type="formula" val="$L$51"/>
        <cfvo type="formula" val="$N$51"/>
        <cfvo type="formula" val="$M$51"/>
        <color rgb="FF00B050"/>
        <color rgb="FFFFEB84"/>
        <color rgb="FFC00000"/>
      </colorScale>
    </cfRule>
  </conditionalFormatting>
  <conditionalFormatting sqref="B32:R32">
    <cfRule type="colorScale" priority="3">
      <colorScale>
        <cfvo type="formula" val="$L$53"/>
        <cfvo type="formula" val="$N$53"/>
        <cfvo type="formula" val="$M$53"/>
        <color rgb="FF00B050"/>
        <color rgb="FFFFEB84"/>
        <color rgb="FFC00000"/>
      </colorScale>
    </cfRule>
  </conditionalFormatting>
  <conditionalFormatting sqref="B34:R34">
    <cfRule type="colorScale" priority="2">
      <colorScale>
        <cfvo type="formula" val="$L$55"/>
        <cfvo type="formula" val="$N$55"/>
        <cfvo type="formula" val="$M$55"/>
        <color rgb="FF00B050"/>
        <color rgb="FFFFEB84"/>
        <color rgb="FFC00000"/>
      </colorScale>
    </cfRule>
  </conditionalFormatting>
  <conditionalFormatting sqref="B35:R35">
    <cfRule type="colorScale" priority="1">
      <colorScale>
        <cfvo type="formula" val="$L$56"/>
        <cfvo type="formula" val="$N$56"/>
        <cfvo type="formula" val="$M$56"/>
        <color rgb="FF00B050"/>
        <color rgb="FFFFEB84"/>
        <color rgb="FFC00000"/>
      </colorScale>
    </cfRule>
  </conditionalFormatting>
  <pageMargins left="0.75" right="0.75" top="1" bottom="1" header="0.5" footer="0.5"/>
  <colBreaks count="1" manualBreakCount="1">
    <brk id="15" min="0" max="1048575" man="1"/>
  </colBreaks>
</worksheet>
</file>

<file path=xl/worksheets/sheet7.xml><?xml version="1.0" encoding="utf-8"?>
<worksheet xmlns="http://schemas.openxmlformats.org/spreadsheetml/2006/main">
  <sheetPr codeName="Sheet2">
    <outlinePr summaryBelow="1" summaryRight="1"/>
    <pageSetUpPr fitToPage="1"/>
  </sheetPr>
  <dimension ref="A1:R49"/>
  <sheetViews>
    <sheetView zoomScale="125" zoomScaleNormal="125" workbookViewId="0">
      <pane xSplit="1" ySplit="11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I14" sqref="I14"/>
    </sheetView>
  </sheetViews>
  <sheetFormatPr baseColWidth="8" defaultColWidth="8.830357142857141" defaultRowHeight="15.2"/>
  <cols>
    <col width="34.5" customWidth="1" style="16" min="1" max="1"/>
    <col width="10.6607142857143" customWidth="1" style="16" min="2" max="18"/>
  </cols>
  <sheetData>
    <row r="1" ht="20.4" customHeight="1" s="16">
      <c r="A1" s="163" t="inlineStr">
        <is>
          <t>Forecasting Assumptions</t>
        </is>
      </c>
      <c r="B1" s="138" t="n"/>
      <c r="C1" s="140" t="n"/>
      <c r="D1" s="139" t="n"/>
      <c r="E1" s="140" t="n"/>
      <c r="F1" s="140" t="n"/>
      <c r="G1" s="140" t="n"/>
      <c r="H1" s="140" t="n"/>
      <c r="I1" s="140" t="n"/>
      <c r="J1" s="140" t="n"/>
      <c r="K1" s="138" t="n"/>
      <c r="L1" s="140" t="n"/>
      <c r="M1" s="140" t="n"/>
      <c r="N1" s="140" t="n"/>
      <c r="O1" s="140" t="n"/>
      <c r="P1" s="140" t="n"/>
      <c r="Q1" s="140" t="n"/>
      <c r="R1" s="140" t="n"/>
    </row>
    <row r="2" ht="18" customHeight="1" s="16">
      <c r="A2" s="140" t="n"/>
      <c r="B2" s="140" t="n"/>
      <c r="C2" s="138" t="n"/>
      <c r="D2" s="138" t="n"/>
      <c r="E2" s="140" t="n"/>
      <c r="F2" s="140" t="n"/>
      <c r="G2" s="140" t="n"/>
      <c r="H2" s="140" t="n"/>
      <c r="I2" s="140" t="n"/>
      <c r="J2" s="140" t="n"/>
      <c r="K2" s="139" t="n"/>
      <c r="M2" s="140" t="n"/>
      <c r="N2" s="140" t="n"/>
      <c r="O2" s="140" t="n"/>
      <c r="P2" s="140" t="n"/>
      <c r="Q2" s="140" t="n"/>
      <c r="R2" s="140" t="n"/>
    </row>
    <row r="3">
      <c r="A3" s="141" t="n"/>
      <c r="B3" s="141" t="n"/>
      <c r="C3" s="90" t="n">
        <v>0.15</v>
      </c>
      <c r="D3" s="90" t="n"/>
      <c r="E3" s="141" t="n"/>
      <c r="F3" s="141" t="n"/>
      <c r="G3" s="141" t="n"/>
      <c r="H3" s="141" t="n"/>
      <c r="I3" s="141" t="n"/>
      <c r="J3" s="141" t="n"/>
      <c r="K3" s="159" t="n"/>
      <c r="L3" s="160" t="n"/>
      <c r="M3" s="141" t="n"/>
      <c r="N3" s="141" t="n"/>
      <c r="O3" s="141" t="n"/>
      <c r="P3" s="141" t="n"/>
      <c r="Q3" s="141" t="n"/>
      <c r="R3" s="141" t="n"/>
    </row>
    <row r="4" hidden="1" s="16">
      <c r="C4" s="17" t="n">
        <v>0.2</v>
      </c>
      <c r="D4" s="17" t="n"/>
      <c r="K4" s="161" t="n"/>
      <c r="L4" s="191" t="n"/>
    </row>
    <row r="5">
      <c r="A5" s="17" t="inlineStr">
        <is>
          <t>Company Name</t>
        </is>
      </c>
      <c r="B5" s="142">
        <f>'Financial Statements'!B4</f>
        <v/>
      </c>
      <c r="C5" s="17" t="n"/>
      <c r="D5" s="17" t="n"/>
      <c r="M5" s="220" t="n"/>
    </row>
    <row r="6">
      <c r="A6" s="100" t="n"/>
      <c r="B6" s="143" t="n"/>
      <c r="C6" s="220" t="n"/>
      <c r="D6" s="17" t="n"/>
      <c r="Q6" s="161" t="inlineStr">
        <is>
          <t>TERMINAL</t>
        </is>
      </c>
    </row>
    <row r="7">
      <c r="A7" s="247">
        <f>"Estimated Price/Share="&amp;DOLLAR('Model Summary'!B22)</f>
        <v/>
      </c>
      <c r="B7" s="61" t="n"/>
      <c r="C7" s="17" t="n"/>
      <c r="D7" s="17" t="n"/>
      <c r="Q7" s="161" t="inlineStr">
        <is>
          <t>YEAR</t>
        </is>
      </c>
    </row>
    <row r="8">
      <c r="A8" s="17" t="n"/>
      <c r="B8" s="145" t="inlineStr">
        <is>
          <t>Actual</t>
        </is>
      </c>
      <c r="C8" s="145" t="inlineStr">
        <is>
          <t>Actual</t>
        </is>
      </c>
      <c r="D8" s="145" t="inlineStr">
        <is>
          <t>Actual</t>
        </is>
      </c>
      <c r="E8" s="145" t="inlineStr">
        <is>
          <t>Actual</t>
        </is>
      </c>
      <c r="F8" s="145" t="inlineStr">
        <is>
          <t>Actual</t>
        </is>
      </c>
      <c r="G8" s="191" t="inlineStr">
        <is>
          <t>Forecast</t>
        </is>
      </c>
      <c r="H8" s="191" t="inlineStr">
        <is>
          <t>Forecast</t>
        </is>
      </c>
      <c r="I8" s="191" t="inlineStr">
        <is>
          <t>Forecast</t>
        </is>
      </c>
      <c r="J8" s="191" t="inlineStr">
        <is>
          <t>Forecast</t>
        </is>
      </c>
      <c r="K8" s="191" t="inlineStr">
        <is>
          <t>Forecast</t>
        </is>
      </c>
      <c r="L8" s="191" t="inlineStr">
        <is>
          <t>Forecast</t>
        </is>
      </c>
      <c r="M8" s="191" t="inlineStr">
        <is>
          <t>Forecast</t>
        </is>
      </c>
      <c r="N8" s="191" t="inlineStr">
        <is>
          <t>Forecast</t>
        </is>
      </c>
      <c r="O8" s="191" t="inlineStr">
        <is>
          <t>Forecast</t>
        </is>
      </c>
      <c r="P8" s="191" t="inlineStr">
        <is>
          <t>Forecast</t>
        </is>
      </c>
      <c r="Q8" s="191" t="inlineStr">
        <is>
          <t>Forecast</t>
        </is>
      </c>
      <c r="R8" s="191" t="inlineStr">
        <is>
          <t>Forecast</t>
        </is>
      </c>
    </row>
    <row r="9" ht="15.95" customHeight="1" s="16">
      <c r="A9" s="17" t="inlineStr">
        <is>
          <t>Fiscal Year End Date</t>
        </is>
      </c>
      <c r="B9" s="255">
        <f>'Financial Statements'!B8</f>
        <v/>
      </c>
      <c r="C9" s="255">
        <f>'Financial Statements'!C8</f>
        <v/>
      </c>
      <c r="D9" s="255">
        <f>'Financial Statements'!D8</f>
        <v/>
      </c>
      <c r="E9" s="255">
        <f>'Financial Statements'!E8</f>
        <v/>
      </c>
      <c r="F9" s="255">
        <f>'Financial Statements'!F8</f>
        <v/>
      </c>
      <c r="G9" s="249">
        <f>'Financial Statements'!G8</f>
        <v/>
      </c>
      <c r="H9" s="249">
        <f>'Financial Statements'!H8</f>
        <v/>
      </c>
      <c r="I9" s="249">
        <f>'Financial Statements'!I8</f>
        <v/>
      </c>
      <c r="J9" s="249">
        <f>'Financial Statements'!J8</f>
        <v/>
      </c>
      <c r="K9" s="249">
        <f>'Financial Statements'!K8</f>
        <v/>
      </c>
      <c r="L9" s="249">
        <f>'Financial Statements'!L8</f>
        <v/>
      </c>
      <c r="M9" s="249">
        <f>'Financial Statements'!M8</f>
        <v/>
      </c>
      <c r="N9" s="249">
        <f>'Financial Statements'!N8</f>
        <v/>
      </c>
      <c r="O9" s="249">
        <f>'Financial Statements'!O8</f>
        <v/>
      </c>
      <c r="P9" s="249">
        <f>'Financial Statements'!P8</f>
        <v/>
      </c>
      <c r="Q9" s="249">
        <f>'Financial Statements'!Q8</f>
        <v/>
      </c>
      <c r="R9" s="249">
        <f>'Financial Statements'!R8</f>
        <v/>
      </c>
    </row>
    <row r="10">
      <c r="A10" s="17" t="n"/>
      <c r="B10" s="147" t="n"/>
      <c r="C10" s="147" t="n"/>
      <c r="D10" s="147" t="n"/>
      <c r="E10" s="147" t="n"/>
      <c r="F10" s="147" t="n"/>
      <c r="G10" s="153" t="n"/>
      <c r="H10" s="153" t="n"/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</row>
    <row r="11" customFormat="1" s="17">
      <c r="A11" s="17" t="inlineStr">
        <is>
          <t>Implied Return on Equity</t>
        </is>
      </c>
      <c r="B11" s="148" t="n"/>
      <c r="C11" s="267">
        <f>'Financial Statements'!C29/(('Financial Statements'!C57+'Financial Statements'!B57)/2)</f>
        <v/>
      </c>
      <c r="D11" s="267">
        <f>'Financial Statements'!D29/(('Financial Statements'!D57+'Financial Statements'!C57)/2)</f>
        <v/>
      </c>
      <c r="E11" s="267">
        <f>'Financial Statements'!E29/(('Financial Statements'!E57+'Financial Statements'!D57)/2)</f>
        <v/>
      </c>
      <c r="F11" s="267">
        <f>'Financial Statements'!F29/(('Financial Statements'!F57+'Financial Statements'!E57)/2)</f>
        <v/>
      </c>
      <c r="G11" s="268">
        <f>'Financial Statements'!G29/(('Financial Statements'!G57+'Financial Statements'!F57)/2)</f>
        <v/>
      </c>
      <c r="H11" s="268">
        <f>'Financial Statements'!H29/(('Financial Statements'!H57+'Financial Statements'!G57)/2)</f>
        <v/>
      </c>
      <c r="I11" s="268">
        <f>'Financial Statements'!I29/(('Financial Statements'!I57+'Financial Statements'!H57)/2)</f>
        <v/>
      </c>
      <c r="J11" s="268">
        <f>'Financial Statements'!J29/(('Financial Statements'!J57+'Financial Statements'!I57)/2)</f>
        <v/>
      </c>
      <c r="K11" s="268">
        <f>'Financial Statements'!K29/(('Financial Statements'!K57+'Financial Statements'!J57)/2)</f>
        <v/>
      </c>
      <c r="L11" s="268">
        <f>'Financial Statements'!L29/(('Financial Statements'!L57+'Financial Statements'!K57)/2)</f>
        <v/>
      </c>
      <c r="M11" s="268">
        <f>'Financial Statements'!M29/(('Financial Statements'!M57+'Financial Statements'!L57)/2)</f>
        <v/>
      </c>
      <c r="N11" s="268">
        <f>'Financial Statements'!N29/(('Financial Statements'!N57+'Financial Statements'!M57)/2)</f>
        <v/>
      </c>
      <c r="O11" s="268">
        <f>'Financial Statements'!O29/(('Financial Statements'!O57+'Financial Statements'!N57)/2)</f>
        <v/>
      </c>
      <c r="P11" s="268">
        <f>'Financial Statements'!P29/(('Financial Statements'!P57+'Financial Statements'!O57)/2)</f>
        <v/>
      </c>
      <c r="Q11" s="268">
        <f>'Financial Statements'!Q29/(('Financial Statements'!Q57+'Financial Statements'!P57)/2)</f>
        <v/>
      </c>
      <c r="R11" s="268">
        <f>'Financial Statements'!R29/(('Financial Statements'!R57+'Financial Statements'!Q57)/2)</f>
        <v/>
      </c>
    </row>
    <row r="12">
      <c r="A12" s="17" t="n"/>
      <c r="B12" s="150" t="n"/>
      <c r="C12" s="150" t="n"/>
      <c r="D12" s="150" t="n"/>
      <c r="E12" s="155" t="n"/>
      <c r="F12" s="155" t="n"/>
      <c r="Q12" s="161" t="n"/>
    </row>
    <row r="13">
      <c r="A13" s="100" t="inlineStr">
        <is>
          <t>Income Statement Assumptions</t>
        </is>
      </c>
      <c r="B13" s="150" t="n"/>
      <c r="C13" s="150" t="n"/>
      <c r="D13" s="150" t="n"/>
      <c r="E13" s="61" t="n"/>
      <c r="F13" s="61" t="n"/>
      <c r="Q13" s="161" t="n"/>
    </row>
    <row r="14">
      <c r="A14" t="inlineStr">
        <is>
          <t>Sales Growth</t>
        </is>
      </c>
      <c r="B14" s="256" t="n"/>
      <c r="C14" s="256">
        <f>'Financial Statements'!C12/'Financial Statements'!B12-1</f>
        <v/>
      </c>
      <c r="D14" s="256">
        <f>'Financial Statements'!D12/'Financial Statements'!C12-1</f>
        <v/>
      </c>
      <c r="E14" s="256">
        <f>'Financial Statements'!E12/'Financial Statements'!D12-1</f>
        <v/>
      </c>
      <c r="F14" s="256">
        <f>'Financial Statements'!F12/'Financial Statements'!E12-1</f>
        <v/>
      </c>
      <c r="G14" s="269">
        <f>F14-($F14-$Q14)/11</f>
        <v/>
      </c>
      <c r="H14" s="269">
        <f>G14-($G14-$Q14)/10</f>
        <v/>
      </c>
      <c r="I14" s="269">
        <f>H14-($H14-$Q14)/9</f>
        <v/>
      </c>
      <c r="J14" s="269">
        <f>I14-($I14-$Q14)/8</f>
        <v/>
      </c>
      <c r="K14" s="269">
        <f>J14-($J14-$Q14)/7</f>
        <v/>
      </c>
      <c r="L14" s="269">
        <f>K14-($K14-$Q14)/6</f>
        <v/>
      </c>
      <c r="M14" s="269">
        <f>L14-($L14-$Q14)/5</f>
        <v/>
      </c>
      <c r="N14" s="269">
        <f>M14-($M14-$Q14)/4</f>
        <v/>
      </c>
      <c r="O14" s="269">
        <f>N14-($N14-$Q14)/3</f>
        <v/>
      </c>
      <c r="P14" s="269">
        <f>O14-($O14-$Q14)/2</f>
        <v/>
      </c>
      <c r="Q14" s="269" t="n">
        <v>0.03</v>
      </c>
      <c r="R14" s="257">
        <f>$Q14</f>
        <v/>
      </c>
    </row>
    <row r="15">
      <c r="A15" t="inlineStr">
        <is>
          <t>Cost of Goods Sold/Sales</t>
        </is>
      </c>
      <c r="B15" s="256">
        <f>-'Financial Statements'!B13/'Financial Statements'!B12</f>
        <v/>
      </c>
      <c r="C15" s="256">
        <f>-'Financial Statements'!C13/'Financial Statements'!C12</f>
        <v/>
      </c>
      <c r="D15" s="256">
        <f>-'Financial Statements'!D13/'Financial Statements'!D12</f>
        <v/>
      </c>
      <c r="E15" s="256">
        <f>-'Financial Statements'!E13/'Financial Statements'!E12</f>
        <v/>
      </c>
      <c r="F15" s="256">
        <f>-'Financial Statements'!F13/'Financial Statements'!F12</f>
        <v/>
      </c>
      <c r="G15" s="269">
        <f>F15-($F15-$Q15)/11</f>
        <v/>
      </c>
      <c r="H15" s="269">
        <f>G15-($G15-$Q15)/10</f>
        <v/>
      </c>
      <c r="I15" s="269">
        <f>H15-($H15-$Q15)/9</f>
        <v/>
      </c>
      <c r="J15" s="269">
        <f>I15-($I15-$Q15)/8</f>
        <v/>
      </c>
      <c r="K15" s="269">
        <f>J15-($J15-$Q15)/7</f>
        <v/>
      </c>
      <c r="L15" s="269">
        <f>K15-($K15-$Q15)/6</f>
        <v/>
      </c>
      <c r="M15" s="269">
        <f>L15-($L15-$Q15)/5</f>
        <v/>
      </c>
      <c r="N15" s="269">
        <f>M15-($M15-$Q15)/4</f>
        <v/>
      </c>
      <c r="O15" s="269">
        <f>N15-($N15-$Q15)/3</f>
        <v/>
      </c>
      <c r="P15" s="269">
        <f>O15-($O15-$Q15)/2</f>
        <v/>
      </c>
      <c r="Q15" s="269">
        <f>$F15</f>
        <v/>
      </c>
      <c r="R15" s="257">
        <f>$Q15</f>
        <v/>
      </c>
    </row>
    <row r="16">
      <c r="A16" t="inlineStr">
        <is>
          <t>R&amp;D/Sales</t>
        </is>
      </c>
      <c r="B16" s="256">
        <f>-'Financial Statements'!B15/'Financial Statements'!B12</f>
        <v/>
      </c>
      <c r="C16" s="256">
        <f>-'Financial Statements'!C15/'Financial Statements'!C12</f>
        <v/>
      </c>
      <c r="D16" s="256">
        <f>-'Financial Statements'!D15/'Financial Statements'!D12</f>
        <v/>
      </c>
      <c r="E16" s="256">
        <f>-'Financial Statements'!E15/'Financial Statements'!E12</f>
        <v/>
      </c>
      <c r="F16" s="256">
        <f>-'Financial Statements'!F15/'Financial Statements'!F12</f>
        <v/>
      </c>
      <c r="G16" s="269">
        <f>F16-($F16-$Q16)/11</f>
        <v/>
      </c>
      <c r="H16" s="269">
        <f>G16-($G16-$Q16)/10</f>
        <v/>
      </c>
      <c r="I16" s="269">
        <f>H16-($H16-$Q16)/9</f>
        <v/>
      </c>
      <c r="J16" s="269">
        <f>I16-($I16-$Q16)/8</f>
        <v/>
      </c>
      <c r="K16" s="269">
        <f>J16-($J16-$Q16)/7</f>
        <v/>
      </c>
      <c r="L16" s="269">
        <f>K16-($K16-$Q16)/6</f>
        <v/>
      </c>
      <c r="M16" s="269">
        <f>L16-($L16-$Q16)/5</f>
        <v/>
      </c>
      <c r="N16" s="269">
        <f>M16-($M16-$Q16)/4</f>
        <v/>
      </c>
      <c r="O16" s="269">
        <f>N16-($N16-$Q16)/3</f>
        <v/>
      </c>
      <c r="P16" s="269">
        <f>O16-($O16-$Q16)/2</f>
        <v/>
      </c>
      <c r="Q16" s="269">
        <f>$F16</f>
        <v/>
      </c>
      <c r="R16" s="257">
        <f>$Q16</f>
        <v/>
      </c>
    </row>
    <row r="17">
      <c r="A17" t="inlineStr">
        <is>
          <t>SG&amp;A/Sales</t>
        </is>
      </c>
      <c r="B17" s="256">
        <f>-'Financial Statements'!B16/'Financial Statements'!B12</f>
        <v/>
      </c>
      <c r="C17" s="256">
        <f>-'Financial Statements'!C16/'Financial Statements'!C12</f>
        <v/>
      </c>
      <c r="D17" s="256">
        <f>-'Financial Statements'!D16/'Financial Statements'!D12</f>
        <v/>
      </c>
      <c r="E17" s="256">
        <f>-'Financial Statements'!E16/'Financial Statements'!E12</f>
        <v/>
      </c>
      <c r="F17" s="256">
        <f>-'Financial Statements'!F16/'Financial Statements'!F12</f>
        <v/>
      </c>
      <c r="G17" s="269">
        <f>F17-($F17-$Q17)/11</f>
        <v/>
      </c>
      <c r="H17" s="269">
        <f>G17-($G17-$Q17)/10</f>
        <v/>
      </c>
      <c r="I17" s="269">
        <f>H17-($H17-$Q17)/9</f>
        <v/>
      </c>
      <c r="J17" s="269">
        <f>I17-($I17-$Q17)/8</f>
        <v/>
      </c>
      <c r="K17" s="269">
        <f>J17-($J17-$Q17)/7</f>
        <v/>
      </c>
      <c r="L17" s="269">
        <f>K17-($K17-$Q17)/6</f>
        <v/>
      </c>
      <c r="M17" s="269">
        <f>L17-($L17-$Q17)/5</f>
        <v/>
      </c>
      <c r="N17" s="269">
        <f>M17-($M17-$Q17)/4</f>
        <v/>
      </c>
      <c r="O17" s="269">
        <f>N17-($N17-$Q17)/3</f>
        <v/>
      </c>
      <c r="P17" s="269">
        <f>O17-($O17-$Q17)/2</f>
        <v/>
      </c>
      <c r="Q17" s="269">
        <f>$F17</f>
        <v/>
      </c>
      <c r="R17" s="257">
        <f>$Q17</f>
        <v/>
      </c>
    </row>
    <row r="18">
      <c r="A18" t="inlineStr">
        <is>
          <t>Dep&amp;Amort/Avge PP&amp;E and Intang.</t>
        </is>
      </c>
      <c r="B18" s="256" t="n"/>
      <c r="C18" s="256">
        <f>IF((('Financial Statements'!B38+'Financial Statements'!C38+'Financial Statements'!B40+'Financial Statements'!C40)/2)=0,0,-'Financial Statements'!C18/(('Financial Statements'!B38+'Financial Statements'!C38+'Financial Statements'!B40+'Financial Statements'!C40)/2))</f>
        <v/>
      </c>
      <c r="D18" s="256">
        <f>IF((('Financial Statements'!C38+'Financial Statements'!D38+'Financial Statements'!C40+'Financial Statements'!D40)/2)=0,0,-'Financial Statements'!D18/(('Financial Statements'!C38+'Financial Statements'!D38+'Financial Statements'!C40+'Financial Statements'!D40)/2))</f>
        <v/>
      </c>
      <c r="E18" s="256">
        <f>IF((('Financial Statements'!D38+'Financial Statements'!E38+'Financial Statements'!D40+'Financial Statements'!E40)/2)=0,0,-'Financial Statements'!E18/(('Financial Statements'!D38+'Financial Statements'!E38+'Financial Statements'!D40+'Financial Statements'!E40)/2))</f>
        <v/>
      </c>
      <c r="F18" s="256">
        <f>IF((('Financial Statements'!E38+'Financial Statements'!F38+'Financial Statements'!E40+'Financial Statements'!F40)/2)=0,0,-'Financial Statements'!F18/(('Financial Statements'!E38+'Financial Statements'!F38+'Financial Statements'!E40+'Financial Statements'!F40)/2))</f>
        <v/>
      </c>
      <c r="G18" s="269">
        <f>F18-($F18-$Q18)/11</f>
        <v/>
      </c>
      <c r="H18" s="269">
        <f>G18-($G18-$Q18)/10</f>
        <v/>
      </c>
      <c r="I18" s="269">
        <f>H18-($H18-$Q18)/9</f>
        <v/>
      </c>
      <c r="J18" s="269">
        <f>I18-($I18-$Q18)/8</f>
        <v/>
      </c>
      <c r="K18" s="269">
        <f>J18-($J18-$Q18)/7</f>
        <v/>
      </c>
      <c r="L18" s="269">
        <f>K18-($K18-$Q18)/6</f>
        <v/>
      </c>
      <c r="M18" s="269">
        <f>L18-($L18-$Q18)/5</f>
        <v/>
      </c>
      <c r="N18" s="269">
        <f>M18-($M18-$Q18)/4</f>
        <v/>
      </c>
      <c r="O18" s="269">
        <f>N18-($N18-$Q18)/3</f>
        <v/>
      </c>
      <c r="P18" s="269">
        <f>O18-($O18-$Q18)/2</f>
        <v/>
      </c>
      <c r="Q18" s="269">
        <f>$F18</f>
        <v/>
      </c>
      <c r="R18" s="257">
        <f>$Q18</f>
        <v/>
      </c>
    </row>
    <row r="19">
      <c r="A19" t="inlineStr">
        <is>
          <t>Net Interest Expense/Avge Net Debt</t>
        </is>
      </c>
      <c r="B19" s="256" t="n"/>
      <c r="C19" s="256">
        <f>IF((('Financial Statements'!B44+'Financial Statements'!C44+'Financial Statements'!C49+'Financial Statements'!B49)/2)=0,0,-'Financial Statements'!C20/(('Financial Statements'!B44+'Financial Statements'!C44+'Financial Statements'!C49+'Financial Statements'!B49)/2))</f>
        <v/>
      </c>
      <c r="D19" s="256">
        <f>IF((('Financial Statements'!C44+'Financial Statements'!D44+'Financial Statements'!D49+'Financial Statements'!C49)/2)=0,0,-'Financial Statements'!D20/(('Financial Statements'!C44+'Financial Statements'!D44+'Financial Statements'!D49+'Financial Statements'!C49)/2))</f>
        <v/>
      </c>
      <c r="E19" s="256">
        <f>IF((('Financial Statements'!D44+'Financial Statements'!E44+'Financial Statements'!E49+'Financial Statements'!D49)/2)=0,0,-'Financial Statements'!E20/(('Financial Statements'!D44+'Financial Statements'!E44+'Financial Statements'!E49+'Financial Statements'!D49)/2))</f>
        <v/>
      </c>
      <c r="F19" s="256">
        <f>IF((('Financial Statements'!E44+'Financial Statements'!F44+'Financial Statements'!F49+'Financial Statements'!E49)/2)=0,0,-'Financial Statements'!F20/(('Financial Statements'!E44+'Financial Statements'!F44+'Financial Statements'!F49+'Financial Statements'!E49)/2))</f>
        <v/>
      </c>
      <c r="G19" s="269">
        <f>F19-($F19-$Q19)/11</f>
        <v/>
      </c>
      <c r="H19" s="269">
        <f>G19-($G19-$Q19)/10</f>
        <v/>
      </c>
      <c r="I19" s="269">
        <f>H19-($H19-$Q19)/9</f>
        <v/>
      </c>
      <c r="J19" s="269">
        <f>I19-($I19-$Q19)/8</f>
        <v/>
      </c>
      <c r="K19" s="269">
        <f>J19-($J19-$Q19)/7</f>
        <v/>
      </c>
      <c r="L19" s="269">
        <f>K19-($K19-$Q19)/6</f>
        <v/>
      </c>
      <c r="M19" s="269">
        <f>L19-($L19-$Q19)/5</f>
        <v/>
      </c>
      <c r="N19" s="269">
        <f>M19-($M19-$Q19)/4</f>
        <v/>
      </c>
      <c r="O19" s="269">
        <f>N19-($N19-$Q19)/3</f>
        <v/>
      </c>
      <c r="P19" s="269">
        <f>O19-($O19-$Q19)/2</f>
        <v/>
      </c>
      <c r="Q19" s="269">
        <f>$F19</f>
        <v/>
      </c>
      <c r="R19" s="257">
        <f>$Q19</f>
        <v/>
      </c>
    </row>
    <row r="20" customFormat="1" s="68">
      <c r="A20" s="68" t="inlineStr">
        <is>
          <t>Non-Operating Income/Sales</t>
        </is>
      </c>
      <c r="B20" s="256">
        <f>'Financial Statements'!B21/'Financial Statements'!B12</f>
        <v/>
      </c>
      <c r="C20" s="256">
        <f>'Financial Statements'!C21/'Financial Statements'!C12</f>
        <v/>
      </c>
      <c r="D20" s="256">
        <f>'Financial Statements'!D21/'Financial Statements'!D12</f>
        <v/>
      </c>
      <c r="E20" s="256">
        <f>'Financial Statements'!E21/'Financial Statements'!E12</f>
        <v/>
      </c>
      <c r="F20" s="256">
        <f>'Financial Statements'!F21/'Financial Statements'!F12</f>
        <v/>
      </c>
      <c r="G20" s="269">
        <f>F20-($F20-$Q20)/11</f>
        <v/>
      </c>
      <c r="H20" s="269">
        <f>G20-($G20-$Q20)/10</f>
        <v/>
      </c>
      <c r="I20" s="269">
        <f>H20-($H20-$Q20)/9</f>
        <v/>
      </c>
      <c r="J20" s="269">
        <f>I20-($I20-$Q20)/8</f>
        <v/>
      </c>
      <c r="K20" s="269">
        <f>J20-($J20-$Q20)/7</f>
        <v/>
      </c>
      <c r="L20" s="269">
        <f>K20-($K20-$Q20)/6</f>
        <v/>
      </c>
      <c r="M20" s="269">
        <f>L20-($L20-$Q20)/5</f>
        <v/>
      </c>
      <c r="N20" s="269">
        <f>M20-($M20-$Q20)/4</f>
        <v/>
      </c>
      <c r="O20" s="269">
        <f>N20-($N20-$Q20)/3</f>
        <v/>
      </c>
      <c r="P20" s="269">
        <f>O20-($O20-$Q20)/2</f>
        <v/>
      </c>
      <c r="Q20" s="269">
        <f>$F20</f>
        <v/>
      </c>
      <c r="R20" s="257">
        <f>$Q20</f>
        <v/>
      </c>
    </row>
    <row r="21">
      <c r="A21" t="inlineStr">
        <is>
          <t>Effective Tax Rate</t>
        </is>
      </c>
      <c r="B21" s="256">
        <f>IF('Financial Statements'!B22=0,0,-'Financial Statements'!B23/'Financial Statements'!B22)</f>
        <v/>
      </c>
      <c r="C21" s="256">
        <f>IF('Financial Statements'!C22=0,0,-'Financial Statements'!C23/'Financial Statements'!C22)</f>
        <v/>
      </c>
      <c r="D21" s="256">
        <f>IF('Financial Statements'!D22=0,0,-'Financial Statements'!D23/'Financial Statements'!D22)</f>
        <v/>
      </c>
      <c r="E21" s="256">
        <f>IF('Financial Statements'!E22=0,0,-'Financial Statements'!E23/'Financial Statements'!E22)</f>
        <v/>
      </c>
      <c r="F21" s="256">
        <f>IF('Financial Statements'!F22=0,0,-'Financial Statements'!F23/'Financial Statements'!F22)</f>
        <v/>
      </c>
      <c r="G21" s="269">
        <f>F21-($F21-$Q21)/11</f>
        <v/>
      </c>
      <c r="H21" s="269">
        <f>G21-($G21-$Q21)/10</f>
        <v/>
      </c>
      <c r="I21" s="269">
        <f>H21-($H21-$Q21)/9</f>
        <v/>
      </c>
      <c r="J21" s="269">
        <f>I21-($I21-$Q21)/8</f>
        <v/>
      </c>
      <c r="K21" s="269">
        <f>J21-($J21-$Q21)/7</f>
        <v/>
      </c>
      <c r="L21" s="269">
        <f>K21-($K21-$Q21)/6</f>
        <v/>
      </c>
      <c r="M21" s="269">
        <f>L21-($L21-$Q21)/5</f>
        <v/>
      </c>
      <c r="N21" s="269">
        <f>M21-($M21-$Q21)/4</f>
        <v/>
      </c>
      <c r="O21" s="269">
        <f>N21-($N21-$Q21)/3</f>
        <v/>
      </c>
      <c r="P21" s="269">
        <f>O21-($O21-$Q21)/2</f>
        <v/>
      </c>
      <c r="Q21" s="269">
        <f>$F21</f>
        <v/>
      </c>
      <c r="R21" s="257">
        <f>$Q21</f>
        <v/>
      </c>
    </row>
    <row r="22">
      <c r="A22" t="inlineStr">
        <is>
          <t>Noncontrolling Interest/After Tax Income</t>
        </is>
      </c>
      <c r="B22" s="256">
        <f>IF(('Financial Statements'!B22+'Financial Statements'!B23)=0,0,-'Financial Statements'!B27/('Financial Statements'!B22+'Financial Statements'!B23))</f>
        <v/>
      </c>
      <c r="C22" s="256">
        <f>IF(('Financial Statements'!C22+'Financial Statements'!C23)=0,0,-'Financial Statements'!C27/('Financial Statements'!C22+'Financial Statements'!C23))</f>
        <v/>
      </c>
      <c r="D22" s="256">
        <f>IF(('Financial Statements'!D22+'Financial Statements'!D23)=0,0,-'Financial Statements'!D27/('Financial Statements'!D22+'Financial Statements'!D23))</f>
        <v/>
      </c>
      <c r="E22" s="256">
        <f>IF(('Financial Statements'!E22+'Financial Statements'!E23)=0,0,-'Financial Statements'!E27/('Financial Statements'!E22+'Financial Statements'!E23))</f>
        <v/>
      </c>
      <c r="F22" s="256">
        <f>IF(('Financial Statements'!F22+'Financial Statements'!F23)=0,0,-'Financial Statements'!F27/('Financial Statements'!F22+'Financial Statements'!F23))</f>
        <v/>
      </c>
      <c r="G22" s="269">
        <f>F22-($F22-$Q22)/11</f>
        <v/>
      </c>
      <c r="H22" s="269">
        <f>G22-($G22-$Q22)/10</f>
        <v/>
      </c>
      <c r="I22" s="269">
        <f>H22-($H22-$Q22)/9</f>
        <v/>
      </c>
      <c r="J22" s="269">
        <f>I22-($I22-$Q22)/8</f>
        <v/>
      </c>
      <c r="K22" s="269">
        <f>J22-($J22-$Q22)/7</f>
        <v/>
      </c>
      <c r="L22" s="269">
        <f>K22-($K22-$Q22)/6</f>
        <v/>
      </c>
      <c r="M22" s="269">
        <f>L22-($L22-$Q22)/5</f>
        <v/>
      </c>
      <c r="N22" s="269">
        <f>M22-($M22-$Q22)/4</f>
        <v/>
      </c>
      <c r="O22" s="269">
        <f>N22-($N22-$Q22)/3</f>
        <v/>
      </c>
      <c r="P22" s="269">
        <f>O22-($O22-$Q22)/2</f>
        <v/>
      </c>
      <c r="Q22" s="269">
        <f>$F22</f>
        <v/>
      </c>
      <c r="R22" s="257">
        <f>$Q22</f>
        <v/>
      </c>
    </row>
    <row r="23" customFormat="1" s="68">
      <c r="A23" s="68" t="inlineStr">
        <is>
          <t>Other Income/Sales</t>
        </is>
      </c>
      <c r="B23" s="256">
        <f>'Financial Statements'!B24/'Financial Statements'!B12</f>
        <v/>
      </c>
      <c r="C23" s="256">
        <f>'Financial Statements'!C24/'Financial Statements'!C12</f>
        <v/>
      </c>
      <c r="D23" s="256">
        <f>'Financial Statements'!D24/'Financial Statements'!D12</f>
        <v/>
      </c>
      <c r="E23" s="256">
        <f>'Financial Statements'!E24/'Financial Statements'!E12</f>
        <v/>
      </c>
      <c r="F23" s="256">
        <f>'Financial Statements'!F24/'Financial Statements'!F12</f>
        <v/>
      </c>
      <c r="G23" s="269" t="n">
        <v>0</v>
      </c>
      <c r="H23" s="269">
        <f>G23</f>
        <v/>
      </c>
      <c r="I23" s="269">
        <f>H23</f>
        <v/>
      </c>
      <c r="J23" s="269">
        <f>I23</f>
        <v/>
      </c>
      <c r="K23" s="269">
        <f>J23</f>
        <v/>
      </c>
      <c r="L23" s="269">
        <f>K23</f>
        <v/>
      </c>
      <c r="M23" s="269">
        <f>L23</f>
        <v/>
      </c>
      <c r="N23" s="269">
        <f>M23</f>
        <v/>
      </c>
      <c r="O23" s="269">
        <f>N23</f>
        <v/>
      </c>
      <c r="P23" s="269">
        <f>O23</f>
        <v/>
      </c>
      <c r="Q23" s="269">
        <f>P23</f>
        <v/>
      </c>
      <c r="R23" s="257">
        <f>$Q23</f>
        <v/>
      </c>
    </row>
    <row r="24" customFormat="1" s="68">
      <c r="A24" s="68" t="inlineStr">
        <is>
          <t>Ext. Items &amp; Disc. Ops./Sales</t>
        </is>
      </c>
      <c r="B24" s="256">
        <f>'Financial Statements'!B26/'Financial Statements'!B12</f>
        <v/>
      </c>
      <c r="C24" s="256">
        <f>'Financial Statements'!C26/'Financial Statements'!C12</f>
        <v/>
      </c>
      <c r="D24" s="256">
        <f>'Financial Statements'!D26/'Financial Statements'!D12</f>
        <v/>
      </c>
      <c r="E24" s="256">
        <f>'Financial Statements'!E26/'Financial Statements'!E12</f>
        <v/>
      </c>
      <c r="F24" s="256">
        <f>'Financial Statements'!F26/'Financial Statements'!F12</f>
        <v/>
      </c>
      <c r="G24" s="269" t="n">
        <v>0</v>
      </c>
      <c r="H24" s="269">
        <f>G24</f>
        <v/>
      </c>
      <c r="I24" s="269">
        <f>H24</f>
        <v/>
      </c>
      <c r="J24" s="269">
        <f>I24</f>
        <v/>
      </c>
      <c r="K24" s="269">
        <f>J24</f>
        <v/>
      </c>
      <c r="L24" s="269">
        <f>K24</f>
        <v/>
      </c>
      <c r="M24" s="269">
        <f>L24</f>
        <v/>
      </c>
      <c r="N24" s="269">
        <f>M24</f>
        <v/>
      </c>
      <c r="O24" s="269">
        <f>N24</f>
        <v/>
      </c>
      <c r="P24" s="269">
        <f>O24</f>
        <v/>
      </c>
      <c r="Q24" s="269">
        <f>P24</f>
        <v/>
      </c>
      <c r="R24" s="257">
        <f>$Q24</f>
        <v/>
      </c>
    </row>
    <row r="25" customFormat="1" s="68">
      <c r="A25" s="68" t="inlineStr">
        <is>
          <t>Pref. Dividends/Avge Pref. Stock</t>
        </is>
      </c>
      <c r="B25" s="256" t="n"/>
      <c r="C25" s="256">
        <f>IF((('Financial Statements'!C54+'Financial Statements'!B54)/2)=0,0,-'Financial Statements'!C28/(('Financial Statements'!C54+'Financial Statements'!B54)/2))</f>
        <v/>
      </c>
      <c r="D25" s="256">
        <f>IF((('Financial Statements'!D54+'Financial Statements'!C54)/2)=0,0,-'Financial Statements'!D28/(('Financial Statements'!D54+'Financial Statements'!C54)/2))</f>
        <v/>
      </c>
      <c r="E25" s="256">
        <f>IF((('Financial Statements'!E54+'Financial Statements'!D54)/2)=0,0,-'Financial Statements'!E28/(('Financial Statements'!E54+'Financial Statements'!D54)/2))</f>
        <v/>
      </c>
      <c r="F25" s="256">
        <f>IF((('Financial Statements'!F54+'Financial Statements'!E54)/2)=0,0,-'Financial Statements'!F28/(('Financial Statements'!F54+'Financial Statements'!E54)/2))</f>
        <v/>
      </c>
      <c r="G25" s="269">
        <f>F25-($F25-$Q25)/11</f>
        <v/>
      </c>
      <c r="H25" s="269">
        <f>G25-($G25-$Q25)/10</f>
        <v/>
      </c>
      <c r="I25" s="269">
        <f>H25-($H25-$Q25)/9</f>
        <v/>
      </c>
      <c r="J25" s="269">
        <f>I25-($I25-$Q25)/8</f>
        <v/>
      </c>
      <c r="K25" s="269">
        <f>J25-($J25-$Q25)/7</f>
        <v/>
      </c>
      <c r="L25" s="269">
        <f>K25-($K25-$Q25)/6</f>
        <v/>
      </c>
      <c r="M25" s="269">
        <f>L25-($L25-$Q25)/5</f>
        <v/>
      </c>
      <c r="N25" s="269">
        <f>M25-($M25-$Q25)/4</f>
        <v/>
      </c>
      <c r="O25" s="269">
        <f>N25-($N25-$Q25)/3</f>
        <v/>
      </c>
      <c r="P25" s="269">
        <f>O25-($O25-$Q25)/2</f>
        <v/>
      </c>
      <c r="Q25" s="269">
        <f>$F25</f>
        <v/>
      </c>
      <c r="R25" s="257">
        <f>$Q25</f>
        <v/>
      </c>
    </row>
    <row r="26">
      <c r="B26" s="61" t="n"/>
      <c r="C26" s="61" t="n"/>
      <c r="D26" s="61" t="n"/>
      <c r="E26" s="61" t="n"/>
      <c r="F26" s="61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</row>
    <row r="27">
      <c r="A27" s="100" t="inlineStr">
        <is>
          <t>Balance Sheet Assumptions</t>
        </is>
      </c>
      <c r="B27" s="150" t="n"/>
      <c r="C27" s="150" t="n"/>
      <c r="D27" s="150" t="n"/>
      <c r="E27" s="150" t="n"/>
      <c r="F27" s="150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</row>
    <row r="28">
      <c r="A28" s="100" t="inlineStr">
        <is>
          <t>Working Capital Assumptions</t>
        </is>
      </c>
      <c r="B28" s="150" t="n"/>
      <c r="C28" s="150" t="n"/>
      <c r="D28" s="150" t="n"/>
      <c r="E28" s="150" t="n"/>
      <c r="F28" s="150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</row>
    <row r="29">
      <c r="A29" t="inlineStr">
        <is>
          <t>Ending Operating Cash/Sales</t>
        </is>
      </c>
      <c r="B29" s="256">
        <f>'Financial Statements'!B33/'Financial Statements'!B12</f>
        <v/>
      </c>
      <c r="C29" s="256">
        <f>'Financial Statements'!C33/'Financial Statements'!C12</f>
        <v/>
      </c>
      <c r="D29" s="256">
        <f>'Financial Statements'!D33/'Financial Statements'!D12</f>
        <v/>
      </c>
      <c r="E29" s="256">
        <f>'Financial Statements'!E33/'Financial Statements'!E12</f>
        <v/>
      </c>
      <c r="F29" s="256">
        <f>'Financial Statements'!F33/'Financial Statements'!F12</f>
        <v/>
      </c>
      <c r="G29" s="269">
        <f>F29-($F29-$Q29)/11</f>
        <v/>
      </c>
      <c r="H29" s="269">
        <f>G29-($G29-$Q29)/10</f>
        <v/>
      </c>
      <c r="I29" s="269">
        <f>H29-($H29-$Q29)/9</f>
        <v/>
      </c>
      <c r="J29" s="269">
        <f>I29-($I29-$Q29)/8</f>
        <v/>
      </c>
      <c r="K29" s="269">
        <f>J29-($J29-$Q29)/7</f>
        <v/>
      </c>
      <c r="L29" s="269">
        <f>K29-($K29-$Q29)/6</f>
        <v/>
      </c>
      <c r="M29" s="269">
        <f>L29-($L29-$Q29)/5</f>
        <v/>
      </c>
      <c r="N29" s="269">
        <f>M29-($M29-$Q29)/4</f>
        <v/>
      </c>
      <c r="O29" s="269">
        <f>N29-($N29-$Q29)/3</f>
        <v/>
      </c>
      <c r="P29" s="269">
        <f>O29-($O29-$Q29)/2</f>
        <v/>
      </c>
      <c r="Q29" s="269">
        <f>$F29</f>
        <v/>
      </c>
      <c r="R29" s="257">
        <f>$Q29</f>
        <v/>
      </c>
    </row>
    <row r="30">
      <c r="A30" t="inlineStr">
        <is>
          <t>Ending Receivables/Sales</t>
        </is>
      </c>
      <c r="B30" s="256">
        <f>'Financial Statements'!B34/'Financial Statements'!B12</f>
        <v/>
      </c>
      <c r="C30" s="256">
        <f>'Financial Statements'!C34/'Financial Statements'!C12</f>
        <v/>
      </c>
      <c r="D30" s="256">
        <f>'Financial Statements'!D34/'Financial Statements'!D12</f>
        <v/>
      </c>
      <c r="E30" s="256">
        <f>'Financial Statements'!E34/'Financial Statements'!E12</f>
        <v/>
      </c>
      <c r="F30" s="256">
        <f>'Financial Statements'!F34/'Financial Statements'!F12</f>
        <v/>
      </c>
      <c r="G30" s="269">
        <f>F30-($F30-$Q30)/11</f>
        <v/>
      </c>
      <c r="H30" s="269">
        <f>G30-($G30-$Q30)/10</f>
        <v/>
      </c>
      <c r="I30" s="269">
        <f>H30-($H30-$Q30)/9</f>
        <v/>
      </c>
      <c r="J30" s="269">
        <f>I30-($I30-$Q30)/8</f>
        <v/>
      </c>
      <c r="K30" s="269">
        <f>J30-($J30-$Q30)/7</f>
        <v/>
      </c>
      <c r="L30" s="269">
        <f>K30-($K30-$Q30)/6</f>
        <v/>
      </c>
      <c r="M30" s="269">
        <f>L30-($L30-$Q30)/5</f>
        <v/>
      </c>
      <c r="N30" s="269">
        <f>M30-($M30-$Q30)/4</f>
        <v/>
      </c>
      <c r="O30" s="269">
        <f>N30-($N30-$Q30)/3</f>
        <v/>
      </c>
      <c r="P30" s="269">
        <f>O30-($O30-$Q30)/2</f>
        <v/>
      </c>
      <c r="Q30" s="269">
        <f>$F30</f>
        <v/>
      </c>
      <c r="R30" s="257">
        <f>$Q30</f>
        <v/>
      </c>
    </row>
    <row r="31">
      <c r="A31" t="inlineStr">
        <is>
          <t>Ending Inventories/COGS</t>
        </is>
      </c>
      <c r="B31" s="256">
        <f>IF('Financial Statements'!B13=0,0,-'Financial Statements'!B35/'Financial Statements'!B13)</f>
        <v/>
      </c>
      <c r="C31" s="256">
        <f>IF('Financial Statements'!C13=0,0,-'Financial Statements'!C35/'Financial Statements'!C13)</f>
        <v/>
      </c>
      <c r="D31" s="256">
        <f>IF('Financial Statements'!D13=0,0,-'Financial Statements'!D35/'Financial Statements'!D13)</f>
        <v/>
      </c>
      <c r="E31" s="256">
        <f>IF('Financial Statements'!E13=0,0,-'Financial Statements'!E35/'Financial Statements'!E13)</f>
        <v/>
      </c>
      <c r="F31" s="256">
        <f>IF('Financial Statements'!F13=0,0,-'Financial Statements'!F35/'Financial Statements'!F13)</f>
        <v/>
      </c>
      <c r="G31" s="269">
        <f>F31-($F31-$Q31)/11</f>
        <v/>
      </c>
      <c r="H31" s="269">
        <f>G31-($G31-$Q31)/10</f>
        <v/>
      </c>
      <c r="I31" s="269">
        <f>H31-($H31-$Q31)/9</f>
        <v/>
      </c>
      <c r="J31" s="269">
        <f>I31-($I31-$Q31)/8</f>
        <v/>
      </c>
      <c r="K31" s="269">
        <f>J31-($J31-$Q31)/7</f>
        <v/>
      </c>
      <c r="L31" s="269">
        <f>K31-($K31-$Q31)/6</f>
        <v/>
      </c>
      <c r="M31" s="269">
        <f>L31-($L31-$Q31)/5</f>
        <v/>
      </c>
      <c r="N31" s="269">
        <f>M31-($M31-$Q31)/4</f>
        <v/>
      </c>
      <c r="O31" s="269">
        <f>N31-($N31-$Q31)/3</f>
        <v/>
      </c>
      <c r="P31" s="269">
        <f>O31-($O31-$Q31)/2</f>
        <v/>
      </c>
      <c r="Q31" s="269">
        <f>$F31</f>
        <v/>
      </c>
      <c r="R31" s="257">
        <f>$Q31</f>
        <v/>
      </c>
    </row>
    <row r="32">
      <c r="A32" t="inlineStr">
        <is>
          <t>Ending Other Current Assets/Sales</t>
        </is>
      </c>
      <c r="B32" s="256">
        <f>'Financial Statements'!B36/'Financial Statements'!B12</f>
        <v/>
      </c>
      <c r="C32" s="256">
        <f>'Financial Statements'!C36/'Financial Statements'!C12</f>
        <v/>
      </c>
      <c r="D32" s="256">
        <f>'Financial Statements'!D36/'Financial Statements'!D12</f>
        <v/>
      </c>
      <c r="E32" s="256">
        <f>'Financial Statements'!E36/'Financial Statements'!E12</f>
        <v/>
      </c>
      <c r="F32" s="256">
        <f>'Financial Statements'!F36/'Financial Statements'!F12</f>
        <v/>
      </c>
      <c r="G32" s="269">
        <f>F32-($F32-$Q32)/11</f>
        <v/>
      </c>
      <c r="H32" s="269">
        <f>G32-($G32-$Q32)/10</f>
        <v/>
      </c>
      <c r="I32" s="269">
        <f>H32-($H32-$Q32)/9</f>
        <v/>
      </c>
      <c r="J32" s="269">
        <f>I32-($I32-$Q32)/8</f>
        <v/>
      </c>
      <c r="K32" s="269">
        <f>J32-($J32-$Q32)/7</f>
        <v/>
      </c>
      <c r="L32" s="269">
        <f>K32-($K32-$Q32)/6</f>
        <v/>
      </c>
      <c r="M32" s="269">
        <f>L32-($L32-$Q32)/5</f>
        <v/>
      </c>
      <c r="N32" s="269">
        <f>M32-($M32-$Q32)/4</f>
        <v/>
      </c>
      <c r="O32" s="269">
        <f>N32-($N32-$Q32)/3</f>
        <v/>
      </c>
      <c r="P32" s="269">
        <f>O32-($O32-$Q32)/2</f>
        <v/>
      </c>
      <c r="Q32" s="269">
        <f>$F32</f>
        <v/>
      </c>
      <c r="R32" s="257">
        <f>$Q32</f>
        <v/>
      </c>
    </row>
    <row r="33">
      <c r="A33" t="inlineStr">
        <is>
          <t>Ending Accounts Payable/COGS</t>
        </is>
      </c>
      <c r="B33" s="256">
        <f>IF('Financial Statements'!B13=0,0,-'Financial Statements'!B45/'Financial Statements'!B13)</f>
        <v/>
      </c>
      <c r="C33" s="256">
        <f>IF('Financial Statements'!C13=0,0,-'Financial Statements'!C45/'Financial Statements'!C13)</f>
        <v/>
      </c>
      <c r="D33" s="256">
        <f>IF('Financial Statements'!D13=0,0,-'Financial Statements'!D45/'Financial Statements'!D13)</f>
        <v/>
      </c>
      <c r="E33" s="256">
        <f>IF('Financial Statements'!E13=0,0,-'Financial Statements'!E45/'Financial Statements'!E13)</f>
        <v/>
      </c>
      <c r="F33" s="256">
        <f>IF('Financial Statements'!F13=0,0,-'Financial Statements'!F45/'Financial Statements'!F13)</f>
        <v/>
      </c>
      <c r="G33" s="269">
        <f>F33-($F33-$Q33)/11</f>
        <v/>
      </c>
      <c r="H33" s="269">
        <f>G33-($G33-$Q33)/10</f>
        <v/>
      </c>
      <c r="I33" s="269">
        <f>H33-($H33-$Q33)/9</f>
        <v/>
      </c>
      <c r="J33" s="269">
        <f>I33-($I33-$Q33)/8</f>
        <v/>
      </c>
      <c r="K33" s="269">
        <f>J33-($J33-$Q33)/7</f>
        <v/>
      </c>
      <c r="L33" s="269">
        <f>K33-($K33-$Q33)/6</f>
        <v/>
      </c>
      <c r="M33" s="269">
        <f>L33-($L33-$Q33)/5</f>
        <v/>
      </c>
      <c r="N33" s="269">
        <f>M33-($M33-$Q33)/4</f>
        <v/>
      </c>
      <c r="O33" s="269">
        <f>N33-($N33-$Q33)/3</f>
        <v/>
      </c>
      <c r="P33" s="269">
        <f>O33-($O33-$Q33)/2</f>
        <v/>
      </c>
      <c r="Q33" s="269">
        <f>$F33</f>
        <v/>
      </c>
      <c r="R33" s="257">
        <f>$Q33</f>
        <v/>
      </c>
    </row>
    <row r="34">
      <c r="A34" t="inlineStr">
        <is>
          <t>Ending Taxes Payable/Sales</t>
        </is>
      </c>
      <c r="B34" s="256">
        <f>'Financial Statements'!B46/'Financial Statements'!B12</f>
        <v/>
      </c>
      <c r="C34" s="256">
        <f>'Financial Statements'!C46/'Financial Statements'!C12</f>
        <v/>
      </c>
      <c r="D34" s="256">
        <f>'Financial Statements'!D46/'Financial Statements'!D12</f>
        <v/>
      </c>
      <c r="E34" s="256">
        <f>'Financial Statements'!E46/'Financial Statements'!E12</f>
        <v/>
      </c>
      <c r="F34" s="256">
        <f>'Financial Statements'!F46/'Financial Statements'!F12</f>
        <v/>
      </c>
      <c r="G34" s="269">
        <f>F34-($F34-$Q34)/11</f>
        <v/>
      </c>
      <c r="H34" s="269">
        <f>G34-($G34-$Q34)/10</f>
        <v/>
      </c>
      <c r="I34" s="269">
        <f>H34-($H34-$Q34)/9</f>
        <v/>
      </c>
      <c r="J34" s="269">
        <f>I34-($I34-$Q34)/8</f>
        <v/>
      </c>
      <c r="K34" s="269">
        <f>J34-($J34-$Q34)/7</f>
        <v/>
      </c>
      <c r="L34" s="269">
        <f>K34-($K34-$Q34)/6</f>
        <v/>
      </c>
      <c r="M34" s="269">
        <f>L34-($L34-$Q34)/5</f>
        <v/>
      </c>
      <c r="N34" s="269">
        <f>M34-($M34-$Q34)/4</f>
        <v/>
      </c>
      <c r="O34" s="269">
        <f>N34-($N34-$Q34)/3</f>
        <v/>
      </c>
      <c r="P34" s="269">
        <f>O34-($O34-$Q34)/2</f>
        <v/>
      </c>
      <c r="Q34" s="269">
        <f>$F34</f>
        <v/>
      </c>
      <c r="R34" s="257">
        <f>$Q34</f>
        <v/>
      </c>
    </row>
    <row r="35">
      <c r="A35" t="inlineStr">
        <is>
          <t>Ending Other Current Liabs/Sales</t>
        </is>
      </c>
      <c r="B35" s="256">
        <f>'Financial Statements'!B47/'Financial Statements'!B12</f>
        <v/>
      </c>
      <c r="C35" s="256">
        <f>'Financial Statements'!C47/'Financial Statements'!C12</f>
        <v/>
      </c>
      <c r="D35" s="256">
        <f>'Financial Statements'!D47/'Financial Statements'!D12</f>
        <v/>
      </c>
      <c r="E35" s="256">
        <f>'Financial Statements'!E47/'Financial Statements'!E12</f>
        <v/>
      </c>
      <c r="F35" s="256">
        <f>'Financial Statements'!F47/'Financial Statements'!F12</f>
        <v/>
      </c>
      <c r="G35" s="269">
        <f>F35-($F35-$Q35)/11</f>
        <v/>
      </c>
      <c r="H35" s="269">
        <f>G35-($G35-$Q35)/10</f>
        <v/>
      </c>
      <c r="I35" s="269">
        <f>H35-($H35-$Q35)/9</f>
        <v/>
      </c>
      <c r="J35" s="269">
        <f>I35-($I35-$Q35)/8</f>
        <v/>
      </c>
      <c r="K35" s="269">
        <f>J35-($J35-$Q35)/7</f>
        <v/>
      </c>
      <c r="L35" s="269">
        <f>K35-($K35-$Q35)/6</f>
        <v/>
      </c>
      <c r="M35" s="269">
        <f>L35-($L35-$Q35)/5</f>
        <v/>
      </c>
      <c r="N35" s="269">
        <f>M35-($M35-$Q35)/4</f>
        <v/>
      </c>
      <c r="O35" s="269">
        <f>N35-($N35-$Q35)/3</f>
        <v/>
      </c>
      <c r="P35" s="269">
        <f>O35-($O35-$Q35)/2</f>
        <v/>
      </c>
      <c r="Q35" s="269">
        <f>$F35</f>
        <v/>
      </c>
      <c r="R35" s="257">
        <f>$Q35</f>
        <v/>
      </c>
    </row>
    <row r="36">
      <c r="A36" s="100" t="inlineStr">
        <is>
          <t>Other Operating Asset Assumptions</t>
        </is>
      </c>
      <c r="B36" s="256" t="n"/>
      <c r="C36" s="256" t="n"/>
      <c r="D36" s="256" t="n"/>
      <c r="E36" s="256" t="n"/>
      <c r="F36" s="256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</row>
    <row r="37">
      <c r="A37" t="inlineStr">
        <is>
          <t>Ending Net PP&amp;E/Sales</t>
        </is>
      </c>
      <c r="B37" s="256">
        <f>'Financial Statements'!B38/'Financial Statements'!B12</f>
        <v/>
      </c>
      <c r="C37" s="256">
        <f>'Financial Statements'!C38/'Financial Statements'!C12</f>
        <v/>
      </c>
      <c r="D37" s="256">
        <f>'Financial Statements'!D38/'Financial Statements'!D12</f>
        <v/>
      </c>
      <c r="E37" s="256">
        <f>'Financial Statements'!E38/'Financial Statements'!E12</f>
        <v/>
      </c>
      <c r="F37" s="256">
        <f>'Financial Statements'!F38/'Financial Statements'!F12</f>
        <v/>
      </c>
      <c r="G37" s="269">
        <f>F37-($F37-$Q37)/11</f>
        <v/>
      </c>
      <c r="H37" s="269">
        <f>G37-($G37-$Q37)/10</f>
        <v/>
      </c>
      <c r="I37" s="269">
        <f>H37-($H37-$Q37)/9</f>
        <v/>
      </c>
      <c r="J37" s="269">
        <f>I37-($I37-$Q37)/8</f>
        <v/>
      </c>
      <c r="K37" s="269">
        <f>J37-($J37-$Q37)/7</f>
        <v/>
      </c>
      <c r="L37" s="269">
        <f>K37-($K37-$Q37)/6</f>
        <v/>
      </c>
      <c r="M37" s="269">
        <f>L37-($L37-$Q37)/5</f>
        <v/>
      </c>
      <c r="N37" s="269">
        <f>M37-($M37-$Q37)/4</f>
        <v/>
      </c>
      <c r="O37" s="269">
        <f>N37-($N37-$Q37)/3</f>
        <v/>
      </c>
      <c r="P37" s="269">
        <f>O37-($O37-$Q37)/2</f>
        <v/>
      </c>
      <c r="Q37" s="269">
        <f>$F37</f>
        <v/>
      </c>
      <c r="R37" s="257">
        <f>$Q37</f>
        <v/>
      </c>
    </row>
    <row r="38">
      <c r="A38" t="inlineStr">
        <is>
          <t>Ending Investments/Sales</t>
        </is>
      </c>
      <c r="B38" s="256">
        <f>'Financial Statements'!B39/'Financial Statements'!B12</f>
        <v/>
      </c>
      <c r="C38" s="256">
        <f>'Financial Statements'!C39/'Financial Statements'!C12</f>
        <v/>
      </c>
      <c r="D38" s="256">
        <f>'Financial Statements'!D39/'Financial Statements'!D12</f>
        <v/>
      </c>
      <c r="E38" s="256">
        <f>'Financial Statements'!E39/'Financial Statements'!E12</f>
        <v/>
      </c>
      <c r="F38" s="256">
        <f>'Financial Statements'!F39/'Financial Statements'!F12</f>
        <v/>
      </c>
      <c r="G38" s="269">
        <f>F38-($F38-$Q38)/11</f>
        <v/>
      </c>
      <c r="H38" s="269">
        <f>G38-($G38-$Q38)/10</f>
        <v/>
      </c>
      <c r="I38" s="269">
        <f>H38-($H38-$Q38)/9</f>
        <v/>
      </c>
      <c r="J38" s="269">
        <f>I38-($I38-$Q38)/8</f>
        <v/>
      </c>
      <c r="K38" s="269">
        <f>J38-($J38-$Q38)/7</f>
        <v/>
      </c>
      <c r="L38" s="269">
        <f>K38-($K38-$Q38)/6</f>
        <v/>
      </c>
      <c r="M38" s="269">
        <f>L38-($L38-$Q38)/5</f>
        <v/>
      </c>
      <c r="N38" s="269">
        <f>M38-($M38-$Q38)/4</f>
        <v/>
      </c>
      <c r="O38" s="269">
        <f>N38-($N38-$Q38)/3</f>
        <v/>
      </c>
      <c r="P38" s="269">
        <f>O38-($O38-$Q38)/2</f>
        <v/>
      </c>
      <c r="Q38" s="269">
        <f>$F38</f>
        <v/>
      </c>
      <c r="R38" s="257">
        <f>$Q38</f>
        <v/>
      </c>
    </row>
    <row r="39">
      <c r="A39" t="inlineStr">
        <is>
          <t>Ending Intangibles/Sales</t>
        </is>
      </c>
      <c r="B39" s="256">
        <f>'Financial Statements'!B40/'Financial Statements'!B12</f>
        <v/>
      </c>
      <c r="C39" s="256">
        <f>'Financial Statements'!C40/'Financial Statements'!C12</f>
        <v/>
      </c>
      <c r="D39" s="256">
        <f>'Financial Statements'!D40/'Financial Statements'!D12</f>
        <v/>
      </c>
      <c r="E39" s="256">
        <f>'Financial Statements'!E40/'Financial Statements'!E12</f>
        <v/>
      </c>
      <c r="F39" s="256">
        <f>'Financial Statements'!F40/'Financial Statements'!F12</f>
        <v/>
      </c>
      <c r="G39" s="269">
        <f>F39-($F39-$Q39)/11</f>
        <v/>
      </c>
      <c r="H39" s="269">
        <f>G39-($G39-$Q39)/10</f>
        <v/>
      </c>
      <c r="I39" s="269">
        <f>H39-($H39-$Q39)/9</f>
        <v/>
      </c>
      <c r="J39" s="269">
        <f>I39-($I39-$Q39)/8</f>
        <v/>
      </c>
      <c r="K39" s="269">
        <f>J39-($J39-$Q39)/7</f>
        <v/>
      </c>
      <c r="L39" s="269">
        <f>K39-($K39-$Q39)/6</f>
        <v/>
      </c>
      <c r="M39" s="269">
        <f>L39-($L39-$Q39)/5</f>
        <v/>
      </c>
      <c r="N39" s="269">
        <f>M39-($M39-$Q39)/4</f>
        <v/>
      </c>
      <c r="O39" s="269">
        <f>N39-($N39-$Q39)/3</f>
        <v/>
      </c>
      <c r="P39" s="269">
        <f>O39-($O39-$Q39)/2</f>
        <v/>
      </c>
      <c r="Q39" s="269">
        <f>$F39</f>
        <v/>
      </c>
      <c r="R39" s="257">
        <f>$Q39</f>
        <v/>
      </c>
    </row>
    <row r="40">
      <c r="A40" t="inlineStr">
        <is>
          <t>Ending Other Assets/Sales</t>
        </is>
      </c>
      <c r="B40" s="256">
        <f>'Financial Statements'!B41/'Financial Statements'!B12</f>
        <v/>
      </c>
      <c r="C40" s="256">
        <f>'Financial Statements'!C41/'Financial Statements'!C12</f>
        <v/>
      </c>
      <c r="D40" s="256">
        <f>'Financial Statements'!D41/'Financial Statements'!D12</f>
        <v/>
      </c>
      <c r="E40" s="256">
        <f>'Financial Statements'!E41/'Financial Statements'!E12</f>
        <v/>
      </c>
      <c r="F40" s="256">
        <f>'Financial Statements'!F41/'Financial Statements'!F12</f>
        <v/>
      </c>
      <c r="G40" s="269">
        <f>F40-($F40-$Q40)/11</f>
        <v/>
      </c>
      <c r="H40" s="269">
        <f>G40-($G40-$Q40)/10</f>
        <v/>
      </c>
      <c r="I40" s="269">
        <f>H40-($H40-$Q40)/9</f>
        <v/>
      </c>
      <c r="J40" s="269">
        <f>I40-($I40-$Q40)/8</f>
        <v/>
      </c>
      <c r="K40" s="269">
        <f>J40-($J40-$Q40)/7</f>
        <v/>
      </c>
      <c r="L40" s="269">
        <f>K40-($K40-$Q40)/6</f>
        <v/>
      </c>
      <c r="M40" s="269">
        <f>L40-($L40-$Q40)/5</f>
        <v/>
      </c>
      <c r="N40" s="269">
        <f>M40-($M40-$Q40)/4</f>
        <v/>
      </c>
      <c r="O40" s="269">
        <f>N40-($N40-$Q40)/3</f>
        <v/>
      </c>
      <c r="P40" s="269">
        <f>O40-($O40-$Q40)/2</f>
        <v/>
      </c>
      <c r="Q40" s="269">
        <f>$F40</f>
        <v/>
      </c>
      <c r="R40" s="257">
        <f>$Q40</f>
        <v/>
      </c>
    </row>
    <row r="41">
      <c r="A41" s="100" t="inlineStr">
        <is>
          <t>Other Operating Liability Assumptions</t>
        </is>
      </c>
      <c r="B41" s="256" t="n"/>
      <c r="C41" s="256" t="n"/>
      <c r="D41" s="256" t="n"/>
      <c r="E41" s="256" t="n"/>
      <c r="F41" s="256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</row>
    <row r="42">
      <c r="A42" t="inlineStr">
        <is>
          <t>Other Liabilities/Sales</t>
        </is>
      </c>
      <c r="B42" s="256">
        <f>'Financial Statements'!B50/'Financial Statements'!B12</f>
        <v/>
      </c>
      <c r="C42" s="256">
        <f>'Financial Statements'!C50/'Financial Statements'!C12</f>
        <v/>
      </c>
      <c r="D42" s="256">
        <f>'Financial Statements'!D50/'Financial Statements'!D12</f>
        <v/>
      </c>
      <c r="E42" s="256">
        <f>'Financial Statements'!E50/'Financial Statements'!E12</f>
        <v/>
      </c>
      <c r="F42" s="256">
        <f>'Financial Statements'!F50/'Financial Statements'!F12</f>
        <v/>
      </c>
      <c r="G42" s="269">
        <f>F42-($F42-$Q42)/11</f>
        <v/>
      </c>
      <c r="H42" s="269">
        <f>G42-($G42-$Q42)/10</f>
        <v/>
      </c>
      <c r="I42" s="269">
        <f>H42-($H42-$Q42)/9</f>
        <v/>
      </c>
      <c r="J42" s="269">
        <f>I42-($I42-$Q42)/8</f>
        <v/>
      </c>
      <c r="K42" s="269">
        <f>J42-($J42-$Q42)/7</f>
        <v/>
      </c>
      <c r="L42" s="269">
        <f>K42-($K42-$Q42)/6</f>
        <v/>
      </c>
      <c r="M42" s="269">
        <f>L42-($L42-$Q42)/5</f>
        <v/>
      </c>
      <c r="N42" s="269">
        <f>M42-($M42-$Q42)/4</f>
        <v/>
      </c>
      <c r="O42" s="269">
        <f>N42-($N42-$Q42)/3</f>
        <v/>
      </c>
      <c r="P42" s="269">
        <f>O42-($O42-$Q42)/2</f>
        <v/>
      </c>
      <c r="Q42" s="269">
        <f>$F42</f>
        <v/>
      </c>
      <c r="R42" s="257">
        <f>$Q42</f>
        <v/>
      </c>
    </row>
    <row r="43">
      <c r="A43" t="inlineStr">
        <is>
          <t>Deferred Taxes/Sales</t>
        </is>
      </c>
      <c r="B43" s="256">
        <f>'Financial Statements'!B51/'Financial Statements'!B12</f>
        <v/>
      </c>
      <c r="C43" s="256">
        <f>'Financial Statements'!C51/'Financial Statements'!C12</f>
        <v/>
      </c>
      <c r="D43" s="256">
        <f>'Financial Statements'!D51/'Financial Statements'!D12</f>
        <v/>
      </c>
      <c r="E43" s="256">
        <f>'Financial Statements'!E51/'Financial Statements'!E12</f>
        <v/>
      </c>
      <c r="F43" s="256">
        <f>'Financial Statements'!F51/'Financial Statements'!F12</f>
        <v/>
      </c>
      <c r="G43" s="269">
        <f>F43-($F43-$Q43)/11</f>
        <v/>
      </c>
      <c r="H43" s="269">
        <f>G43-($G43-$Q43)/10</f>
        <v/>
      </c>
      <c r="I43" s="269">
        <f>H43-($H43-$Q43)/9</f>
        <v/>
      </c>
      <c r="J43" s="269">
        <f>I43-($I43-$Q43)/8</f>
        <v/>
      </c>
      <c r="K43" s="269">
        <f>J43-($J43-$Q43)/7</f>
        <v/>
      </c>
      <c r="L43" s="269">
        <f>K43-($K43-$Q43)/6</f>
        <v/>
      </c>
      <c r="M43" s="269">
        <f>L43-($L43-$Q43)/5</f>
        <v/>
      </c>
      <c r="N43" s="269">
        <f>M43-($M43-$Q43)/4</f>
        <v/>
      </c>
      <c r="O43" s="269">
        <f>N43-($N43-$Q43)/3</f>
        <v/>
      </c>
      <c r="P43" s="269">
        <f>O43-($O43-$Q43)/2</f>
        <v/>
      </c>
      <c r="Q43" s="269">
        <f>$F43</f>
        <v/>
      </c>
      <c r="R43" s="257">
        <f>$Q43</f>
        <v/>
      </c>
    </row>
    <row r="44">
      <c r="A44" s="100" t="inlineStr">
        <is>
          <t>Financing Assumptions</t>
        </is>
      </c>
      <c r="B44" s="150" t="n"/>
      <c r="C44" s="150" t="n"/>
      <c r="D44" s="150" t="n"/>
      <c r="E44" s="150" t="n"/>
      <c r="F44" s="150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</row>
    <row r="45">
      <c r="A45" t="inlineStr">
        <is>
          <t>Current Debt/Total Assets</t>
        </is>
      </c>
      <c r="B45" s="256">
        <f>'Financial Statements'!B44/'Financial Statements'!B42</f>
        <v/>
      </c>
      <c r="C45" s="256">
        <f>'Financial Statements'!C44/'Financial Statements'!C42</f>
        <v/>
      </c>
      <c r="D45" s="256">
        <f>'Financial Statements'!D44/'Financial Statements'!D42</f>
        <v/>
      </c>
      <c r="E45" s="256">
        <f>'Financial Statements'!E44/'Financial Statements'!E42</f>
        <v/>
      </c>
      <c r="F45" s="256">
        <f>'Financial Statements'!F44/'Financial Statements'!F42</f>
        <v/>
      </c>
      <c r="G45" s="269">
        <f>F45-($F45-$Q45)/11</f>
        <v/>
      </c>
      <c r="H45" s="269">
        <f>G45-($G45-$Q45)/10</f>
        <v/>
      </c>
      <c r="I45" s="269">
        <f>H45-($H45-$Q45)/9</f>
        <v/>
      </c>
      <c r="J45" s="269">
        <f>I45-($I45-$Q45)/8</f>
        <v/>
      </c>
      <c r="K45" s="269">
        <f>J45-($J45-$Q45)/7</f>
        <v/>
      </c>
      <c r="L45" s="269">
        <f>K45-($K45-$Q45)/6</f>
        <v/>
      </c>
      <c r="M45" s="269">
        <f>L45-($L45-$Q45)/5</f>
        <v/>
      </c>
      <c r="N45" s="269">
        <f>M45-($M45-$Q45)/4</f>
        <v/>
      </c>
      <c r="O45" s="269">
        <f>N45-($N45-$Q45)/3</f>
        <v/>
      </c>
      <c r="P45" s="269">
        <f>O45-($O45-$Q45)/2</f>
        <v/>
      </c>
      <c r="Q45" s="269">
        <f>$F45</f>
        <v/>
      </c>
      <c r="R45" s="257">
        <f>$Q45</f>
        <v/>
      </c>
    </row>
    <row r="46">
      <c r="A46" t="inlineStr">
        <is>
          <t>Long-Term Debt/Total Assets</t>
        </is>
      </c>
      <c r="B46" s="256">
        <f>'Financial Statements'!B49/'Financial Statements'!B42</f>
        <v/>
      </c>
      <c r="C46" s="256">
        <f>'Financial Statements'!C49/'Financial Statements'!C42</f>
        <v/>
      </c>
      <c r="D46" s="256">
        <f>'Financial Statements'!D49/'Financial Statements'!D42</f>
        <v/>
      </c>
      <c r="E46" s="256">
        <f>'Financial Statements'!E49/'Financial Statements'!E42</f>
        <v/>
      </c>
      <c r="F46" s="256">
        <f>'Financial Statements'!F49/'Financial Statements'!F42</f>
        <v/>
      </c>
      <c r="G46" s="269">
        <f>F46-($F46-$Q46)/11</f>
        <v/>
      </c>
      <c r="H46" s="269">
        <f>G46-($G46-$Q46)/10</f>
        <v/>
      </c>
      <c r="I46" s="269">
        <f>H46-($H46-$Q46)/9</f>
        <v/>
      </c>
      <c r="J46" s="269">
        <f>I46-($I46-$Q46)/8</f>
        <v/>
      </c>
      <c r="K46" s="269">
        <f>J46-($J46-$Q46)/7</f>
        <v/>
      </c>
      <c r="L46" s="269">
        <f>K46-($K46-$Q46)/6</f>
        <v/>
      </c>
      <c r="M46" s="269">
        <f>L46-($L46-$Q46)/5</f>
        <v/>
      </c>
      <c r="N46" s="269">
        <f>M46-($M46-$Q46)/4</f>
        <v/>
      </c>
      <c r="O46" s="269">
        <f>N46-($N46-$Q46)/3</f>
        <v/>
      </c>
      <c r="P46" s="269">
        <f>O46-($O46-$Q46)/2</f>
        <v/>
      </c>
      <c r="Q46" s="269">
        <f>$F46</f>
        <v/>
      </c>
      <c r="R46" s="257">
        <f>$Q46</f>
        <v/>
      </c>
    </row>
    <row r="47">
      <c r="A47" t="inlineStr">
        <is>
          <t>Noncontrolling Interest/Total Assets</t>
        </is>
      </c>
      <c r="B47" s="256">
        <f>'Financial Statements'!B53/'Financial Statements'!B42</f>
        <v/>
      </c>
      <c r="C47" s="256">
        <f>'Financial Statements'!C53/'Financial Statements'!C42</f>
        <v/>
      </c>
      <c r="D47" s="256">
        <f>'Financial Statements'!D53/'Financial Statements'!D42</f>
        <v/>
      </c>
      <c r="E47" s="256">
        <f>'Financial Statements'!E53/'Financial Statements'!E42</f>
        <v/>
      </c>
      <c r="F47" s="256">
        <f>'Financial Statements'!F53/'Financial Statements'!F42</f>
        <v/>
      </c>
      <c r="G47" s="269">
        <f>F47-($F47-$Q47)/11</f>
        <v/>
      </c>
      <c r="H47" s="269">
        <f>G47-($G47-$Q47)/10</f>
        <v/>
      </c>
      <c r="I47" s="269">
        <f>H47-($H47-$Q47)/9</f>
        <v/>
      </c>
      <c r="J47" s="269">
        <f>I47-($I47-$Q47)/8</f>
        <v/>
      </c>
      <c r="K47" s="269">
        <f>J47-($J47-$Q47)/7</f>
        <v/>
      </c>
      <c r="L47" s="269">
        <f>K47-($K47-$Q47)/6</f>
        <v/>
      </c>
      <c r="M47" s="269">
        <f>L47-($L47-$Q47)/5</f>
        <v/>
      </c>
      <c r="N47" s="269">
        <f>M47-($M47-$Q47)/4</f>
        <v/>
      </c>
      <c r="O47" s="269">
        <f>N47-($N47-$Q47)/3</f>
        <v/>
      </c>
      <c r="P47" s="269">
        <f>O47-($O47-$Q47)/2</f>
        <v/>
      </c>
      <c r="Q47" s="269">
        <f>$F47</f>
        <v/>
      </c>
      <c r="R47" s="257">
        <f>$Q47</f>
        <v/>
      </c>
    </row>
    <row r="48">
      <c r="A48" t="inlineStr">
        <is>
          <t>Preferred Stock/Total Assets</t>
        </is>
      </c>
      <c r="B48" s="256">
        <f>'Financial Statements'!B54/'Financial Statements'!B42</f>
        <v/>
      </c>
      <c r="C48" s="256">
        <f>'Financial Statements'!C54/'Financial Statements'!C42</f>
        <v/>
      </c>
      <c r="D48" s="256">
        <f>'Financial Statements'!D54/'Financial Statements'!D42</f>
        <v/>
      </c>
      <c r="E48" s="256">
        <f>'Financial Statements'!E54/'Financial Statements'!E42</f>
        <v/>
      </c>
      <c r="F48" s="256">
        <f>'Financial Statements'!F54/'Financial Statements'!F42</f>
        <v/>
      </c>
      <c r="G48" s="269">
        <f>F48-($F48-$Q48)/11</f>
        <v/>
      </c>
      <c r="H48" s="269">
        <f>G48-($G48-$Q48)/10</f>
        <v/>
      </c>
      <c r="I48" s="269">
        <f>H48-($H48-$Q48)/9</f>
        <v/>
      </c>
      <c r="J48" s="269">
        <f>I48-($I48-$Q48)/8</f>
        <v/>
      </c>
      <c r="K48" s="269">
        <f>J48-($J48-$Q48)/7</f>
        <v/>
      </c>
      <c r="L48" s="269">
        <f>K48-($K48-$Q48)/6</f>
        <v/>
      </c>
      <c r="M48" s="269">
        <f>L48-($L48-$Q48)/5</f>
        <v/>
      </c>
      <c r="N48" s="269">
        <f>M48-($M48-$Q48)/4</f>
        <v/>
      </c>
      <c r="O48" s="269">
        <f>N48-($N48-$Q48)/3</f>
        <v/>
      </c>
      <c r="P48" s="269">
        <f>O48-($O48-$Q48)/2</f>
        <v/>
      </c>
      <c r="Q48" s="269">
        <f>$F48</f>
        <v/>
      </c>
      <c r="R48" s="257">
        <f>$Q48</f>
        <v/>
      </c>
    </row>
    <row r="49">
      <c r="A49" t="inlineStr">
        <is>
          <t>Dividend Payout Ratio</t>
        </is>
      </c>
      <c r="B49" s="256">
        <f>IF('Financial Statements'!B29=0,0,-'Financial Statements'!B64/'Financial Statements'!B29)</f>
        <v/>
      </c>
      <c r="C49" s="256">
        <f>IF('Financial Statements'!C29=0,0,-'Financial Statements'!C64/'Financial Statements'!C29)</f>
        <v/>
      </c>
      <c r="D49" s="256">
        <f>IF('Financial Statements'!D29=0,0,-'Financial Statements'!D64/'Financial Statements'!D29)</f>
        <v/>
      </c>
      <c r="E49" s="256">
        <f>IF('Financial Statements'!E29=0,0,-'Financial Statements'!E64/'Financial Statements'!E29)</f>
        <v/>
      </c>
      <c r="F49" s="256">
        <f>IF('Financial Statements'!F29=0,0,-'Financial Statements'!F64/'Financial Statements'!F29)</f>
        <v/>
      </c>
      <c r="G49" s="269">
        <f>F49-($F49-$Q49)/11</f>
        <v/>
      </c>
      <c r="H49" s="269">
        <f>G49-($G49-$Q49)/10</f>
        <v/>
      </c>
      <c r="I49" s="269">
        <f>H49-($H49-$Q49)/9</f>
        <v/>
      </c>
      <c r="J49" s="269">
        <f>I49-($I49-$Q49)/8</f>
        <v/>
      </c>
      <c r="K49" s="269">
        <f>J49-($J49-$Q49)/7</f>
        <v/>
      </c>
      <c r="L49" s="269">
        <f>K49-($K49-$Q49)/6</f>
        <v/>
      </c>
      <c r="M49" s="269">
        <f>L49-($L49-$Q49)/5</f>
        <v/>
      </c>
      <c r="N49" s="269">
        <f>M49-($M49-$Q49)/4</f>
        <v/>
      </c>
      <c r="O49" s="269">
        <f>N49-($N49-$Q49)/3</f>
        <v/>
      </c>
      <c r="P49" s="269">
        <f>O49-($O49-$Q49)/2</f>
        <v/>
      </c>
      <c r="Q49" s="269">
        <f>$F49</f>
        <v/>
      </c>
      <c r="R49" s="257">
        <f>$Q49</f>
        <v/>
      </c>
    </row>
  </sheetData>
  <mergeCells count="1">
    <mergeCell ref="K2:L2"/>
  </mergeCells>
  <pageMargins left="0.75" right="0.75" top="1" bottom="1" header="0.5" footer="0.5"/>
  <pageSetup orientation="portrait" paperSize="1"/>
</worksheet>
</file>

<file path=xl/worksheets/sheet8.xml><?xml version="1.0" encoding="utf-8"?>
<worksheet xmlns="http://schemas.openxmlformats.org/spreadsheetml/2006/main">
  <sheetPr codeName="Sheet14">
    <outlinePr summaryBelow="1" summaryRight="1"/>
    <pageSetUpPr/>
  </sheetPr>
  <dimension ref="A1:L40"/>
  <sheetViews>
    <sheetView topLeftCell="A2" zoomScale="125" zoomScaleNormal="125" workbookViewId="0">
      <selection activeCell="A1" sqref="A1:D1"/>
    </sheetView>
  </sheetViews>
  <sheetFormatPr baseColWidth="8" defaultColWidth="8.830357142857141" defaultRowHeight="15.2"/>
  <cols>
    <col width="8.830357142857141" customWidth="1" style="228" min="1" max="2"/>
    <col width="9.830357142857141" customWidth="1" style="228" min="3" max="3"/>
    <col width="8.830357142857141" customWidth="1" style="228" min="4" max="4"/>
    <col width="9.330357142857141" customWidth="1" style="228" min="5" max="5"/>
    <col width="8.830357142857141" customWidth="1" style="228" min="6" max="9"/>
    <col width="10.6607142857143" customWidth="1" style="228" min="10" max="10"/>
    <col width="8.830357142857141" customWidth="1" style="228" min="11" max="11"/>
    <col width="3.66071428571429" customWidth="1" style="228" min="12" max="12"/>
    <col width="8.830357142857141" customWidth="1" style="228" min="13" max="16384"/>
  </cols>
  <sheetData>
    <row r="1" ht="18" customHeight="1" s="16">
      <c r="A1" s="163" t="inlineStr">
        <is>
          <t>Valuation Parameters</t>
        </is>
      </c>
      <c r="E1" s="140" t="n"/>
      <c r="F1" s="140" t="n"/>
      <c r="G1" s="140" t="n"/>
      <c r="H1" s="140" t="n"/>
      <c r="I1" s="140" t="n"/>
      <c r="J1" s="140" t="n"/>
      <c r="K1" s="140" t="n"/>
      <c r="L1" s="140" t="n"/>
    </row>
    <row r="2" ht="18" customHeight="1" s="16">
      <c r="A2" s="110" t="n"/>
      <c r="B2" s="270" t="n"/>
      <c r="C2" s="270" t="n"/>
      <c r="D2" s="90" t="n"/>
      <c r="E2" s="141" t="n"/>
      <c r="F2" s="141" t="n"/>
      <c r="G2" s="141" t="n"/>
      <c r="H2" s="141" t="n"/>
      <c r="I2" s="141" t="n"/>
      <c r="J2" s="141" t="n"/>
      <c r="K2" s="141" t="n"/>
      <c r="L2" s="141" t="n"/>
    </row>
    <row r="3" ht="18" customHeight="1" s="16">
      <c r="A3" s="111" t="n"/>
      <c r="B3" s="112" t="n">
        <v>0.03</v>
      </c>
      <c r="C3" s="112" t="n"/>
      <c r="D3" s="113" t="n"/>
      <c r="E3" s="229" t="n"/>
      <c r="F3" s="229" t="n"/>
      <c r="G3" s="229" t="n"/>
      <c r="H3" s="229" t="n"/>
      <c r="I3" s="229" t="n"/>
      <c r="J3" s="229" t="n"/>
      <c r="K3" s="229" t="n"/>
      <c r="L3" s="229" t="n"/>
    </row>
    <row r="4" ht="18" customHeight="1" s="16">
      <c r="A4" s="114">
        <f>"Estimated Price/Share="&amp;DOLLAR(B24)</f>
        <v/>
      </c>
      <c r="B4" s="115" t="n">
        <v>0.025</v>
      </c>
      <c r="C4" s="116" t="n"/>
      <c r="D4" s="229" t="n"/>
      <c r="E4" s="229" t="n"/>
      <c r="F4" s="229" t="n"/>
      <c r="G4" s="229" t="n"/>
      <c r="H4" s="229" t="n"/>
      <c r="I4" s="229" t="n"/>
      <c r="J4" s="229" t="n"/>
      <c r="K4" s="229" t="n"/>
      <c r="L4" s="229" t="n"/>
    </row>
    <row r="5">
      <c r="A5" s="118" t="n"/>
      <c r="B5" s="229" t="n"/>
      <c r="C5" s="118" t="n"/>
      <c r="D5" s="113" t="n"/>
      <c r="E5" s="229" t="n"/>
      <c r="F5" s="229" t="n"/>
      <c r="G5" s="229" t="n"/>
      <c r="H5" s="229" t="n"/>
      <c r="I5" s="229" t="n"/>
      <c r="J5" s="229" t="n"/>
      <c r="K5" s="229" t="n"/>
      <c r="L5" s="229" t="n"/>
    </row>
    <row r="6">
      <c r="A6" s="113" t="inlineStr">
        <is>
          <t>Company Name:</t>
        </is>
      </c>
      <c r="B6" s="229" t="n"/>
      <c r="C6" s="119">
        <f>'Financial Statements'!B4</f>
        <v/>
      </c>
      <c r="D6" s="229" t="n"/>
      <c r="E6" s="229" t="n"/>
      <c r="F6" s="229" t="n"/>
      <c r="G6" s="229" t="n"/>
      <c r="H6" s="229" t="n"/>
      <c r="I6" s="229" t="n"/>
      <c r="J6" s="229" t="n"/>
      <c r="K6" s="229" t="n"/>
      <c r="L6" s="229" t="n"/>
    </row>
    <row r="7">
      <c r="A7" s="229" t="n"/>
      <c r="B7" s="229" t="n"/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</row>
    <row r="8">
      <c r="A8" s="113" t="inlineStr">
        <is>
          <t>Required Valuation Parameters (to compute value of common equity):</t>
        </is>
      </c>
      <c r="B8" s="229" t="n"/>
      <c r="C8" s="229" t="n"/>
      <c r="D8" s="229" t="n"/>
      <c r="E8" s="229" t="n"/>
      <c r="F8" s="229" t="n"/>
      <c r="G8" s="229" t="n"/>
      <c r="H8" s="229" t="n"/>
      <c r="I8" s="229" t="n"/>
      <c r="J8" s="229" t="n"/>
      <c r="K8" s="229" t="n"/>
      <c r="L8" s="229" t="n"/>
    </row>
    <row r="9">
      <c r="A9" s="120" t="n"/>
      <c r="B9" s="121" t="inlineStr">
        <is>
          <t>Enter Cost of Equity Capital:</t>
        </is>
      </c>
      <c r="C9" s="113" t="n"/>
      <c r="D9" s="113" t="n"/>
      <c r="E9" s="118" t="n"/>
      <c r="F9" s="229" t="n"/>
      <c r="G9" s="118" t="n"/>
      <c r="H9" s="118" t="n"/>
      <c r="I9" s="118" t="n"/>
      <c r="J9" s="126" t="n">
        <v>0.1</v>
      </c>
      <c r="K9" s="229" t="n"/>
      <c r="L9" s="229" t="n"/>
    </row>
    <row r="10">
      <c r="A10" s="120" t="n"/>
      <c r="B10" s="121" t="inlineStr">
        <is>
          <t>Enter Value of Contingent Claims on Common Equity ($000):</t>
        </is>
      </c>
      <c r="C10" s="229" t="n"/>
      <c r="D10" s="229" t="n"/>
      <c r="E10" s="229" t="n"/>
      <c r="F10" s="229" t="n"/>
      <c r="G10" s="229" t="n"/>
      <c r="H10" s="125" t="inlineStr">
        <is>
          <t>(Link to Calculator)</t>
        </is>
      </c>
      <c r="I10" s="229" t="n"/>
      <c r="J10" s="127" t="n">
        <v>0</v>
      </c>
      <c r="K10" s="229" t="n"/>
      <c r="L10" s="229" t="n"/>
    </row>
    <row r="11">
      <c r="A11" s="120" t="n"/>
      <c r="B11" s="121" t="inlineStr">
        <is>
          <t>Enter Date of Valuation:</t>
        </is>
      </c>
      <c r="C11" s="229" t="n"/>
      <c r="D11" s="229" t="n"/>
      <c r="E11" s="229" t="n"/>
      <c r="F11" s="229" t="n"/>
      <c r="G11" s="229" t="n"/>
      <c r="H11" s="229" t="n"/>
      <c r="I11" s="229" t="n"/>
      <c r="J11" s="271">
        <f>TODAY()</f>
        <v/>
      </c>
      <c r="K11" s="229" t="n"/>
      <c r="L11" s="229" t="n"/>
    </row>
    <row r="12">
      <c r="A12" s="120" t="n"/>
      <c r="B12" s="121" t="inlineStr">
        <is>
          <t>Enter Dilution Factor for Splits Occurring Since Latest Fiscal Year End:</t>
        </is>
      </c>
      <c r="C12" s="229" t="n"/>
      <c r="D12" s="229" t="n"/>
      <c r="E12" s="229" t="n"/>
      <c r="F12" s="229" t="n"/>
      <c r="G12" s="229" t="n"/>
      <c r="H12" s="229" t="n"/>
      <c r="I12" s="229" t="n"/>
      <c r="J12" s="272" t="n">
        <v>1</v>
      </c>
      <c r="K12" s="229" t="n"/>
      <c r="L12" s="229" t="n"/>
    </row>
    <row r="13">
      <c r="A13" s="229" t="n"/>
      <c r="B13" s="229" t="n"/>
      <c r="C13" s="229" t="n"/>
      <c r="D13" s="229" t="n"/>
      <c r="E13" s="229" t="n"/>
      <c r="F13" s="229" t="n"/>
      <c r="G13" s="229" t="n"/>
      <c r="H13" s="229" t="n"/>
      <c r="I13" s="229" t="n"/>
      <c r="J13" s="229" t="n"/>
      <c r="K13" s="229" t="n"/>
      <c r="L13" s="229" t="n"/>
    </row>
    <row r="14">
      <c r="A14" s="122" t="inlineStr">
        <is>
          <t>Optional Valuation Parameters (to compute value to all investors):</t>
        </is>
      </c>
      <c r="H14" s="113" t="n"/>
      <c r="I14" s="113" t="n"/>
      <c r="J14" s="229" t="n"/>
      <c r="K14" s="229" t="n"/>
      <c r="L14" s="229" t="n"/>
    </row>
    <row r="15">
      <c r="A15" s="113" t="n"/>
      <c r="B15" s="121" t="inlineStr">
        <is>
          <t xml:space="preserve">Enter Cost of Net Debt:   </t>
        </is>
      </c>
      <c r="C15" s="113" t="n"/>
      <c r="D15" s="113" t="n"/>
      <c r="E15" s="113" t="n"/>
      <c r="F15" s="113" t="n"/>
      <c r="G15" s="113" t="n"/>
      <c r="H15" s="113" t="n"/>
      <c r="I15" s="113" t="n"/>
      <c r="J15" s="126" t="n">
        <v>0.08</v>
      </c>
      <c r="K15" s="229" t="n"/>
      <c r="L15" s="229" t="n"/>
    </row>
    <row r="16">
      <c r="A16" s="113" t="n"/>
      <c r="B16" s="121" t="inlineStr">
        <is>
          <t xml:space="preserve">Enter Cost of Preferred Stock: </t>
        </is>
      </c>
      <c r="C16" s="113" t="n"/>
      <c r="D16" s="113" t="n"/>
      <c r="E16" s="113" t="n"/>
      <c r="F16" s="113" t="n"/>
      <c r="G16" s="113" t="n"/>
      <c r="H16" s="113" t="n"/>
      <c r="I16" s="113" t="n"/>
      <c r="J16" s="126" t="n">
        <v>0.09</v>
      </c>
      <c r="K16" s="229" t="n"/>
      <c r="L16" s="229" t="n"/>
    </row>
    <row r="17">
      <c r="A17" s="113" t="n"/>
      <c r="B17" s="121" t="inlineStr">
        <is>
          <t xml:space="preserve">Enter Cost of Noncontrolling Interest: </t>
        </is>
      </c>
      <c r="C17" s="113" t="n"/>
      <c r="D17" s="113" t="n"/>
      <c r="E17" s="113" t="n"/>
      <c r="F17" s="113" t="n"/>
      <c r="G17" s="113" t="n"/>
      <c r="H17" s="113" t="n"/>
      <c r="I17" s="113" t="n"/>
      <c r="J17" s="126" t="n">
        <v>0.1</v>
      </c>
      <c r="K17" s="229" t="n"/>
      <c r="L17" s="229" t="n"/>
    </row>
    <row r="18">
      <c r="A18" s="229" t="n"/>
      <c r="B18" s="229" t="n"/>
      <c r="C18" s="229" t="n"/>
      <c r="D18" s="229" t="n"/>
      <c r="E18" s="229" t="n"/>
      <c r="F18" s="229" t="n"/>
      <c r="G18" s="229" t="n"/>
      <c r="H18" s="229" t="n"/>
      <c r="I18" s="229" t="n"/>
      <c r="J18" s="229" t="n"/>
      <c r="K18" s="229" t="n"/>
      <c r="L18" s="229" t="n"/>
    </row>
    <row r="19">
      <c r="A19" s="229" t="n"/>
      <c r="B19" s="121" t="inlineStr">
        <is>
          <t xml:space="preserve">Adjust the Weighted Average Cost of Capital Input </t>
        </is>
      </c>
      <c r="C19" s="229" t="n"/>
      <c r="D19" s="229" t="n"/>
      <c r="E19" s="229" t="n"/>
      <c r="F19" s="229" t="n"/>
      <c r="G19" s="229" t="n"/>
      <c r="H19" s="229" t="n"/>
      <c r="I19" s="229" t="n"/>
      <c r="J19" s="273">
        <f>J24</f>
        <v/>
      </c>
      <c r="K19" s="131">
        <f>IF(E24&gt;B24,"up","down")</f>
        <v/>
      </c>
      <c r="L19" s="131" t="n"/>
    </row>
    <row r="20">
      <c r="A20" s="229" t="n"/>
      <c r="B20" s="121" t="inlineStr">
        <is>
          <t>such that the two equity values below are approximately equal:</t>
        </is>
      </c>
      <c r="C20" s="229" t="n"/>
      <c r="D20" s="229" t="n"/>
      <c r="E20" s="229" t="n"/>
      <c r="F20" s="229" t="n"/>
      <c r="G20" s="229" t="n"/>
      <c r="H20" s="229" t="n"/>
      <c r="I20" s="229" t="n"/>
      <c r="J20" s="229" t="n"/>
      <c r="K20" s="229" t="n"/>
      <c r="L20" s="229" t="n"/>
    </row>
    <row r="21">
      <c r="A21" s="229" t="n"/>
      <c r="B21" s="229" t="n"/>
      <c r="C21" s="229" t="n"/>
      <c r="D21" s="229" t="n"/>
      <c r="E21" s="229" t="n"/>
      <c r="F21" s="229" t="n"/>
      <c r="G21" s="229" t="n"/>
      <c r="H21" s="229" t="n"/>
      <c r="I21" s="229" t="n"/>
      <c r="J21" s="229" t="n"/>
      <c r="K21" s="229" t="n"/>
      <c r="L21" s="229" t="n"/>
    </row>
    <row r="22">
      <c r="A22" s="229" t="n"/>
      <c r="B22" s="229" t="inlineStr">
        <is>
          <t>Equity Value computed directly</t>
        </is>
      </c>
      <c r="C22" s="229" t="n"/>
      <c r="D22" s="229" t="n"/>
      <c r="E22" s="229" t="inlineStr">
        <is>
          <t>Equity Value computed indirectly</t>
        </is>
      </c>
      <c r="F22" s="229" t="n"/>
      <c r="G22" s="229" t="n"/>
      <c r="H22" s="229" t="n"/>
      <c r="I22" s="229" t="inlineStr">
        <is>
          <t>approximate weighted average</t>
        </is>
      </c>
      <c r="J22" s="229" t="n"/>
      <c r="K22" s="229" t="n"/>
      <c r="L22" s="229" t="n"/>
    </row>
    <row r="23">
      <c r="A23" s="229" t="n"/>
      <c r="B23" s="229" t="inlineStr">
        <is>
          <t>from flows to equityholders:</t>
        </is>
      </c>
      <c r="C23" s="229" t="n"/>
      <c r="D23" s="229" t="n"/>
      <c r="E23" s="229" t="inlineStr">
        <is>
          <t>as the Entity Value less non-equity claims:</t>
        </is>
      </c>
      <c r="F23" s="229" t="n"/>
      <c r="G23" s="229" t="n"/>
      <c r="H23" s="229" t="n"/>
      <c r="I23" s="229" t="inlineStr">
        <is>
          <t>cost of capital to use as starting point:</t>
        </is>
      </c>
      <c r="J23" s="229" t="n"/>
      <c r="K23" s="229" t="n"/>
      <c r="L23" s="229" t="n"/>
    </row>
    <row r="24">
      <c r="A24" s="229" t="n"/>
      <c r="B24" s="123">
        <f>'Residual Income Valuations'!B27</f>
        <v/>
      </c>
      <c r="C24" s="229" t="n"/>
      <c r="D24" s="229" t="n"/>
      <c r="E24" s="123">
        <f>'Residual Income Valuations'!B68</f>
        <v/>
      </c>
      <c r="F24" s="229" t="n"/>
      <c r="G24" s="229" t="n"/>
      <c r="H24" s="229" t="n"/>
      <c r="I24" s="229" t="n"/>
      <c r="J24" s="132">
        <f>('Residual Income Valuations'!B21*J9+'Residual Income Valuations'!B40*(J15*(1-'Forecasting Assumptions'!Q21))+'Residual Income Valuations'!B46*J16+'Residual Income Valuations'!B52*J17)/('Residual Income Valuations'!B21+'Residual Income Valuations'!B40+'Residual Income Valuations'!B46+'Residual Income Valuations'!B52)</f>
        <v/>
      </c>
      <c r="K24" s="229" t="n"/>
      <c r="L24" s="229" t="n"/>
    </row>
    <row r="27">
      <c r="J27" s="133" t="n"/>
    </row>
    <row r="29" ht="20.4" customHeight="1" s="16">
      <c r="A29" s="163" t="inlineStr">
        <is>
          <t>Black Scholes Option Value Calculator</t>
        </is>
      </c>
      <c r="G29" s="108" t="inlineStr">
        <is>
          <t>(Back to Valuation Parameters)</t>
        </is>
      </c>
      <c r="J29" s="140" t="n"/>
      <c r="K29" s="140" t="n"/>
      <c r="L29" s="140" t="n"/>
    </row>
    <row r="30" ht="20.4" customHeight="1" s="16">
      <c r="A30" s="110" t="n"/>
      <c r="B30" s="270" t="n"/>
      <c r="C30" s="270" t="n"/>
      <c r="D30" s="90" t="n"/>
      <c r="E30" s="141" t="n"/>
      <c r="F30" s="141" t="n"/>
      <c r="G30" s="141" t="n"/>
      <c r="H30" s="141" t="n"/>
      <c r="I30" s="141" t="n"/>
      <c r="J30" s="141" t="n"/>
      <c r="K30" s="141" t="n"/>
      <c r="L30" s="141" t="n"/>
    </row>
    <row r="31">
      <c r="A31" s="124" t="n"/>
      <c r="B31" s="124" t="n"/>
      <c r="C31" s="124" t="n"/>
      <c r="D31" s="113" t="n"/>
      <c r="E31" s="229" t="n"/>
      <c r="F31" s="229" t="n"/>
      <c r="G31" s="229" t="n"/>
      <c r="H31" s="229" t="n"/>
      <c r="I31" s="229" t="n"/>
      <c r="J31" s="229" t="n"/>
      <c r="K31" s="229" t="n"/>
      <c r="L31" s="229" t="n"/>
    </row>
    <row r="32">
      <c r="A32" s="113" t="inlineStr">
        <is>
          <t>Input Parameters:</t>
        </is>
      </c>
      <c r="B32" s="229" t="n"/>
      <c r="C32" s="229" t="n"/>
      <c r="D32" s="113" t="n"/>
      <c r="E32" s="229" t="n"/>
      <c r="F32" s="229" t="n"/>
      <c r="G32" s="229" t="n"/>
      <c r="H32" s="229" t="n"/>
      <c r="I32" s="229" t="n"/>
      <c r="J32" s="229" t="n"/>
      <c r="K32" s="229" t="n"/>
      <c r="L32" s="229" t="n"/>
    </row>
    <row r="33">
      <c r="A33" s="113" t="n"/>
      <c r="B33" s="121" t="inlineStr">
        <is>
          <t>Current Stock Price (S)</t>
        </is>
      </c>
      <c r="C33" s="113" t="n"/>
      <c r="D33" s="229" t="n"/>
      <c r="E33" s="229" t="n"/>
      <c r="F33" s="229" t="n"/>
      <c r="G33" s="229" t="n"/>
      <c r="H33" s="229" t="n"/>
      <c r="I33" s="229" t="n"/>
      <c r="J33" s="274" t="n">
        <v>50</v>
      </c>
      <c r="K33" s="229" t="n"/>
      <c r="L33" s="229" t="n"/>
    </row>
    <row r="34">
      <c r="A34" s="118" t="n"/>
      <c r="B34" s="121" t="inlineStr">
        <is>
          <t>Option Exercise Price (K)</t>
        </is>
      </c>
      <c r="C34" s="118" t="n"/>
      <c r="D34" s="113" t="n"/>
      <c r="E34" s="229" t="n"/>
      <c r="F34" s="229" t="n"/>
      <c r="G34" s="229" t="n"/>
      <c r="H34" s="229" t="n"/>
      <c r="I34" s="229" t="n"/>
      <c r="J34" s="274" t="n">
        <v>50</v>
      </c>
      <c r="K34" s="229" t="n"/>
      <c r="L34" s="229" t="n"/>
    </row>
    <row r="35">
      <c r="A35" s="113" t="n"/>
      <c r="B35" s="121" t="inlineStr">
        <is>
          <t>Years to Expiration (t)</t>
        </is>
      </c>
      <c r="C35" s="119" t="n"/>
      <c r="D35" s="229" t="n"/>
      <c r="E35" s="229" t="n"/>
      <c r="F35" s="229" t="n"/>
      <c r="G35" s="229" t="n"/>
      <c r="H35" s="229" t="n"/>
      <c r="I35" s="229" t="n"/>
      <c r="J35" s="275" t="n">
        <v>5</v>
      </c>
      <c r="K35" s="229" t="n"/>
      <c r="L35" s="229" t="n"/>
    </row>
    <row r="36">
      <c r="A36" s="229" t="n"/>
      <c r="B36" s="121" t="inlineStr">
        <is>
          <t>Forecasted Annual Dividend Yield (y)</t>
        </is>
      </c>
      <c r="C36" s="229" t="n"/>
      <c r="D36" s="229" t="n"/>
      <c r="E36" s="229" t="n"/>
      <c r="F36" s="229" t="n"/>
      <c r="G36" s="229" t="n"/>
      <c r="H36" s="229" t="n"/>
      <c r="I36" s="229" t="n"/>
      <c r="J36" s="136" t="n">
        <v>0.02</v>
      </c>
      <c r="K36" s="229" t="n"/>
      <c r="L36" s="229" t="n"/>
    </row>
    <row r="37">
      <c r="A37" s="113" t="n"/>
      <c r="B37" s="121" t="inlineStr">
        <is>
          <t xml:space="preserve">Risk-Free Rate (r) </t>
        </is>
      </c>
      <c r="C37" s="229" t="n"/>
      <c r="D37" s="229" t="n"/>
      <c r="E37" s="229" t="n"/>
      <c r="F37" s="229" t="n"/>
      <c r="G37" s="229" t="n"/>
      <c r="H37" s="229" t="n"/>
      <c r="I37" s="229" t="n"/>
      <c r="J37" s="136" t="n">
        <v>0.0366</v>
      </c>
      <c r="K37" s="229" t="n"/>
      <c r="L37" s="229" t="n"/>
    </row>
    <row r="38">
      <c r="A38" s="120" t="n"/>
      <c r="B38" s="121" t="inlineStr">
        <is>
          <t>Standard Deviation of Stock Return (s)</t>
        </is>
      </c>
      <c r="C38" s="113" t="n"/>
      <c r="D38" s="113" t="n"/>
      <c r="E38" s="118" t="n"/>
      <c r="F38" s="229" t="n"/>
      <c r="G38" s="118" t="n"/>
      <c r="H38" s="118" t="n"/>
      <c r="I38" s="118" t="n"/>
      <c r="J38" s="136" t="n">
        <v>0.62</v>
      </c>
      <c r="K38" s="229" t="n"/>
      <c r="L38" s="229" t="n"/>
    </row>
    <row r="39">
      <c r="A39" s="120" t="n"/>
      <c r="B39" s="121" t="n"/>
      <c r="C39" s="229" t="n"/>
      <c r="D39" s="229" t="n"/>
      <c r="E39" s="229" t="n"/>
      <c r="F39" s="229" t="n"/>
      <c r="G39" s="229" t="n"/>
      <c r="H39" s="229" t="n"/>
      <c r="I39" s="229" t="n"/>
      <c r="J39" s="229" t="n"/>
      <c r="K39" s="229" t="n"/>
      <c r="L39" s="229" t="n"/>
    </row>
    <row r="40">
      <c r="A40" s="229" t="n"/>
      <c r="B40" s="113" t="inlineStr">
        <is>
          <t>Value of Call Option</t>
        </is>
      </c>
      <c r="C40" s="229" t="n"/>
      <c r="D40" s="229" t="n"/>
      <c r="E40" s="229" t="n"/>
      <c r="F40" s="229" t="n"/>
      <c r="G40" s="229" t="n"/>
      <c r="H40" s="229" t="n"/>
      <c r="I40" s="229" t="n"/>
      <c r="J40" s="276">
        <f>J33*EXP(-J36*J35)*_xlfn.NORM.DIST((LN(J33/J34)+(J37-J36+J38^2/2)*J35)/(J38*J35^0.5),0,1,TRUE)-J34*EXP(-J37*J35)*_xlfn.NORM.DIST((LN(J33/J34)+(J37-J36+J38^2/2)*J35)/(J38*J35^0.5)-J38*J35^0.5,0,1,TRUE)</f>
        <v/>
      </c>
      <c r="K40" s="229" t="n"/>
      <c r="L40" s="229" t="n"/>
    </row>
  </sheetData>
  <mergeCells count="6">
    <mergeCell ref="A1:D1"/>
    <mergeCell ref="A14:G14"/>
    <mergeCell ref="A30:C30"/>
    <mergeCell ref="G29:I29"/>
    <mergeCell ref="A29:F29"/>
    <mergeCell ref="A2:C2"/>
  </mergeCells>
  <hyperlinks>
    <hyperlink ref="H10" location="'Valuation Parameters'!A51" display="(Link to Calculator)"/>
    <hyperlink ref="G29" location="'Valuation Parameters'!A1" display="(Back to Valuation Parameters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6">
    <outlinePr summaryBelow="1" summaryRight="1"/>
    <pageSetUpPr fitToPage="1"/>
  </sheetPr>
  <dimension ref="A1:II68"/>
  <sheetViews>
    <sheetView zoomScale="125" zoomScaleNormal="125" workbookViewId="0">
      <pane xSplit="1" ySplit="10" topLeftCell="B11" activePane="bottomRight" state="frozenSplit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30357142857141" defaultRowHeight="15.2"/>
  <cols>
    <col width="40.6607142857143" customWidth="1" style="16" min="1" max="1"/>
    <col width="15.6607142857143" customWidth="1" style="16" min="2" max="13"/>
  </cols>
  <sheetData>
    <row r="1" ht="20.4" customFormat="1" customHeight="1" s="56">
      <c r="A1" s="163" t="inlineStr">
        <is>
          <t>Residual Income Valuation</t>
        </is>
      </c>
      <c r="B1" s="87" t="inlineStr">
        <is>
          <t>($000)</t>
        </is>
      </c>
      <c r="C1" s="88" t="n"/>
      <c r="D1" s="89" t="n"/>
      <c r="E1" s="82" t="n"/>
      <c r="F1" s="82" t="n"/>
      <c r="G1" s="83" t="n"/>
      <c r="H1" s="82" t="n"/>
      <c r="I1" s="82" t="n"/>
      <c r="J1" s="82" t="n"/>
      <c r="K1" s="82" t="n"/>
      <c r="L1" s="82" t="n"/>
      <c r="M1" s="82" t="n"/>
    </row>
    <row r="2" ht="18" customHeight="1" s="16">
      <c r="A2" s="140" t="n"/>
      <c r="B2" s="140" t="n"/>
      <c r="C2" s="140" t="n"/>
      <c r="D2" s="140" t="n"/>
      <c r="E2" s="140" t="n"/>
      <c r="F2" s="140" t="n"/>
      <c r="G2" s="108" t="n"/>
      <c r="H2" s="140" t="n"/>
      <c r="I2" s="140" t="n"/>
      <c r="J2" s="140" t="n"/>
      <c r="K2" s="140" t="n"/>
      <c r="L2" s="140" t="n"/>
      <c r="M2" s="140" t="n"/>
    </row>
    <row r="3" ht="18" customHeight="1" s="16">
      <c r="A3" s="141" t="n"/>
      <c r="B3" s="141" t="n"/>
      <c r="C3" s="141" t="n"/>
      <c r="D3" s="141" t="n"/>
      <c r="E3" s="141" t="n"/>
      <c r="F3" s="141" t="n"/>
      <c r="G3" s="84" t="n"/>
      <c r="H3" s="141" t="n"/>
      <c r="I3" s="141" t="n"/>
      <c r="J3" s="141" t="n"/>
      <c r="K3" s="141" t="n"/>
      <c r="L3" s="141" t="n"/>
      <c r="M3" s="141" t="n"/>
    </row>
    <row r="4">
      <c r="A4" s="17" t="inlineStr">
        <is>
          <t>Company Name</t>
        </is>
      </c>
      <c r="B4" s="61">
        <f>'Financial Statements'!B4</f>
        <v/>
      </c>
      <c r="C4" s="17" t="n"/>
      <c r="D4" s="17" t="n"/>
      <c r="I4" s="106" t="n"/>
    </row>
    <row r="5">
      <c r="A5" t="inlineStr">
        <is>
          <t>Most Recent Fiscal Year End</t>
        </is>
      </c>
      <c r="B5" s="93">
        <f>'Financial Statements'!F8</f>
        <v/>
      </c>
    </row>
    <row r="6">
      <c r="A6" t="inlineStr">
        <is>
          <t>Date of Valuation</t>
        </is>
      </c>
      <c r="B6" s="93">
        <f>'Valuation Parameters'!J11</f>
        <v/>
      </c>
    </row>
    <row r="7">
      <c r="A7" t="inlineStr">
        <is>
          <t>Cost of Common Equity</t>
        </is>
      </c>
      <c r="B7" s="96">
        <f>'Valuation Parameters'!J9</f>
        <v/>
      </c>
    </row>
    <row r="8">
      <c r="A8" t="inlineStr">
        <is>
          <t>Teriminal Growth Rate</t>
        </is>
      </c>
      <c r="B8" s="96">
        <f>'Forecasting Assumptions'!Q14</f>
        <v/>
      </c>
    </row>
    <row r="10" ht="15.95" customHeight="1" s="16">
      <c r="A10" s="66" t="inlineStr">
        <is>
          <t>Fiscal Year of Forecast</t>
        </is>
      </c>
      <c r="B10" s="249">
        <f>'Financial Statements'!G8</f>
        <v/>
      </c>
      <c r="C10" s="249">
        <f>'Financial Statements'!H8</f>
        <v/>
      </c>
      <c r="D10" s="249">
        <f>'Financial Statements'!I8</f>
        <v/>
      </c>
      <c r="E10" s="249">
        <f>'Financial Statements'!J8</f>
        <v/>
      </c>
      <c r="F10" s="249">
        <f>'Financial Statements'!K8</f>
        <v/>
      </c>
      <c r="G10" s="249">
        <f>'Financial Statements'!L8</f>
        <v/>
      </c>
      <c r="H10" s="249">
        <f>'Financial Statements'!M8</f>
        <v/>
      </c>
      <c r="I10" s="249">
        <f>'Financial Statements'!N8</f>
        <v/>
      </c>
      <c r="J10" s="249">
        <f>'Financial Statements'!O8</f>
        <v/>
      </c>
      <c r="K10" s="249">
        <f>'Financial Statements'!P8</f>
        <v/>
      </c>
      <c r="L10" s="249">
        <f>'Financial Statements'!Q8</f>
        <v/>
      </c>
      <c r="M10" s="249">
        <f>'Financial Statements'!R8</f>
        <v/>
      </c>
    </row>
    <row r="11" hidden="1" ht="18" customHeight="1" s="16">
      <c r="A11" s="68">
        <f>B21+B40+B46-B58</f>
        <v/>
      </c>
      <c r="B11" s="153" t="n"/>
      <c r="C11" s="153" t="n"/>
      <c r="D11" s="153" t="n"/>
      <c r="E11" s="153" t="n"/>
      <c r="F11" s="153" t="n"/>
      <c r="G11" s="153" t="n"/>
      <c r="H11" s="153" t="n"/>
      <c r="I11" s="153" t="n"/>
      <c r="J11" s="153" t="n"/>
      <c r="K11" s="153" t="n"/>
      <c r="L11" s="153" t="n"/>
      <c r="M11" s="153" t="n"/>
    </row>
    <row r="12">
      <c r="A12" s="100" t="inlineStr">
        <is>
          <t>Valuation to Common Equity</t>
        </is>
      </c>
    </row>
    <row r="13">
      <c r="A13" t="inlineStr">
        <is>
          <t>Net Income</t>
        </is>
      </c>
      <c r="B13" s="68">
        <f>'Financial Statements'!G29</f>
        <v/>
      </c>
      <c r="C13" s="68">
        <f>'Financial Statements'!H29</f>
        <v/>
      </c>
      <c r="D13" s="68">
        <f>'Financial Statements'!I29</f>
        <v/>
      </c>
      <c r="E13" s="68">
        <f>'Financial Statements'!J29</f>
        <v/>
      </c>
      <c r="F13" s="68">
        <f>'Financial Statements'!K29</f>
        <v/>
      </c>
      <c r="G13" s="68">
        <f>'Financial Statements'!L29</f>
        <v/>
      </c>
      <c r="H13" s="68">
        <f>'Financial Statements'!M29</f>
        <v/>
      </c>
      <c r="I13" s="68">
        <f>'Financial Statements'!N29</f>
        <v/>
      </c>
      <c r="J13" s="68">
        <f>'Financial Statements'!O29</f>
        <v/>
      </c>
      <c r="K13" s="68">
        <f>'Financial Statements'!P29</f>
        <v/>
      </c>
      <c r="L13" s="68">
        <f>'Financial Statements'!Q29</f>
        <v/>
      </c>
      <c r="M13" s="68">
        <f>'Financial Statements'!R29</f>
        <v/>
      </c>
    </row>
    <row r="14">
      <c r="A14" t="inlineStr">
        <is>
          <t>Common Equity at Beginning of Year</t>
        </is>
      </c>
      <c r="B14" s="68">
        <f>'Financial Statements'!F57</f>
        <v/>
      </c>
      <c r="C14" s="68">
        <f>'Financial Statements'!G57</f>
        <v/>
      </c>
      <c r="D14" s="68">
        <f>'Financial Statements'!H57</f>
        <v/>
      </c>
      <c r="E14" s="68">
        <f>'Financial Statements'!I57</f>
        <v/>
      </c>
      <c r="F14" s="68">
        <f>'Financial Statements'!J57</f>
        <v/>
      </c>
      <c r="G14" s="68">
        <f>'Financial Statements'!K57</f>
        <v/>
      </c>
      <c r="H14" s="68">
        <f>'Financial Statements'!L57</f>
        <v/>
      </c>
      <c r="I14" s="68">
        <f>'Financial Statements'!M57</f>
        <v/>
      </c>
      <c r="J14" s="68">
        <f>'Financial Statements'!N57</f>
        <v/>
      </c>
      <c r="K14" s="68">
        <f>'Financial Statements'!O57</f>
        <v/>
      </c>
      <c r="L14" s="68">
        <f>'Financial Statements'!P57</f>
        <v/>
      </c>
      <c r="M14" s="68">
        <f>'Financial Statements'!Q57</f>
        <v/>
      </c>
    </row>
    <row r="15">
      <c r="A15" s="205" t="inlineStr">
        <is>
          <t>Residual Income</t>
        </is>
      </c>
      <c r="B15" s="68">
        <f>B13-B7*B14</f>
        <v/>
      </c>
      <c r="C15" s="68">
        <f>C13-B7*C14</f>
        <v/>
      </c>
      <c r="D15" s="68">
        <f>D13-B7*D14</f>
        <v/>
      </c>
      <c r="E15" s="68">
        <f>E13-B7*E14</f>
        <v/>
      </c>
      <c r="F15" s="68">
        <f>F13-B7*F14</f>
        <v/>
      </c>
      <c r="G15" s="68">
        <f>G13-B7*G14</f>
        <v/>
      </c>
      <c r="H15" s="68">
        <f>H13-B7*H14</f>
        <v/>
      </c>
      <c r="I15" s="68">
        <f>I13-B7*I14</f>
        <v/>
      </c>
      <c r="J15" s="68">
        <f>J13-$B$7*J14</f>
        <v/>
      </c>
      <c r="K15" s="68">
        <f>K13-$B$7*K14</f>
        <v/>
      </c>
      <c r="L15" s="68">
        <f>L13-$B$7*L14</f>
        <v/>
      </c>
      <c r="M15" s="68">
        <f>M13-$B$7*M14</f>
        <v/>
      </c>
    </row>
    <row r="16">
      <c r="A16" s="205" t="inlineStr">
        <is>
          <t>Present Value of Residual Income</t>
        </is>
      </c>
      <c r="B16" s="68">
        <f>B15/(1+$B$7)^1</f>
        <v/>
      </c>
      <c r="C16" s="68">
        <f>C15/(1+$B$7)^2</f>
        <v/>
      </c>
      <c r="D16" s="68">
        <f>D15/(1+$B$7)^3</f>
        <v/>
      </c>
      <c r="E16" s="68">
        <f>E15/(1+$B$7)^4</f>
        <v/>
      </c>
      <c r="F16" s="68">
        <f>F15/(1+$B$7)^5</f>
        <v/>
      </c>
      <c r="G16" s="68">
        <f>G15/(1+$B$7)^6</f>
        <v/>
      </c>
      <c r="H16" s="68">
        <f>H15/(1+$B$7)^7</f>
        <v/>
      </c>
      <c r="I16" s="68">
        <f>I15/(1+$B$7)^8</f>
        <v/>
      </c>
      <c r="J16" s="68">
        <f>J15/(1+$B$7)^9</f>
        <v/>
      </c>
      <c r="K16" s="68">
        <f>K15/(1+$B$7)^10</f>
        <v/>
      </c>
      <c r="L16" s="68">
        <f>L15/(1+$B$7)^11</f>
        <v/>
      </c>
      <c r="M16" s="68">
        <f>M15/(1+$B$7)^12</f>
        <v/>
      </c>
    </row>
    <row r="17">
      <c r="A17" s="208" t="inlineStr">
        <is>
          <t>Present Value Beyond 10 Years</t>
        </is>
      </c>
      <c r="B17" s="68">
        <f>L16+(M15/($B$7-$B$8))/(1+$B$7)^11</f>
        <v/>
      </c>
      <c r="C17" s="101">
        <f>IF(($B$7-$B$8)&lt;=0,"Error! cost of equity capital &lt;= growth rate"," ")</f>
        <v/>
      </c>
    </row>
    <row r="18">
      <c r="A18" s="208" t="inlineStr">
        <is>
          <t>Present Value of First 10 Years</t>
        </is>
      </c>
      <c r="B18" s="68">
        <f>SUM(B16:K16)</f>
        <v/>
      </c>
    </row>
    <row r="19">
      <c r="A19" s="94" t="inlineStr">
        <is>
          <t>Common Equity as of</t>
        </is>
      </c>
    </row>
    <row r="20">
      <c r="A20" s="153">
        <f>'Financial Statements'!F8</f>
        <v/>
      </c>
      <c r="B20" s="68">
        <f>B14</f>
        <v/>
      </c>
    </row>
    <row r="21" ht="16" customHeight="1" s="16">
      <c r="A21" s="74" t="inlineStr">
        <is>
          <t>Forecast Equity Value Before Time Adj.</t>
        </is>
      </c>
      <c r="B21" s="68">
        <f>B17+B18+B20</f>
        <v/>
      </c>
    </row>
    <row r="22">
      <c r="A22" s="205" t="inlineStr">
        <is>
          <t>Forecasted Value as of Valuation Date</t>
        </is>
      </c>
      <c r="B22" s="68">
        <f>B21*(1+(B7/2))*(1+B7*(DAYS360(B5,B6)/360))</f>
        <v/>
      </c>
    </row>
    <row r="23">
      <c r="A23" s="205" t="inlineStr">
        <is>
          <t>Less Value of Contingent Equity Claims</t>
        </is>
      </c>
      <c r="B23" s="68">
        <f>-'Valuation Parameters'!J10</f>
        <v/>
      </c>
    </row>
    <row r="24">
      <c r="A24" t="inlineStr">
        <is>
          <t>Value Attributable to Common Equity</t>
        </is>
      </c>
      <c r="B24" s="68">
        <f>B22+B23</f>
        <v/>
      </c>
    </row>
    <row r="25">
      <c r="A25" t="inlineStr">
        <is>
          <t>Common Shares Outstanding at BS Date</t>
        </is>
      </c>
      <c r="B25" s="68">
        <f>'Financial Statements'!B5</f>
        <v/>
      </c>
    </row>
    <row r="26" ht="15.95" customHeight="1" s="16">
      <c r="A26" t="inlineStr">
        <is>
          <t>Equivalent Shares at Valuation Date</t>
        </is>
      </c>
      <c r="B26" s="68">
        <f>B25*'Valuation Parameters'!J12</f>
        <v/>
      </c>
    </row>
    <row r="27" ht="15.95" customHeight="1" s="16">
      <c r="A27" t="inlineStr">
        <is>
          <t>Forecast Price/Share</t>
        </is>
      </c>
      <c r="B27" s="277">
        <f>B24/B26</f>
        <v/>
      </c>
    </row>
    <row r="29" hidden="1" ht="18" customHeight="1" s="16"/>
    <row r="30">
      <c r="A30" s="100" t="inlineStr">
        <is>
          <t>Valuation to All Investors</t>
        </is>
      </c>
    </row>
    <row r="31">
      <c r="A31" t="inlineStr">
        <is>
          <t>Cost of Debt</t>
        </is>
      </c>
      <c r="B31" s="96">
        <f>'Valuation Parameters'!J15</f>
        <v/>
      </c>
    </row>
    <row r="32">
      <c r="A32" t="inlineStr">
        <is>
          <t>Cost of Preferred Stock</t>
        </is>
      </c>
      <c r="B32" s="96">
        <f>'Valuation Parameters'!J16</f>
        <v/>
      </c>
      <c r="F32" s="278" t="n"/>
    </row>
    <row r="33">
      <c r="A33" t="inlineStr">
        <is>
          <t>Cost of Noncontrolling Interest</t>
        </is>
      </c>
      <c r="B33" s="96">
        <f>'Valuation Parameters'!J17</f>
        <v/>
      </c>
      <c r="F33" s="278" t="n"/>
    </row>
    <row r="34">
      <c r="A34" s="205" t="inlineStr">
        <is>
          <t>After Tax Weighted Average Cost of Capital</t>
        </is>
      </c>
      <c r="B34" s="96">
        <f>'Valuation Parameters'!J19</f>
        <v/>
      </c>
      <c r="C34" s="101" t="n"/>
    </row>
    <row r="35">
      <c r="B35" s="96" t="n"/>
    </row>
    <row r="36">
      <c r="A36" t="inlineStr">
        <is>
          <t>Net Interest Expense to Net Debtholders</t>
        </is>
      </c>
      <c r="B36" s="68">
        <f>-'Financial Statements'!G20</f>
        <v/>
      </c>
      <c r="C36" s="68">
        <f>-'Financial Statements'!H20</f>
        <v/>
      </c>
      <c r="D36" s="68">
        <f>-'Financial Statements'!I20</f>
        <v/>
      </c>
      <c r="E36" s="68">
        <f>-'Financial Statements'!J20</f>
        <v/>
      </c>
      <c r="F36" s="68">
        <f>-'Financial Statements'!K20</f>
        <v/>
      </c>
      <c r="G36" s="68">
        <f>-'Financial Statements'!L20</f>
        <v/>
      </c>
      <c r="H36" s="68">
        <f>-'Financial Statements'!M20</f>
        <v/>
      </c>
      <c r="I36" s="68">
        <f>-'Financial Statements'!N20</f>
        <v/>
      </c>
      <c r="J36" s="68">
        <f>-'Financial Statements'!O20</f>
        <v/>
      </c>
      <c r="K36" s="68">
        <f>-'Financial Statements'!P20</f>
        <v/>
      </c>
      <c r="L36" s="68">
        <f>-'Financial Statements'!Q20</f>
        <v/>
      </c>
      <c r="M36" s="68">
        <f>-'Financial Statements'!R20</f>
        <v/>
      </c>
    </row>
    <row r="37">
      <c r="A37" t="inlineStr">
        <is>
          <t>Beginning Book Value of Debt</t>
        </is>
      </c>
      <c r="B37" s="68">
        <f>'Financial Statements'!F44+'Financial Statements'!F49</f>
        <v/>
      </c>
      <c r="C37" s="68">
        <f>'Financial Statements'!G44+'Financial Statements'!G49</f>
        <v/>
      </c>
      <c r="D37" s="68">
        <f>'Financial Statements'!H44+'Financial Statements'!H49</f>
        <v/>
      </c>
      <c r="E37" s="68">
        <f>'Financial Statements'!I44+'Financial Statements'!I49</f>
        <v/>
      </c>
      <c r="F37" s="68">
        <f>'Financial Statements'!J44+'Financial Statements'!J49</f>
        <v/>
      </c>
      <c r="G37" s="68">
        <f>'Financial Statements'!K44+'Financial Statements'!K49</f>
        <v/>
      </c>
      <c r="H37" s="68">
        <f>'Financial Statements'!L44+'Financial Statements'!L49</f>
        <v/>
      </c>
      <c r="I37" s="68">
        <f>'Financial Statements'!M44+'Financial Statements'!M49</f>
        <v/>
      </c>
      <c r="J37" s="68">
        <f>'Financial Statements'!N44+'Financial Statements'!N49</f>
        <v/>
      </c>
      <c r="K37" s="68">
        <f>'Financial Statements'!O44+'Financial Statements'!O49</f>
        <v/>
      </c>
      <c r="L37" s="68">
        <f>'Financial Statements'!P44+'Financial Statements'!P49</f>
        <v/>
      </c>
      <c r="M37" s="68">
        <f>'Financial Statements'!Q44+'Financial Statements'!Q49</f>
        <v/>
      </c>
    </row>
    <row r="38">
      <c r="A38" t="inlineStr">
        <is>
          <t>Residual Interest Expense</t>
        </is>
      </c>
      <c r="B38" s="68">
        <f>B36-($B$31*B37)</f>
        <v/>
      </c>
      <c r="C38" s="68">
        <f>C36-($B$31*C37)</f>
        <v/>
      </c>
      <c r="D38" s="68">
        <f>D36-($B$31*D37)</f>
        <v/>
      </c>
      <c r="E38" s="68">
        <f>E36-($B$31*E37)</f>
        <v/>
      </c>
      <c r="F38" s="68">
        <f>F36-($B$31*F37)</f>
        <v/>
      </c>
      <c r="G38" s="68">
        <f>G36-($B$31*G37)</f>
        <v/>
      </c>
      <c r="H38" s="68">
        <f>H36-($B$31*H37)</f>
        <v/>
      </c>
      <c r="I38" s="68">
        <f>I36-($B$31*I37)</f>
        <v/>
      </c>
      <c r="J38" s="68">
        <f>J36-($B$31*J37)</f>
        <v/>
      </c>
      <c r="K38" s="68">
        <f>K36-($B$31*K37)</f>
        <v/>
      </c>
      <c r="L38" s="68">
        <f>L36-($B$31*L37)</f>
        <v/>
      </c>
      <c r="M38" s="68">
        <f>M36-($B$31*M37)</f>
        <v/>
      </c>
    </row>
    <row r="39">
      <c r="A39" t="inlineStr">
        <is>
          <t>Present Value of Residual Interest Income</t>
        </is>
      </c>
      <c r="B39" s="68">
        <f>B38/(1+$B$31)^1</f>
        <v/>
      </c>
      <c r="C39" s="68">
        <f>C38/(1+$B$31)^2</f>
        <v/>
      </c>
      <c r="D39" s="68">
        <f>D38/(1+$B$31)^3</f>
        <v/>
      </c>
      <c r="E39" s="68">
        <f>E38/(1+$B$31)^4</f>
        <v/>
      </c>
      <c r="F39" s="68">
        <f>F38/(1+$B$31)^5</f>
        <v/>
      </c>
      <c r="G39" s="68">
        <f>G38/(1+$B$31)^6</f>
        <v/>
      </c>
      <c r="H39" s="68">
        <f>H38/(1+$B$31)^7</f>
        <v/>
      </c>
      <c r="I39" s="68">
        <f>I38/(1+$B$31)^8</f>
        <v/>
      </c>
      <c r="J39" s="68">
        <f>J38/(1+$B$31)^9</f>
        <v/>
      </c>
      <c r="K39" s="68">
        <f>K38/(1+$B$31)^10</f>
        <v/>
      </c>
      <c r="L39" s="68">
        <f>L38/(1+$B$31)^11</f>
        <v/>
      </c>
      <c r="M39" s="68">
        <f>M38/(1+$B$31)^12</f>
        <v/>
      </c>
    </row>
    <row r="40" ht="16" customHeight="1" s="16">
      <c r="A40" s="74" t="inlineStr">
        <is>
          <t>Value of Debt</t>
        </is>
      </c>
      <c r="B40" s="68">
        <f>IF($B$31-$B$8&gt;0,B37+SUM(B39:L39)+(M38/($B$31-$B$8))/(1+$B$31)^11,IF(NOT(M38=0),#N/A,B37+SUM(B39:M39)))</f>
        <v/>
      </c>
      <c r="C40" s="101">
        <f>IF($B$31-$B$8&gt;0," ",IF(NOT(M38=0),"Error! cost of debt &lt;= growth rate"," "))</f>
        <v/>
      </c>
    </row>
    <row r="41">
      <c r="A41" s="74" t="n"/>
      <c r="B41" s="68" t="n"/>
    </row>
    <row r="42">
      <c r="A42" t="inlineStr">
        <is>
          <t>Dividends to Preferred Stockholders</t>
        </is>
      </c>
      <c r="B42" s="68">
        <f>'Financial Statements'!G28</f>
        <v/>
      </c>
      <c r="C42" s="68">
        <f>'Financial Statements'!H28</f>
        <v/>
      </c>
      <c r="D42" s="68">
        <f>'Financial Statements'!I28</f>
        <v/>
      </c>
      <c r="E42" s="68">
        <f>'Financial Statements'!J28</f>
        <v/>
      </c>
      <c r="F42" s="68">
        <f>'Financial Statements'!K28</f>
        <v/>
      </c>
      <c r="G42" s="68">
        <f>'Financial Statements'!L28</f>
        <v/>
      </c>
      <c r="H42" s="68">
        <f>'Financial Statements'!M28</f>
        <v/>
      </c>
      <c r="I42" s="68">
        <f>'Financial Statements'!N28</f>
        <v/>
      </c>
      <c r="J42" s="68">
        <f>'Financial Statements'!O28</f>
        <v/>
      </c>
      <c r="K42" s="68">
        <f>'Financial Statements'!P28</f>
        <v/>
      </c>
      <c r="L42" s="68">
        <f>'Financial Statements'!Q28</f>
        <v/>
      </c>
      <c r="M42" s="68">
        <f>'Financial Statements'!R28</f>
        <v/>
      </c>
    </row>
    <row r="43">
      <c r="A43" t="inlineStr">
        <is>
          <t>Beginning Book Value of Preferred Stock</t>
        </is>
      </c>
      <c r="B43" s="68">
        <f>'Financial Statements'!F54</f>
        <v/>
      </c>
      <c r="C43" s="68">
        <f>'Financial Statements'!G54</f>
        <v/>
      </c>
      <c r="D43" s="68">
        <f>'Financial Statements'!H54</f>
        <v/>
      </c>
      <c r="E43" s="68">
        <f>'Financial Statements'!I54</f>
        <v/>
      </c>
      <c r="F43" s="68">
        <f>'Financial Statements'!J54</f>
        <v/>
      </c>
      <c r="G43" s="68">
        <f>'Financial Statements'!K54</f>
        <v/>
      </c>
      <c r="H43" s="68">
        <f>'Financial Statements'!L54</f>
        <v/>
      </c>
      <c r="I43" s="68">
        <f>'Financial Statements'!M54</f>
        <v/>
      </c>
      <c r="J43" s="68">
        <f>'Financial Statements'!N54</f>
        <v/>
      </c>
      <c r="K43" s="68">
        <f>'Financial Statements'!O54</f>
        <v/>
      </c>
      <c r="L43" s="68">
        <f>'Financial Statements'!P54</f>
        <v/>
      </c>
      <c r="M43" s="68">
        <f>'Financial Statements'!Q54</f>
        <v/>
      </c>
    </row>
    <row r="44">
      <c r="A44" t="inlineStr">
        <is>
          <t>Residual Income to Preferred Stock</t>
        </is>
      </c>
      <c r="B44" s="68">
        <f>B42-($B$32*B43)</f>
        <v/>
      </c>
      <c r="C44" s="68">
        <f>C42-($B$32*C43)</f>
        <v/>
      </c>
      <c r="D44" s="68">
        <f>D42-($B$32*D43)</f>
        <v/>
      </c>
      <c r="E44" s="68">
        <f>E42-($B$32*E43)</f>
        <v/>
      </c>
      <c r="F44" s="68">
        <f>F42-($B$32*F43)</f>
        <v/>
      </c>
      <c r="G44" s="68">
        <f>G42-($B$32*G43)</f>
        <v/>
      </c>
      <c r="H44" s="68">
        <f>H42-($B$32*H43)</f>
        <v/>
      </c>
      <c r="I44" s="68">
        <f>I42-($B$32*I43)</f>
        <v/>
      </c>
      <c r="J44" s="68">
        <f>J42-($B$32*J43)</f>
        <v/>
      </c>
      <c r="K44" s="68">
        <f>K42-($B$32*K43)</f>
        <v/>
      </c>
      <c r="L44" s="68">
        <f>L42-($B$32*L43)</f>
        <v/>
      </c>
      <c r="M44" s="68">
        <f>M42-($B$32*M43)</f>
        <v/>
      </c>
    </row>
    <row r="45">
      <c r="A45" t="inlineStr">
        <is>
          <t>Present Value of Preferred Residual Income</t>
        </is>
      </c>
      <c r="B45" s="68">
        <f>B44/(1+$B$32)^1</f>
        <v/>
      </c>
      <c r="C45" s="68">
        <f>C44/(1+$B$32)^2</f>
        <v/>
      </c>
      <c r="D45" s="68">
        <f>D44/(1+$B$32)^3</f>
        <v/>
      </c>
      <c r="E45" s="68">
        <f>E44/(1+$B$32)^4</f>
        <v/>
      </c>
      <c r="F45" s="68">
        <f>F44/(1+$B$32)^5</f>
        <v/>
      </c>
      <c r="G45" s="68">
        <f>G44/(1+$B$32)^6</f>
        <v/>
      </c>
      <c r="H45" s="68">
        <f>H44/(1+$B$32)^7</f>
        <v/>
      </c>
      <c r="I45" s="68">
        <f>I44/(1+$B$32)^8</f>
        <v/>
      </c>
      <c r="J45" s="68">
        <f>J44/(1+$B$32)^9</f>
        <v/>
      </c>
      <c r="K45" s="68">
        <f>K44/(1+$B$32)^10</f>
        <v/>
      </c>
      <c r="L45" s="68">
        <f>L44/(1+$B$32)^11</f>
        <v/>
      </c>
      <c r="M45" s="68">
        <f>M44/(1+$B$32)^12</f>
        <v/>
      </c>
    </row>
    <row r="46" ht="16" customHeight="1" s="16">
      <c r="A46" s="74" t="inlineStr">
        <is>
          <t>Value of Preferred Stock</t>
        </is>
      </c>
      <c r="B46" s="68">
        <f>IF($B$32-$B$8&gt;0,B43+SUM(B45:L45)+(M44/($B$32-$B$8))/(1+$B$32)^11,IF(NOT(M44=0),#N/A,B43+SUM(B45:M45)))</f>
        <v/>
      </c>
      <c r="C46" s="101">
        <f>IF($B$32-$B$8&gt;0," ",IF(NOT(M44=0),"Error! cost of preferred stock &lt;= growth rate"," "))</f>
        <v/>
      </c>
    </row>
    <row r="47">
      <c r="A47" s="74" t="n"/>
      <c r="B47" s="68" t="n"/>
      <c r="C47" s="101" t="n"/>
    </row>
    <row r="48">
      <c r="A48" t="inlineStr">
        <is>
          <t>Noncontrolling Interest in Earnings</t>
        </is>
      </c>
      <c r="B48" s="68">
        <f>-'Financial Statements'!G27</f>
        <v/>
      </c>
      <c r="C48" s="68">
        <f>-'Financial Statements'!H27</f>
        <v/>
      </c>
      <c r="D48" s="68">
        <f>-'Financial Statements'!I27</f>
        <v/>
      </c>
      <c r="E48" s="68">
        <f>-'Financial Statements'!J27</f>
        <v/>
      </c>
      <c r="F48" s="68">
        <f>-'Financial Statements'!K27</f>
        <v/>
      </c>
      <c r="G48" s="68">
        <f>-'Financial Statements'!L27</f>
        <v/>
      </c>
      <c r="H48" s="68">
        <f>-'Financial Statements'!M27</f>
        <v/>
      </c>
      <c r="I48" s="68">
        <f>-'Financial Statements'!N27</f>
        <v/>
      </c>
      <c r="J48" s="68">
        <f>-'Financial Statements'!O27</f>
        <v/>
      </c>
      <c r="K48" s="68">
        <f>-'Financial Statements'!P27</f>
        <v/>
      </c>
      <c r="L48" s="68">
        <f>-'Financial Statements'!Q27</f>
        <v/>
      </c>
      <c r="M48" s="68">
        <f>-'Financial Statements'!R27</f>
        <v/>
      </c>
    </row>
    <row r="49">
      <c r="A49" t="inlineStr">
        <is>
          <t>Beginning Book Value of Noncontrolling Interest</t>
        </is>
      </c>
      <c r="B49" s="68">
        <f>'Financial Statements'!F53</f>
        <v/>
      </c>
      <c r="C49" s="68">
        <f>'Financial Statements'!G53</f>
        <v/>
      </c>
      <c r="D49" s="68">
        <f>'Financial Statements'!H53</f>
        <v/>
      </c>
      <c r="E49" s="68">
        <f>'Financial Statements'!I53</f>
        <v/>
      </c>
      <c r="F49" s="68">
        <f>'Financial Statements'!J53</f>
        <v/>
      </c>
      <c r="G49" s="68">
        <f>'Financial Statements'!K53</f>
        <v/>
      </c>
      <c r="H49" s="68">
        <f>'Financial Statements'!L53</f>
        <v/>
      </c>
      <c r="I49" s="68">
        <f>'Financial Statements'!M53</f>
        <v/>
      </c>
      <c r="J49" s="68">
        <f>'Financial Statements'!N53</f>
        <v/>
      </c>
      <c r="K49" s="68">
        <f>'Financial Statements'!O53</f>
        <v/>
      </c>
      <c r="L49" s="68">
        <f>'Financial Statements'!P53</f>
        <v/>
      </c>
      <c r="M49" s="68">
        <f>'Financial Statements'!Q53</f>
        <v/>
      </c>
    </row>
    <row r="50">
      <c r="A50" t="inlineStr">
        <is>
          <t>Residual Income to Noncontrolling Interest</t>
        </is>
      </c>
      <c r="B50" s="68">
        <f>B48-$B$33*B49</f>
        <v/>
      </c>
      <c r="C50" s="68">
        <f>C48-$B$33*C49</f>
        <v/>
      </c>
      <c r="D50" s="68">
        <f>D48-$B$33*D49</f>
        <v/>
      </c>
      <c r="E50" s="68">
        <f>E48-$B$33*E49</f>
        <v/>
      </c>
      <c r="F50" s="68">
        <f>F48-$B$33*F49</f>
        <v/>
      </c>
      <c r="G50" s="68">
        <f>G48-$B$33*G49</f>
        <v/>
      </c>
      <c r="H50" s="68">
        <f>H48-$B$33*H49</f>
        <v/>
      </c>
      <c r="I50" s="68">
        <f>I48-$B$33*I49</f>
        <v/>
      </c>
      <c r="J50" s="68">
        <f>J48-$B$33*J49</f>
        <v/>
      </c>
      <c r="K50" s="68">
        <f>K48-$B$33*K49</f>
        <v/>
      </c>
      <c r="L50" s="68">
        <f>L48-$B$33*L49</f>
        <v/>
      </c>
      <c r="M50" s="68">
        <f>M48-$B$33*M49</f>
        <v/>
      </c>
    </row>
    <row r="51">
      <c r="A51" t="inlineStr">
        <is>
          <t>Present Value of MI Residual Income</t>
        </is>
      </c>
      <c r="B51" s="68">
        <f>B50/(1+$B$33)^1</f>
        <v/>
      </c>
      <c r="C51" s="68">
        <f>C50/(1+$B$33)^2</f>
        <v/>
      </c>
      <c r="D51" s="68">
        <f>D50/(1+$B$33)^3</f>
        <v/>
      </c>
      <c r="E51" s="68">
        <f>E50/(1+$B$33)^4</f>
        <v/>
      </c>
      <c r="F51" s="68">
        <f>F50/(1+$B$33)^5</f>
        <v/>
      </c>
      <c r="G51" s="68">
        <f>G50/(1+$B$33)^6</f>
        <v/>
      </c>
      <c r="H51" s="68">
        <f>H50/(1+$B$33)^7</f>
        <v/>
      </c>
      <c r="I51" s="68">
        <f>I50/(1+$B$33)^8</f>
        <v/>
      </c>
      <c r="J51" s="68">
        <f>J50/(1+$B$33)^9</f>
        <v/>
      </c>
      <c r="K51" s="68">
        <f>K50/(1+$B$33)^10</f>
        <v/>
      </c>
      <c r="L51" s="68">
        <f>L50/(1+$B$33)^11</f>
        <v/>
      </c>
      <c r="M51" s="68">
        <f>M50/(1+$B$33)^12</f>
        <v/>
      </c>
    </row>
    <row r="52" ht="16" customHeight="1" s="16">
      <c r="A52" s="74" t="inlineStr">
        <is>
          <t>Value of Noncontrolling Interest</t>
        </is>
      </c>
      <c r="B52" s="68">
        <f>IF($B$33-$B$8&gt;0,B49+SUM(B51:L51)+(M50/($B$33-$B$8))/(1+$B$33)^11,IF(NOT(M50=0),#N/A,B49+SUM(B51:M51)))</f>
        <v/>
      </c>
      <c r="C52" s="101">
        <f>IF($B$33-$B$8&gt;0," ",IF(NOT(M50=0),"Error! cost of noncontrolling interest &lt;= growth rate"," "))</f>
        <v/>
      </c>
    </row>
    <row r="53">
      <c r="A53" s="74" t="n"/>
      <c r="B53" s="68" t="n"/>
    </row>
    <row r="54" ht="16" customHeight="1" s="16">
      <c r="A54" s="103" t="inlineStr">
        <is>
          <t>Net Operating Income</t>
        </is>
      </c>
      <c r="B54" s="68">
        <f>'Financial Statements'!G71</f>
        <v/>
      </c>
      <c r="C54" s="68">
        <f>'Financial Statements'!H71</f>
        <v/>
      </c>
      <c r="D54" s="68">
        <f>'Financial Statements'!I71</f>
        <v/>
      </c>
      <c r="E54" s="68">
        <f>'Financial Statements'!J71</f>
        <v/>
      </c>
      <c r="F54" s="68">
        <f>'Financial Statements'!K71</f>
        <v/>
      </c>
      <c r="G54" s="68">
        <f>'Financial Statements'!L71</f>
        <v/>
      </c>
      <c r="H54" s="68">
        <f>'Financial Statements'!M71</f>
        <v/>
      </c>
      <c r="I54" s="68">
        <f>'Financial Statements'!N71</f>
        <v/>
      </c>
      <c r="J54" s="68">
        <f>'Financial Statements'!O71</f>
        <v/>
      </c>
      <c r="K54" s="68">
        <f>'Financial Statements'!P71</f>
        <v/>
      </c>
      <c r="L54" s="68">
        <f>'Financial Statements'!Q71</f>
        <v/>
      </c>
      <c r="M54" s="68">
        <f>'Financial Statements'!R71</f>
        <v/>
      </c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  <c r="AA54" s="68" t="n"/>
      <c r="AB54" s="68" t="n"/>
      <c r="AC54" s="68" t="n"/>
      <c r="AD54" s="68" t="n"/>
      <c r="AE54" s="68" t="n"/>
      <c r="AF54" s="68" t="n"/>
      <c r="AG54" s="68" t="n"/>
      <c r="AH54" s="68" t="n"/>
      <c r="AI54" s="68" t="n"/>
      <c r="AJ54" s="68" t="n"/>
      <c r="AK54" s="68" t="n"/>
      <c r="AL54" s="68" t="n"/>
      <c r="AM54" s="68" t="n"/>
      <c r="AN54" s="68" t="n"/>
      <c r="AO54" s="68" t="n"/>
      <c r="AP54" s="68" t="n"/>
      <c r="AQ54" s="68" t="n"/>
      <c r="AR54" s="68" t="n"/>
      <c r="AS54" s="68" t="n"/>
      <c r="AT54" s="68" t="n"/>
      <c r="AU54" s="68" t="n"/>
      <c r="AV54" s="68" t="n"/>
      <c r="AW54" s="68" t="n"/>
      <c r="AX54" s="68" t="n"/>
      <c r="AY54" s="68" t="n"/>
      <c r="AZ54" s="68" t="n"/>
      <c r="BA54" s="68" t="n"/>
      <c r="BB54" s="68" t="n"/>
      <c r="BC54" s="68" t="n"/>
      <c r="BD54" s="68" t="n"/>
      <c r="BE54" s="68" t="n"/>
      <c r="BF54" s="68" t="n"/>
      <c r="BG54" s="68" t="n"/>
      <c r="BH54" s="68" t="n"/>
      <c r="BI54" s="68" t="n"/>
      <c r="BJ54" s="68" t="n"/>
      <c r="BK54" s="68" t="n"/>
      <c r="BL54" s="68" t="n"/>
      <c r="BM54" s="68" t="n"/>
      <c r="BN54" s="68" t="n"/>
      <c r="BO54" s="68" t="n"/>
      <c r="BP54" s="68" t="n"/>
      <c r="BQ54" s="68" t="n"/>
      <c r="BR54" s="68" t="n"/>
      <c r="BS54" s="68" t="n"/>
      <c r="BT54" s="68" t="n"/>
      <c r="BU54" s="68" t="n"/>
      <c r="BV54" s="68" t="n"/>
      <c r="BW54" s="68" t="n"/>
      <c r="BX54" s="68" t="n"/>
      <c r="BY54" s="68" t="n"/>
      <c r="BZ54" s="68" t="n"/>
      <c r="CA54" s="68" t="n"/>
      <c r="CB54" s="68" t="n"/>
      <c r="CC54" s="68" t="n"/>
      <c r="CD54" s="68" t="n"/>
      <c r="CE54" s="68" t="n"/>
      <c r="CF54" s="68" t="n"/>
      <c r="CG54" s="68" t="n"/>
      <c r="CH54" s="68" t="n"/>
      <c r="CI54" s="68" t="n"/>
      <c r="CJ54" s="68" t="n"/>
      <c r="CK54" s="68" t="n"/>
      <c r="CL54" s="68" t="n"/>
      <c r="CM54" s="68" t="n"/>
      <c r="CN54" s="68" t="n"/>
      <c r="CO54" s="68" t="n"/>
      <c r="CP54" s="68" t="n"/>
      <c r="CQ54" s="68" t="n"/>
      <c r="CR54" s="68" t="n"/>
      <c r="CS54" s="68" t="n"/>
      <c r="CT54" s="68" t="n"/>
      <c r="CU54" s="68" t="n"/>
      <c r="CV54" s="68" t="n"/>
      <c r="CW54" s="68" t="n"/>
      <c r="CX54" s="68" t="n"/>
      <c r="CY54" s="68" t="n"/>
      <c r="CZ54" s="68" t="n"/>
      <c r="DA54" s="68" t="n"/>
      <c r="DB54" s="68" t="n"/>
      <c r="DC54" s="68" t="n"/>
      <c r="DD54" s="68" t="n"/>
      <c r="DE54" s="68" t="n"/>
      <c r="DF54" s="68" t="n"/>
      <c r="DG54" s="68" t="n"/>
      <c r="DH54" s="68" t="n"/>
      <c r="DI54" s="68" t="n"/>
      <c r="DJ54" s="68" t="n"/>
      <c r="DK54" s="68" t="n"/>
      <c r="DL54" s="68" t="n"/>
      <c r="DM54" s="68" t="n"/>
      <c r="DN54" s="68" t="n"/>
      <c r="DO54" s="68" t="n"/>
      <c r="DP54" s="68" t="n"/>
      <c r="DQ54" s="68" t="n"/>
      <c r="DR54" s="68" t="n"/>
      <c r="DS54" s="68" t="n"/>
      <c r="DT54" s="68" t="n"/>
      <c r="DU54" s="68" t="n"/>
      <c r="DV54" s="68" t="n"/>
      <c r="DW54" s="68" t="n"/>
      <c r="DX54" s="68" t="n"/>
      <c r="DY54" s="68" t="n"/>
      <c r="DZ54" s="68" t="n"/>
      <c r="EA54" s="68" t="n"/>
      <c r="EB54" s="68" t="n"/>
      <c r="EC54" s="68" t="n"/>
      <c r="ED54" s="68" t="n"/>
      <c r="EE54" s="68" t="n"/>
      <c r="EF54" s="68" t="n"/>
      <c r="EG54" s="68" t="n"/>
      <c r="EH54" s="68" t="n"/>
      <c r="EI54" s="68" t="n"/>
      <c r="EJ54" s="68" t="n"/>
      <c r="EK54" s="68" t="n"/>
      <c r="EL54" s="68" t="n"/>
      <c r="EM54" s="68" t="n"/>
      <c r="EN54" s="68" t="n"/>
      <c r="EO54" s="68" t="n"/>
      <c r="EP54" s="68" t="n"/>
      <c r="EQ54" s="68" t="n"/>
      <c r="ER54" s="68" t="n"/>
      <c r="ES54" s="68" t="n"/>
      <c r="ET54" s="68" t="n"/>
      <c r="EU54" s="68" t="n"/>
      <c r="EV54" s="68" t="n"/>
      <c r="EW54" s="68" t="n"/>
      <c r="EX54" s="68" t="n"/>
      <c r="EY54" s="68" t="n"/>
      <c r="EZ54" s="68" t="n"/>
      <c r="FA54" s="68" t="n"/>
      <c r="FB54" s="68" t="n"/>
      <c r="FC54" s="68" t="n"/>
      <c r="FD54" s="68" t="n"/>
      <c r="FE54" s="68" t="n"/>
      <c r="FF54" s="68" t="n"/>
      <c r="FG54" s="68" t="n"/>
      <c r="FH54" s="68" t="n"/>
      <c r="FI54" s="68" t="n"/>
      <c r="FJ54" s="68" t="n"/>
      <c r="FK54" s="68" t="n"/>
      <c r="FL54" s="68" t="n"/>
      <c r="FM54" s="68" t="n"/>
      <c r="FN54" s="68" t="n"/>
      <c r="FO54" s="68" t="n"/>
      <c r="FP54" s="68" t="n"/>
      <c r="FQ54" s="68" t="n"/>
      <c r="FR54" s="68" t="n"/>
      <c r="FS54" s="68" t="n"/>
      <c r="FT54" s="68" t="n"/>
      <c r="FU54" s="68" t="n"/>
      <c r="FV54" s="68" t="n"/>
      <c r="FW54" s="68" t="n"/>
      <c r="FX54" s="68" t="n"/>
      <c r="FY54" s="68" t="n"/>
      <c r="FZ54" s="68" t="n"/>
      <c r="GA54" s="68" t="n"/>
      <c r="GB54" s="68" t="n"/>
      <c r="GC54" s="68" t="n"/>
      <c r="GD54" s="68" t="n"/>
      <c r="GE54" s="68" t="n"/>
      <c r="GF54" s="68" t="n"/>
      <c r="GG54" s="68" t="n"/>
      <c r="GH54" s="68" t="n"/>
      <c r="GI54" s="68" t="n"/>
      <c r="GJ54" s="68" t="n"/>
      <c r="GK54" s="68" t="n"/>
      <c r="GL54" s="68" t="n"/>
      <c r="GM54" s="68" t="n"/>
      <c r="GN54" s="68" t="n"/>
      <c r="GO54" s="68" t="n"/>
      <c r="GP54" s="68" t="n"/>
      <c r="GQ54" s="68" t="n"/>
      <c r="GR54" s="68" t="n"/>
      <c r="GS54" s="68" t="n"/>
      <c r="GT54" s="68" t="n"/>
      <c r="GU54" s="68" t="n"/>
      <c r="GV54" s="68" t="n"/>
      <c r="GW54" s="68" t="n"/>
      <c r="GX54" s="68" t="n"/>
      <c r="GY54" s="68" t="n"/>
      <c r="GZ54" s="68" t="n"/>
      <c r="HA54" s="68" t="n"/>
      <c r="HB54" s="68" t="n"/>
      <c r="HC54" s="68" t="n"/>
      <c r="HD54" s="68" t="n"/>
      <c r="HE54" s="68" t="n"/>
      <c r="HF54" s="68" t="n"/>
      <c r="HG54" s="68" t="n"/>
      <c r="HH54" s="68" t="n"/>
      <c r="HI54" s="68" t="n"/>
      <c r="HJ54" s="68" t="n"/>
      <c r="HK54" s="68" t="n"/>
      <c r="HL54" s="68" t="n"/>
      <c r="HM54" s="68" t="n"/>
      <c r="HN54" s="68" t="n"/>
      <c r="HO54" s="68" t="n"/>
      <c r="HP54" s="68" t="n"/>
      <c r="HQ54" s="68" t="n"/>
      <c r="HR54" s="68" t="n"/>
      <c r="HS54" s="68" t="n"/>
      <c r="HT54" s="68" t="n"/>
      <c r="HU54" s="68" t="n"/>
      <c r="HV54" s="68" t="n"/>
      <c r="HW54" s="68" t="n"/>
      <c r="HX54" s="68" t="n"/>
      <c r="HY54" s="68" t="n"/>
      <c r="HZ54" s="68" t="n"/>
      <c r="IA54" s="68" t="n"/>
      <c r="IB54" s="68" t="n"/>
      <c r="IC54" s="68" t="n"/>
      <c r="ID54" s="68" t="n"/>
      <c r="IE54" s="68" t="n"/>
      <c r="IF54" s="68" t="n"/>
      <c r="IG54" s="68" t="n"/>
      <c r="IH54" s="68" t="n"/>
      <c r="II54" s="68" t="n"/>
    </row>
    <row r="55">
      <c r="A55" t="inlineStr">
        <is>
          <t>Beginning Net Operating Assets</t>
        </is>
      </c>
      <c r="B55" s="68">
        <f>'Financial Statements'!F75</f>
        <v/>
      </c>
      <c r="C55" s="68">
        <f>'Financial Statements'!G75</f>
        <v/>
      </c>
      <c r="D55" s="68">
        <f>'Financial Statements'!H75</f>
        <v/>
      </c>
      <c r="E55" s="68">
        <f>'Financial Statements'!I75</f>
        <v/>
      </c>
      <c r="F55" s="68">
        <f>'Financial Statements'!J75</f>
        <v/>
      </c>
      <c r="G55" s="68">
        <f>'Financial Statements'!K75</f>
        <v/>
      </c>
      <c r="H55" s="68">
        <f>'Financial Statements'!L75</f>
        <v/>
      </c>
      <c r="I55" s="68">
        <f>'Financial Statements'!M75</f>
        <v/>
      </c>
      <c r="J55" s="68">
        <f>'Financial Statements'!N75</f>
        <v/>
      </c>
      <c r="K55" s="68">
        <f>'Financial Statements'!O75</f>
        <v/>
      </c>
      <c r="L55" s="68">
        <f>'Financial Statements'!P75</f>
        <v/>
      </c>
      <c r="M55" s="68">
        <f>'Financial Statements'!Q75</f>
        <v/>
      </c>
    </row>
    <row r="56">
      <c r="A56" t="inlineStr">
        <is>
          <t>Residual Income to all Investors</t>
        </is>
      </c>
      <c r="B56" s="68">
        <f>B54-($B$34*B55)</f>
        <v/>
      </c>
      <c r="C56" s="68">
        <f>C54-($B$34*C55)</f>
        <v/>
      </c>
      <c r="D56" s="68">
        <f>D54-($B$34*D55)</f>
        <v/>
      </c>
      <c r="E56" s="68">
        <f>E54-($B$34*E55)</f>
        <v/>
      </c>
      <c r="F56" s="68">
        <f>F54-($B$34*F55)</f>
        <v/>
      </c>
      <c r="G56" s="68">
        <f>G54-($B$34*G55)</f>
        <v/>
      </c>
      <c r="H56" s="68">
        <f>H54-($B$34*H55)</f>
        <v/>
      </c>
      <c r="I56" s="68">
        <f>I54-($B$34*I55)</f>
        <v/>
      </c>
      <c r="J56" s="68">
        <f>J54-($B$34*J55)</f>
        <v/>
      </c>
      <c r="K56" s="68">
        <f>K54-($B$34*K55)</f>
        <v/>
      </c>
      <c r="L56" s="68">
        <f>L54-($B$34*L55)</f>
        <v/>
      </c>
      <c r="M56" s="68">
        <f>M54-($B$34*M55)</f>
        <v/>
      </c>
    </row>
    <row r="57">
      <c r="A57" t="inlineStr">
        <is>
          <t>Present Value of Residual Investor Income</t>
        </is>
      </c>
      <c r="B57" s="68">
        <f>B56/(1+$B$34)^1</f>
        <v/>
      </c>
      <c r="C57" s="68">
        <f>C56/(1+$B$34)^2</f>
        <v/>
      </c>
      <c r="D57" s="68">
        <f>D56/(1+$B$34)^3</f>
        <v/>
      </c>
      <c r="E57" s="68">
        <f>E56/(1+$B$34)^4</f>
        <v/>
      </c>
      <c r="F57" s="68">
        <f>F56/(1+$B$34)^5</f>
        <v/>
      </c>
      <c r="G57" s="68">
        <f>G56/(1+$B$34)^6</f>
        <v/>
      </c>
      <c r="H57" s="68">
        <f>H56/(1+$B$34)^7</f>
        <v/>
      </c>
      <c r="I57" s="68">
        <f>I56/(1+$B$34)^8</f>
        <v/>
      </c>
      <c r="J57" s="68">
        <f>J56/(1+$B$34)^9</f>
        <v/>
      </c>
      <c r="K57" s="68">
        <f>K56/(1+$B$34)^10</f>
        <v/>
      </c>
      <c r="L57" s="68">
        <f>L56/(1+$B$34)^11</f>
        <v/>
      </c>
      <c r="M57" s="68">
        <f>M56/(1+$B$34)^12</f>
        <v/>
      </c>
    </row>
    <row r="58">
      <c r="A58" s="205" t="inlineStr">
        <is>
          <t>Entity Value</t>
        </is>
      </c>
      <c r="B58" s="68">
        <f>IF(ISNA($B$34),#N/A,B55+SUM(B57:L57)+(M56/($B$34-$B$8))/(1+$B$34)^11)</f>
        <v/>
      </c>
      <c r="C58" s="101">
        <f>IF(($B$34-$B$8)&lt;=0,"Error! weighted average cost of capital &lt;= growth rate"," ")</f>
        <v/>
      </c>
    </row>
    <row r="59" ht="16" customHeight="1" s="16">
      <c r="A59" s="74" t="inlineStr">
        <is>
          <t>Less Value of Debt</t>
        </is>
      </c>
      <c r="B59" s="68">
        <f>-B40</f>
        <v/>
      </c>
    </row>
    <row r="60" ht="16" customHeight="1" s="16">
      <c r="A60" s="74" t="inlineStr">
        <is>
          <t>Less Value of Preferred Stock</t>
        </is>
      </c>
      <c r="B60" s="68">
        <f>-B46</f>
        <v/>
      </c>
    </row>
    <row r="61" ht="16" customHeight="1" s="16">
      <c r="A61" s="74" t="inlineStr">
        <is>
          <t>Less Value of Noncontrolling Interest</t>
        </is>
      </c>
      <c r="B61" s="68">
        <f>-B52</f>
        <v/>
      </c>
    </row>
    <row r="62" ht="12.75" customHeight="1" s="16">
      <c r="A62" s="74" t="inlineStr">
        <is>
          <t>Forecast Equity Value Before Time Adj.</t>
        </is>
      </c>
      <c r="B62" s="68">
        <f>B58+B59+B60+B61</f>
        <v/>
      </c>
    </row>
    <row r="63">
      <c r="A63" s="205" t="inlineStr">
        <is>
          <t>Forecasted Value as of Valuation Date</t>
        </is>
      </c>
      <c r="B63" s="68">
        <f>B62*(1+($B$7/2))*(1+$B$7*(DAYS360(B5,B6)/360))</f>
        <v/>
      </c>
    </row>
    <row r="64">
      <c r="A64" s="205" t="inlineStr">
        <is>
          <t>Less Value of Contingent Equity Claims</t>
        </is>
      </c>
      <c r="B64" s="68">
        <f>-'Valuation Parameters'!J10</f>
        <v/>
      </c>
      <c r="D64" s="279" t="n"/>
    </row>
    <row r="65">
      <c r="A65" t="inlineStr">
        <is>
          <t>Value Attributable to Common Equity</t>
        </is>
      </c>
      <c r="B65" s="68">
        <f>B63+B64</f>
        <v/>
      </c>
    </row>
    <row r="66">
      <c r="A66" t="inlineStr">
        <is>
          <t>Common Shares Outstanding at BS Date</t>
        </is>
      </c>
      <c r="B66" s="68">
        <f>'Financial Statements'!B5</f>
        <v/>
      </c>
    </row>
    <row r="67" ht="15.95" customHeight="1" s="16">
      <c r="A67" t="inlineStr">
        <is>
          <t>Equivalent Shares at Valuation Date</t>
        </is>
      </c>
      <c r="B67" s="68">
        <f>B66*'Valuation Parameters'!J12</f>
        <v/>
      </c>
    </row>
    <row r="68" ht="15.95" customHeight="1" s="16">
      <c r="A68" t="inlineStr">
        <is>
          <t>Forecast Price/Share</t>
        </is>
      </c>
      <c r="B68" s="277">
        <f>B65/B67</f>
        <v/>
      </c>
    </row>
  </sheetData>
  <pageMargins left="0.75" right="0.75" top="1" bottom="1" header="0.5" footer="0.5"/>
  <pageSetup orientation="portrait" paperSize="1"/>
</worksheet>
</file>

<file path=xl/worksheets/sheet10.xml><?xml version="1.0" encoding="utf-8"?>
<worksheet xmlns="http://schemas.openxmlformats.org/spreadsheetml/2006/main">
  <sheetPr codeName="Sheet7">
    <outlinePr summaryBelow="1" summaryRight="1"/>
    <pageSetUpPr fitToPage="1"/>
  </sheetPr>
  <dimension ref="A1:II55"/>
  <sheetViews>
    <sheetView zoomScale="125" zoomScaleNormal="125" workbookViewId="0">
      <pane xSplit="1" ySplit="10" topLeftCell="B11" activePane="bottomRight" state="frozenSplit"/>
      <selection activeCell="A1" sqref="A1"/>
      <selection pane="topRight" activeCell="A1" sqref="A1"/>
      <selection pane="bottomLeft" activeCell="A1" sqref="A1"/>
      <selection pane="bottomRight" activeCell="G18" sqref="G18"/>
    </sheetView>
  </sheetViews>
  <sheetFormatPr baseColWidth="8" defaultColWidth="8.830357142857141" defaultRowHeight="15.2"/>
  <cols>
    <col width="40.6607142857143" customWidth="1" style="16" min="1" max="1"/>
    <col width="15.6607142857143" customWidth="1" style="16" min="2" max="13"/>
  </cols>
  <sheetData>
    <row r="1" ht="20.4" customFormat="1" customHeight="1" s="56">
      <c r="A1" s="163" t="inlineStr">
        <is>
          <t>DCF Valuations</t>
        </is>
      </c>
      <c r="B1" s="87" t="inlineStr">
        <is>
          <t>($000)</t>
        </is>
      </c>
      <c r="C1" s="88" t="n"/>
      <c r="D1" s="89" t="n"/>
      <c r="E1" s="104" t="n"/>
      <c r="F1" s="82" t="n"/>
      <c r="G1" s="83" t="n"/>
      <c r="H1" s="82" t="n"/>
      <c r="I1" s="82" t="n"/>
      <c r="J1" s="82" t="n"/>
      <c r="K1" s="82" t="n"/>
      <c r="L1" s="82" t="n"/>
      <c r="M1" s="82" t="n"/>
    </row>
    <row r="2" ht="20.4" customFormat="1" customHeight="1" s="56">
      <c r="A2" s="163" t="n"/>
      <c r="B2" s="87" t="n"/>
      <c r="C2" s="88" t="n"/>
      <c r="D2" s="89" t="n"/>
      <c r="E2" s="104" t="n"/>
      <c r="F2" s="82" t="n"/>
      <c r="G2" s="83" t="n"/>
      <c r="H2" s="82" t="n"/>
      <c r="I2" s="82" t="n"/>
      <c r="J2" s="82" t="n"/>
      <c r="K2" s="82" t="n"/>
      <c r="L2" s="82" t="n"/>
      <c r="M2" s="82" t="n"/>
    </row>
    <row r="3" ht="18" customHeight="1" s="16">
      <c r="A3" s="90" t="n"/>
      <c r="B3" s="141" t="n"/>
      <c r="C3" s="91" t="n"/>
      <c r="D3" s="92" t="n"/>
      <c r="E3" s="105" t="n"/>
      <c r="F3" s="141" t="n"/>
      <c r="G3" s="84" t="n"/>
      <c r="H3" s="141" t="n"/>
      <c r="I3" s="141" t="n"/>
      <c r="J3" s="141" t="n"/>
      <c r="K3" s="141" t="n"/>
      <c r="L3" s="141" t="n"/>
      <c r="M3" s="141" t="n"/>
    </row>
    <row r="4">
      <c r="A4" s="17" t="inlineStr">
        <is>
          <t>Company Name</t>
        </is>
      </c>
      <c r="B4" s="61">
        <f>'Financial Statements'!B4</f>
        <v/>
      </c>
      <c r="C4" s="17" t="n"/>
      <c r="D4" s="17" t="n"/>
      <c r="I4" s="106" t="n"/>
    </row>
    <row r="5">
      <c r="A5" t="inlineStr">
        <is>
          <t>Most Recent Fiscal Year End</t>
        </is>
      </c>
      <c r="B5" s="93">
        <f>'Financial Statements'!F8</f>
        <v/>
      </c>
      <c r="C5" s="94" t="n"/>
      <c r="D5" s="143" t="n"/>
      <c r="E5" s="93" t="n"/>
      <c r="G5" s="220" t="n"/>
    </row>
    <row r="6">
      <c r="A6" t="inlineStr">
        <is>
          <t>Date of Valuation</t>
        </is>
      </c>
      <c r="B6" s="93">
        <f>'Valuation Parameters'!J11</f>
        <v/>
      </c>
      <c r="C6" s="94" t="n"/>
      <c r="D6" s="143" t="n"/>
      <c r="G6" s="220" t="n"/>
    </row>
    <row r="7">
      <c r="A7" t="inlineStr">
        <is>
          <t>Cost of Common Equity</t>
        </is>
      </c>
      <c r="B7" s="96">
        <f>'Valuation Parameters'!J9</f>
        <v/>
      </c>
    </row>
    <row r="8">
      <c r="A8" t="inlineStr">
        <is>
          <t>Terminal Growth Rate</t>
        </is>
      </c>
      <c r="B8" s="96">
        <f>'Forecasting Assumptions'!Q14</f>
        <v/>
      </c>
    </row>
    <row r="9">
      <c r="B9" s="97" t="n"/>
    </row>
    <row r="10" ht="15.95" customHeight="1" s="16">
      <c r="A10" s="66" t="inlineStr">
        <is>
          <t>Fiscal Year of Forecast</t>
        </is>
      </c>
      <c r="B10" s="249">
        <f>'Financial Statements'!G8</f>
        <v/>
      </c>
      <c r="C10" s="249">
        <f>'Financial Statements'!H8</f>
        <v/>
      </c>
      <c r="D10" s="249">
        <f>'Financial Statements'!I8</f>
        <v/>
      </c>
      <c r="E10" s="249">
        <f>'Financial Statements'!J8</f>
        <v/>
      </c>
      <c r="F10" s="249">
        <f>'Financial Statements'!K8</f>
        <v/>
      </c>
      <c r="G10" s="249">
        <f>'Financial Statements'!L8</f>
        <v/>
      </c>
      <c r="H10" s="249">
        <f>'Financial Statements'!M8</f>
        <v/>
      </c>
      <c r="I10" s="249">
        <f>'Financial Statements'!N8</f>
        <v/>
      </c>
      <c r="J10" s="249">
        <f>'Financial Statements'!O8</f>
        <v/>
      </c>
      <c r="K10" s="249">
        <f>'Financial Statements'!P8</f>
        <v/>
      </c>
      <c r="L10" s="249">
        <f>'Financial Statements'!Q8</f>
        <v/>
      </c>
      <c r="M10" s="249">
        <f>'Financial Statements'!R8</f>
        <v/>
      </c>
    </row>
    <row r="11" hidden="1" ht="18" customHeight="1" s="16">
      <c r="A11" s="278">
        <f>B17+B33+B37-B45</f>
        <v/>
      </c>
      <c r="B11" s="99" t="n"/>
      <c r="C11" s="99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  <c r="M11" s="99" t="n"/>
    </row>
    <row r="12">
      <c r="A12" s="100" t="inlineStr">
        <is>
          <t>Valuation to Common Equity</t>
        </is>
      </c>
    </row>
    <row r="13">
      <c r="A13" t="inlineStr">
        <is>
          <t>Free Cash Flow to Common Equity</t>
        </is>
      </c>
      <c r="B13" s="68">
        <f>'Cash Flow Analysis'!F64</f>
        <v/>
      </c>
      <c r="C13" s="68">
        <f>'Cash Flow Analysis'!G64</f>
        <v/>
      </c>
      <c r="D13" s="68">
        <f>'Cash Flow Analysis'!H64</f>
        <v/>
      </c>
      <c r="E13" s="68">
        <f>'Cash Flow Analysis'!I64</f>
        <v/>
      </c>
      <c r="F13" s="68">
        <f>'Cash Flow Analysis'!J64</f>
        <v/>
      </c>
      <c r="G13" s="68">
        <f>'Cash Flow Analysis'!K64</f>
        <v/>
      </c>
      <c r="H13" s="68">
        <f>'Cash Flow Analysis'!L64</f>
        <v/>
      </c>
      <c r="I13" s="68">
        <f>'Cash Flow Analysis'!M64</f>
        <v/>
      </c>
      <c r="J13" s="68">
        <f>'Cash Flow Analysis'!N64</f>
        <v/>
      </c>
      <c r="K13" s="68">
        <f>'Cash Flow Analysis'!O64</f>
        <v/>
      </c>
      <c r="L13" s="68">
        <f>'Cash Flow Analysis'!P64</f>
        <v/>
      </c>
      <c r="M13" s="68">
        <f>'Cash Flow Analysis'!Q64</f>
        <v/>
      </c>
    </row>
    <row r="14">
      <c r="A14" s="205" t="inlineStr">
        <is>
          <t>Present Value of FCF</t>
        </is>
      </c>
      <c r="B14" s="68">
        <f>B13/(1+$B$7)^1</f>
        <v/>
      </c>
      <c r="C14" s="68">
        <f>C13/(1+$B$7)^2</f>
        <v/>
      </c>
      <c r="D14" s="68">
        <f>D13/(1+$B$7)^3</f>
        <v/>
      </c>
      <c r="E14" s="68">
        <f>E13/(1+$B$7)^4</f>
        <v/>
      </c>
      <c r="F14" s="68">
        <f>F13/(1+$B$7)^5</f>
        <v/>
      </c>
      <c r="G14" s="68">
        <f>G13/(1+$B$7)^6</f>
        <v/>
      </c>
      <c r="H14" s="68">
        <f>H13/(1+$B$7)^7</f>
        <v/>
      </c>
      <c r="I14" s="68">
        <f>I13/(1+$B$7)^8</f>
        <v/>
      </c>
      <c r="J14" s="68">
        <f>J13/(1+$B$7)^9</f>
        <v/>
      </c>
      <c r="K14" s="68">
        <f>K13/(1+$B$7)^10</f>
        <v/>
      </c>
      <c r="L14" s="68">
        <f>L13/(1+$B$7)^11</f>
        <v/>
      </c>
      <c r="M14" s="68">
        <f>M13/(1+$B$7)^12</f>
        <v/>
      </c>
    </row>
    <row r="15">
      <c r="A15" s="208" t="inlineStr">
        <is>
          <t>Present Value Beyond 10 Years</t>
        </is>
      </c>
      <c r="B15" s="68">
        <f>L14+(M13/($B$7-$B$8))/(1+$B$7)^11</f>
        <v/>
      </c>
      <c r="C15" s="101">
        <f>IF(($B$7-$B$8)&lt;0,"Error! cost of equity capital &lt; growth rate"," ")</f>
        <v/>
      </c>
    </row>
    <row r="16">
      <c r="A16" s="208" t="inlineStr">
        <is>
          <t>Present Value of First 10 Years</t>
        </is>
      </c>
      <c r="B16" s="68">
        <f>SUM(B14:K14)</f>
        <v/>
      </c>
    </row>
    <row r="17" ht="12.75" customHeight="1" s="16">
      <c r="A17" s="74" t="inlineStr">
        <is>
          <t>Forecast Equity Value Before Time Adj.</t>
        </is>
      </c>
      <c r="B17" s="68">
        <f>B15+B16</f>
        <v/>
      </c>
    </row>
    <row r="18">
      <c r="A18" s="205" t="inlineStr">
        <is>
          <t>Forecasted Value as of Valuation Date</t>
        </is>
      </c>
      <c r="B18" s="68">
        <f>B17*(1+(B7/2))*(1+B7*(DAYS360(B5,B6)/360))</f>
        <v/>
      </c>
    </row>
    <row r="19">
      <c r="A19" s="205" t="inlineStr">
        <is>
          <t>Less Value of Contingent Equity Claims</t>
        </is>
      </c>
      <c r="B19" s="68">
        <f>-'Valuation Parameters'!J10</f>
        <v/>
      </c>
    </row>
    <row r="20">
      <c r="A20" t="inlineStr">
        <is>
          <t>Value Attributable to Common Equity</t>
        </is>
      </c>
      <c r="B20" s="68">
        <f>B18+B19</f>
        <v/>
      </c>
    </row>
    <row r="21">
      <c r="A21" t="inlineStr">
        <is>
          <t>Common Shares Outstanding at BS Date</t>
        </is>
      </c>
      <c r="B21" s="68">
        <f>'Financial Statements'!B5</f>
        <v/>
      </c>
    </row>
    <row r="22" ht="15.95" customHeight="1" s="16">
      <c r="A22" t="inlineStr">
        <is>
          <t>Equivalent Shares at Valuation Date</t>
        </is>
      </c>
      <c r="B22" s="68">
        <f>B21*'Valuation Parameters'!J12</f>
        <v/>
      </c>
    </row>
    <row r="23" ht="15.95" customHeight="1" s="16">
      <c r="A23" t="inlineStr">
        <is>
          <t>Forecast Price/Share</t>
        </is>
      </c>
      <c r="B23" s="277">
        <f>B20/B22</f>
        <v/>
      </c>
    </row>
    <row r="25">
      <c r="A25" s="100" t="inlineStr">
        <is>
          <t>Valuation to All Investors</t>
        </is>
      </c>
    </row>
    <row r="26">
      <c r="A26" t="inlineStr">
        <is>
          <t>Cost of Net Debt</t>
        </is>
      </c>
      <c r="B26" s="96">
        <f>'Valuation Parameters'!J15</f>
        <v/>
      </c>
    </row>
    <row r="27">
      <c r="A27" t="inlineStr">
        <is>
          <t>Cost of Preferred Stock</t>
        </is>
      </c>
      <c r="B27" s="96">
        <f>'Valuation Parameters'!J16</f>
        <v/>
      </c>
      <c r="F27" s="278" t="n"/>
    </row>
    <row r="28">
      <c r="A28" t="inlineStr">
        <is>
          <t>Cost of Noncontrolling Interest</t>
        </is>
      </c>
      <c r="B28" s="96">
        <f>'Valuation Parameters'!J17</f>
        <v/>
      </c>
      <c r="F28" s="278" t="n"/>
    </row>
    <row r="29">
      <c r="A29" s="205" t="inlineStr">
        <is>
          <t>After Tax Weighted Average Cost of Capital</t>
        </is>
      </c>
      <c r="B29" s="96">
        <f>'Valuation Parameters'!J19</f>
        <v/>
      </c>
      <c r="C29" s="101" t="n"/>
    </row>
    <row r="30">
      <c r="B30" s="96" t="n"/>
    </row>
    <row r="31">
      <c r="A31" t="inlineStr">
        <is>
          <t>Free Cash Flow to Debt</t>
        </is>
      </c>
      <c r="B31" s="68">
        <f>'Cash Flow Analysis'!F90+'Cash Flow Analysis'!F95</f>
        <v/>
      </c>
      <c r="C31" s="68">
        <f>'Cash Flow Analysis'!G90+'Cash Flow Analysis'!G95</f>
        <v/>
      </c>
      <c r="D31" s="68">
        <f>'Cash Flow Analysis'!H90+'Cash Flow Analysis'!H95</f>
        <v/>
      </c>
      <c r="E31" s="68">
        <f>'Cash Flow Analysis'!I90+'Cash Flow Analysis'!I95</f>
        <v/>
      </c>
      <c r="F31" s="68">
        <f>'Cash Flow Analysis'!J90+'Cash Flow Analysis'!J95</f>
        <v/>
      </c>
      <c r="G31" s="68">
        <f>'Cash Flow Analysis'!K90+'Cash Flow Analysis'!K95</f>
        <v/>
      </c>
      <c r="H31" s="68">
        <f>'Cash Flow Analysis'!L90+'Cash Flow Analysis'!L95</f>
        <v/>
      </c>
      <c r="I31" s="68">
        <f>'Cash Flow Analysis'!M90+'Cash Flow Analysis'!M95</f>
        <v/>
      </c>
      <c r="J31" s="68">
        <f>'Cash Flow Analysis'!N90+'Cash Flow Analysis'!N95</f>
        <v/>
      </c>
      <c r="K31" s="68">
        <f>'Cash Flow Analysis'!O90+'Cash Flow Analysis'!O95</f>
        <v/>
      </c>
      <c r="L31" s="68">
        <f>'Cash Flow Analysis'!P90+'Cash Flow Analysis'!P95</f>
        <v/>
      </c>
      <c r="M31" s="68">
        <f>'Cash Flow Analysis'!Q90+'Cash Flow Analysis'!Q95</f>
        <v/>
      </c>
    </row>
    <row r="32">
      <c r="A32" t="inlineStr">
        <is>
          <t>Present Value of FCF to Debt</t>
        </is>
      </c>
      <c r="B32" s="68">
        <f>B31/(1+$B$26)^1</f>
        <v/>
      </c>
      <c r="C32" s="68">
        <f>C31/(1+$B$26)^2</f>
        <v/>
      </c>
      <c r="D32" s="68">
        <f>D31/(1+$B$26)^3</f>
        <v/>
      </c>
      <c r="E32" s="68">
        <f>E31/(1+$B$26)^4</f>
        <v/>
      </c>
      <c r="F32" s="68">
        <f>F31/(1+$B$26)^5</f>
        <v/>
      </c>
      <c r="G32" s="68">
        <f>G31/(1+$B$26)^6</f>
        <v/>
      </c>
      <c r="H32" s="68">
        <f>H31/(1+$B$26)^7</f>
        <v/>
      </c>
      <c r="I32" s="68">
        <f>I31/(1+$B$26)^8</f>
        <v/>
      </c>
      <c r="J32" s="68">
        <f>J31/(1+$B$26)^9</f>
        <v/>
      </c>
      <c r="K32" s="68">
        <f>K31/(1+$B$26)^10</f>
        <v/>
      </c>
      <c r="L32" s="68">
        <f>L31/(1+$B$26)^11</f>
        <v/>
      </c>
      <c r="M32" s="68">
        <f>M31/(1+$B$26)^12</f>
        <v/>
      </c>
    </row>
    <row r="33" ht="16" customHeight="1" s="16">
      <c r="A33" s="74" t="inlineStr">
        <is>
          <t>Value of Debt</t>
        </is>
      </c>
      <c r="B33" s="68">
        <f>IF($B$26-$B$8&gt;0,SUM(B32:L32)+(M31/($B$26-$B$8))/(1+$B$26)^11,IF(NOT(M31=0),#N/A,SUM(B32:M32)))</f>
        <v/>
      </c>
      <c r="C33" s="101">
        <f>IF($B$26-$B$8&gt;0," ",IF(NOT(M31=0),"Error! cost of debt &lt;= growth rate"," "))</f>
        <v/>
      </c>
    </row>
    <row r="34">
      <c r="A34" s="74" t="n"/>
      <c r="B34" s="68" t="n"/>
    </row>
    <row r="35">
      <c r="A35" t="inlineStr">
        <is>
          <t>Free Cash Flow to Preferred Stock</t>
        </is>
      </c>
      <c r="B35" s="68">
        <f>'Cash Flow Analysis'!F92+'Cash Flow Analysis'!F96</f>
        <v/>
      </c>
      <c r="C35" s="68">
        <f>'Cash Flow Analysis'!G92+'Cash Flow Analysis'!G96</f>
        <v/>
      </c>
      <c r="D35" s="68">
        <f>'Cash Flow Analysis'!H92+'Cash Flow Analysis'!H96</f>
        <v/>
      </c>
      <c r="E35" s="68">
        <f>'Cash Flow Analysis'!I92+'Cash Flow Analysis'!I96</f>
        <v/>
      </c>
      <c r="F35" s="68">
        <f>'Cash Flow Analysis'!J92+'Cash Flow Analysis'!J96</f>
        <v/>
      </c>
      <c r="G35" s="68">
        <f>'Cash Flow Analysis'!K92+'Cash Flow Analysis'!K96</f>
        <v/>
      </c>
      <c r="H35" s="68">
        <f>'Cash Flow Analysis'!L92+'Cash Flow Analysis'!L96</f>
        <v/>
      </c>
      <c r="I35" s="68">
        <f>'Cash Flow Analysis'!M92+'Cash Flow Analysis'!M96</f>
        <v/>
      </c>
      <c r="J35" s="68">
        <f>'Cash Flow Analysis'!N92+'Cash Flow Analysis'!N96</f>
        <v/>
      </c>
      <c r="K35" s="68">
        <f>'Cash Flow Analysis'!O92+'Cash Flow Analysis'!O96</f>
        <v/>
      </c>
      <c r="L35" s="68">
        <f>'Cash Flow Analysis'!P92+'Cash Flow Analysis'!P96</f>
        <v/>
      </c>
      <c r="M35" s="68">
        <f>'Cash Flow Analysis'!Q92+'Cash Flow Analysis'!Q96</f>
        <v/>
      </c>
    </row>
    <row r="36">
      <c r="A36" t="inlineStr">
        <is>
          <t>Present Value of FCF to Preferred Stock</t>
        </is>
      </c>
      <c r="B36" s="68">
        <f>B35/(1+$B$27)^1</f>
        <v/>
      </c>
      <c r="C36" s="68">
        <f>C35/(1+$B$27)^2</f>
        <v/>
      </c>
      <c r="D36" s="68">
        <f>D35/(1+$B$27)^3</f>
        <v/>
      </c>
      <c r="E36" s="68">
        <f>E35/(1+$B$27)^4</f>
        <v/>
      </c>
      <c r="F36" s="68">
        <f>F35/(1+$B$27)^5</f>
        <v/>
      </c>
      <c r="G36" s="68">
        <f>G35/(1+$B$27)^6</f>
        <v/>
      </c>
      <c r="H36" s="68">
        <f>H35/(1+$B$27)^7</f>
        <v/>
      </c>
      <c r="I36" s="68">
        <f>I35/(1+$B$27)^8</f>
        <v/>
      </c>
      <c r="J36" s="68">
        <f>J35/(1+$B$27)^9</f>
        <v/>
      </c>
      <c r="K36" s="68">
        <f>K35/(1+$B$27)^10</f>
        <v/>
      </c>
      <c r="L36" s="68">
        <f>L35/(1+$B$27)^11</f>
        <v/>
      </c>
      <c r="M36" s="68">
        <f>M35/(1+$B$27)^12</f>
        <v/>
      </c>
    </row>
    <row r="37" ht="16" customHeight="1" s="16">
      <c r="A37" s="74" t="inlineStr">
        <is>
          <t>Value of Preferred Stock</t>
        </is>
      </c>
      <c r="B37" s="68">
        <f>IF($B$27-$B$8&gt;0,SUM(B36:L36)+(M35/($B$27-$B$8))/(1+$B$27)^11,IF(NOT(M35=0),#N/A,SUM(B36:M36)))</f>
        <v/>
      </c>
      <c r="C37" s="101">
        <f>IF($B$27-$B$8&gt;0," ",IF(NOT(M35=0),"Error! cost of preferred stock &lt;= growth rate"," "))</f>
        <v/>
      </c>
    </row>
    <row r="38">
      <c r="A38" s="74" t="n"/>
      <c r="B38" s="68" t="n"/>
      <c r="C38" s="101" t="n"/>
    </row>
    <row r="39">
      <c r="A39" t="inlineStr">
        <is>
          <t>Free Cash Flow to Noncontrolling Interest</t>
        </is>
      </c>
      <c r="B39" s="68">
        <f>'Cash Flow Analysis'!F93</f>
        <v/>
      </c>
      <c r="C39" s="68">
        <f>'Cash Flow Analysis'!G93</f>
        <v/>
      </c>
      <c r="D39" s="68">
        <f>'Cash Flow Analysis'!H93</f>
        <v/>
      </c>
      <c r="E39" s="68">
        <f>'Cash Flow Analysis'!I93</f>
        <v/>
      </c>
      <c r="F39" s="68">
        <f>'Cash Flow Analysis'!J93</f>
        <v/>
      </c>
      <c r="G39" s="68">
        <f>'Cash Flow Analysis'!K93</f>
        <v/>
      </c>
      <c r="H39" s="68">
        <f>'Cash Flow Analysis'!L93</f>
        <v/>
      </c>
      <c r="I39" s="68">
        <f>'Cash Flow Analysis'!M93</f>
        <v/>
      </c>
      <c r="J39" s="68">
        <f>'Cash Flow Analysis'!N93</f>
        <v/>
      </c>
      <c r="K39" s="68">
        <f>'Cash Flow Analysis'!O93</f>
        <v/>
      </c>
      <c r="L39" s="68">
        <f>'Cash Flow Analysis'!P93</f>
        <v/>
      </c>
      <c r="M39" s="68">
        <f>'Cash Flow Analysis'!Q93</f>
        <v/>
      </c>
    </row>
    <row r="40">
      <c r="A40" t="inlineStr">
        <is>
          <t>Present Value of FCF to Noncontrolling Interest</t>
        </is>
      </c>
      <c r="B40" s="68">
        <f>B39/(1+$B$28)^1</f>
        <v/>
      </c>
      <c r="C40" s="68">
        <f>C39/(1+$B$28)^2</f>
        <v/>
      </c>
      <c r="D40" s="68">
        <f>D39/(1+$B$28)^3</f>
        <v/>
      </c>
      <c r="E40" s="68">
        <f>E39/(1+$B$28)^4</f>
        <v/>
      </c>
      <c r="F40" s="68">
        <f>F39/(1+$B$28)^5</f>
        <v/>
      </c>
      <c r="G40" s="68">
        <f>G39/(1+$B$28)^6</f>
        <v/>
      </c>
      <c r="H40" s="68">
        <f>H39/(1+$B$28)^7</f>
        <v/>
      </c>
      <c r="I40" s="68">
        <f>I39/(1+$B$28)^8</f>
        <v/>
      </c>
      <c r="J40" s="68">
        <f>J39/(1+$B$28)^9</f>
        <v/>
      </c>
      <c r="K40" s="68">
        <f>K39/(1+$B$28)^10</f>
        <v/>
      </c>
      <c r="L40" s="68">
        <f>L39/(1+$B$28)^11</f>
        <v/>
      </c>
      <c r="M40" s="68">
        <f>M39/(1+$B$28)^12</f>
        <v/>
      </c>
    </row>
    <row r="41" ht="16" customHeight="1" s="16">
      <c r="A41" s="74" t="inlineStr">
        <is>
          <t>Value of Noncontrolling Interest</t>
        </is>
      </c>
      <c r="B41" s="68">
        <f>IF($B$28-$B$8&gt;0,SUM(B40:L40)+(M39/($B$28-$B$8))/(1+$B$28)^11,IF(NOT(M39=0),#N/A,SUM(B40:M40)))</f>
        <v/>
      </c>
      <c r="C41" s="101">
        <f>IF($B$28-$B$8&gt;0," ",IF(NOT(M39=0),"Error! cost of noncontrolling interest &lt;= growth rate"," "))</f>
        <v/>
      </c>
    </row>
    <row r="42">
      <c r="A42" s="74" t="n"/>
      <c r="B42" s="68" t="n"/>
    </row>
    <row r="43" ht="16" customHeight="1" s="16">
      <c r="A43" s="103" t="inlineStr">
        <is>
          <t>Free Cash Flows to Investors</t>
        </is>
      </c>
      <c r="B43" s="68">
        <f>'Cash Flow Analysis'!F97</f>
        <v/>
      </c>
      <c r="C43" s="68">
        <f>'Cash Flow Analysis'!G97</f>
        <v/>
      </c>
      <c r="D43" s="68">
        <f>'Cash Flow Analysis'!H97</f>
        <v/>
      </c>
      <c r="E43" s="68">
        <f>'Cash Flow Analysis'!I97</f>
        <v/>
      </c>
      <c r="F43" s="68">
        <f>'Cash Flow Analysis'!J97</f>
        <v/>
      </c>
      <c r="G43" s="68">
        <f>'Cash Flow Analysis'!K97</f>
        <v/>
      </c>
      <c r="H43" s="68">
        <f>'Cash Flow Analysis'!L97</f>
        <v/>
      </c>
      <c r="I43" s="68">
        <f>'Cash Flow Analysis'!M97</f>
        <v/>
      </c>
      <c r="J43" s="68">
        <f>'Cash Flow Analysis'!N97</f>
        <v/>
      </c>
      <c r="K43" s="68">
        <f>'Cash Flow Analysis'!O97</f>
        <v/>
      </c>
      <c r="L43" s="68">
        <f>'Cash Flow Analysis'!P97</f>
        <v/>
      </c>
      <c r="M43" s="68">
        <f>'Cash Flow Analysis'!Q97</f>
        <v/>
      </c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8" t="n"/>
      <c r="AK43" s="68" t="n"/>
      <c r="AL43" s="68" t="n"/>
      <c r="AM43" s="68" t="n"/>
      <c r="AN43" s="68" t="n"/>
      <c r="AO43" s="68" t="n"/>
      <c r="AP43" s="68" t="n"/>
      <c r="AQ43" s="68" t="n"/>
      <c r="AR43" s="68" t="n"/>
      <c r="AS43" s="68" t="n"/>
      <c r="AT43" s="68" t="n"/>
      <c r="AU43" s="68" t="n"/>
      <c r="AV43" s="68" t="n"/>
      <c r="AW43" s="68" t="n"/>
      <c r="AX43" s="68" t="n"/>
      <c r="AY43" s="68" t="n"/>
      <c r="AZ43" s="68" t="n"/>
      <c r="BA43" s="68" t="n"/>
      <c r="BB43" s="68" t="n"/>
      <c r="BC43" s="68" t="n"/>
      <c r="BD43" s="68" t="n"/>
      <c r="BE43" s="68" t="n"/>
      <c r="BF43" s="68" t="n"/>
      <c r="BG43" s="68" t="n"/>
      <c r="BH43" s="68" t="n"/>
      <c r="BI43" s="68" t="n"/>
      <c r="BJ43" s="68" t="n"/>
      <c r="BK43" s="68" t="n"/>
      <c r="BL43" s="68" t="n"/>
      <c r="BM43" s="68" t="n"/>
      <c r="BN43" s="68" t="n"/>
      <c r="BO43" s="68" t="n"/>
      <c r="BP43" s="68" t="n"/>
      <c r="BQ43" s="68" t="n"/>
      <c r="BR43" s="68" t="n"/>
      <c r="BS43" s="68" t="n"/>
      <c r="BT43" s="68" t="n"/>
      <c r="BU43" s="68" t="n"/>
      <c r="BV43" s="68" t="n"/>
      <c r="BW43" s="68" t="n"/>
      <c r="BX43" s="68" t="n"/>
      <c r="BY43" s="68" t="n"/>
      <c r="BZ43" s="68" t="n"/>
      <c r="CA43" s="68" t="n"/>
      <c r="CB43" s="68" t="n"/>
      <c r="CC43" s="68" t="n"/>
      <c r="CD43" s="68" t="n"/>
      <c r="CE43" s="68" t="n"/>
      <c r="CF43" s="68" t="n"/>
      <c r="CG43" s="68" t="n"/>
      <c r="CH43" s="68" t="n"/>
      <c r="CI43" s="68" t="n"/>
      <c r="CJ43" s="68" t="n"/>
      <c r="CK43" s="68" t="n"/>
      <c r="CL43" s="68" t="n"/>
      <c r="CM43" s="68" t="n"/>
      <c r="CN43" s="68" t="n"/>
      <c r="CO43" s="68" t="n"/>
      <c r="CP43" s="68" t="n"/>
      <c r="CQ43" s="68" t="n"/>
      <c r="CR43" s="68" t="n"/>
      <c r="CS43" s="68" t="n"/>
      <c r="CT43" s="68" t="n"/>
      <c r="CU43" s="68" t="n"/>
      <c r="CV43" s="68" t="n"/>
      <c r="CW43" s="68" t="n"/>
      <c r="CX43" s="68" t="n"/>
      <c r="CY43" s="68" t="n"/>
      <c r="CZ43" s="68" t="n"/>
      <c r="DA43" s="68" t="n"/>
      <c r="DB43" s="68" t="n"/>
      <c r="DC43" s="68" t="n"/>
      <c r="DD43" s="68" t="n"/>
      <c r="DE43" s="68" t="n"/>
      <c r="DF43" s="68" t="n"/>
      <c r="DG43" s="68" t="n"/>
      <c r="DH43" s="68" t="n"/>
      <c r="DI43" s="68" t="n"/>
      <c r="DJ43" s="68" t="n"/>
      <c r="DK43" s="68" t="n"/>
      <c r="DL43" s="68" t="n"/>
      <c r="DM43" s="68" t="n"/>
      <c r="DN43" s="68" t="n"/>
      <c r="DO43" s="68" t="n"/>
      <c r="DP43" s="68" t="n"/>
      <c r="DQ43" s="68" t="n"/>
      <c r="DR43" s="68" t="n"/>
      <c r="DS43" s="68" t="n"/>
      <c r="DT43" s="68" t="n"/>
      <c r="DU43" s="68" t="n"/>
      <c r="DV43" s="68" t="n"/>
      <c r="DW43" s="68" t="n"/>
      <c r="DX43" s="68" t="n"/>
      <c r="DY43" s="68" t="n"/>
      <c r="DZ43" s="68" t="n"/>
      <c r="EA43" s="68" t="n"/>
      <c r="EB43" s="68" t="n"/>
      <c r="EC43" s="68" t="n"/>
      <c r="ED43" s="68" t="n"/>
      <c r="EE43" s="68" t="n"/>
      <c r="EF43" s="68" t="n"/>
      <c r="EG43" s="68" t="n"/>
      <c r="EH43" s="68" t="n"/>
      <c r="EI43" s="68" t="n"/>
      <c r="EJ43" s="68" t="n"/>
      <c r="EK43" s="68" t="n"/>
      <c r="EL43" s="68" t="n"/>
      <c r="EM43" s="68" t="n"/>
      <c r="EN43" s="68" t="n"/>
      <c r="EO43" s="68" t="n"/>
      <c r="EP43" s="68" t="n"/>
      <c r="EQ43" s="68" t="n"/>
      <c r="ER43" s="68" t="n"/>
      <c r="ES43" s="68" t="n"/>
      <c r="ET43" s="68" t="n"/>
      <c r="EU43" s="68" t="n"/>
      <c r="EV43" s="68" t="n"/>
      <c r="EW43" s="68" t="n"/>
      <c r="EX43" s="68" t="n"/>
      <c r="EY43" s="68" t="n"/>
      <c r="EZ43" s="68" t="n"/>
      <c r="FA43" s="68" t="n"/>
      <c r="FB43" s="68" t="n"/>
      <c r="FC43" s="68" t="n"/>
      <c r="FD43" s="68" t="n"/>
      <c r="FE43" s="68" t="n"/>
      <c r="FF43" s="68" t="n"/>
      <c r="FG43" s="68" t="n"/>
      <c r="FH43" s="68" t="n"/>
      <c r="FI43" s="68" t="n"/>
      <c r="FJ43" s="68" t="n"/>
      <c r="FK43" s="68" t="n"/>
      <c r="FL43" s="68" t="n"/>
      <c r="FM43" s="68" t="n"/>
      <c r="FN43" s="68" t="n"/>
      <c r="FO43" s="68" t="n"/>
      <c r="FP43" s="68" t="n"/>
      <c r="FQ43" s="68" t="n"/>
      <c r="FR43" s="68" t="n"/>
      <c r="FS43" s="68" t="n"/>
      <c r="FT43" s="68" t="n"/>
      <c r="FU43" s="68" t="n"/>
      <c r="FV43" s="68" t="n"/>
      <c r="FW43" s="68" t="n"/>
      <c r="FX43" s="68" t="n"/>
      <c r="FY43" s="68" t="n"/>
      <c r="FZ43" s="68" t="n"/>
      <c r="GA43" s="68" t="n"/>
      <c r="GB43" s="68" t="n"/>
      <c r="GC43" s="68" t="n"/>
      <c r="GD43" s="68" t="n"/>
      <c r="GE43" s="68" t="n"/>
      <c r="GF43" s="68" t="n"/>
      <c r="GG43" s="68" t="n"/>
      <c r="GH43" s="68" t="n"/>
      <c r="GI43" s="68" t="n"/>
      <c r="GJ43" s="68" t="n"/>
      <c r="GK43" s="68" t="n"/>
      <c r="GL43" s="68" t="n"/>
      <c r="GM43" s="68" t="n"/>
      <c r="GN43" s="68" t="n"/>
      <c r="GO43" s="68" t="n"/>
      <c r="GP43" s="68" t="n"/>
      <c r="GQ43" s="68" t="n"/>
      <c r="GR43" s="68" t="n"/>
      <c r="GS43" s="68" t="n"/>
      <c r="GT43" s="68" t="n"/>
      <c r="GU43" s="68" t="n"/>
      <c r="GV43" s="68" t="n"/>
      <c r="GW43" s="68" t="n"/>
      <c r="GX43" s="68" t="n"/>
      <c r="GY43" s="68" t="n"/>
      <c r="GZ43" s="68" t="n"/>
      <c r="HA43" s="68" t="n"/>
      <c r="HB43" s="68" t="n"/>
      <c r="HC43" s="68" t="n"/>
      <c r="HD43" s="68" t="n"/>
      <c r="HE43" s="68" t="n"/>
      <c r="HF43" s="68" t="n"/>
      <c r="HG43" s="68" t="n"/>
      <c r="HH43" s="68" t="n"/>
      <c r="HI43" s="68" t="n"/>
      <c r="HJ43" s="68" t="n"/>
      <c r="HK43" s="68" t="n"/>
      <c r="HL43" s="68" t="n"/>
      <c r="HM43" s="68" t="n"/>
      <c r="HN43" s="68" t="n"/>
      <c r="HO43" s="68" t="n"/>
      <c r="HP43" s="68" t="n"/>
      <c r="HQ43" s="68" t="n"/>
      <c r="HR43" s="68" t="n"/>
      <c r="HS43" s="68" t="n"/>
      <c r="HT43" s="68" t="n"/>
      <c r="HU43" s="68" t="n"/>
      <c r="HV43" s="68" t="n"/>
      <c r="HW43" s="68" t="n"/>
      <c r="HX43" s="68" t="n"/>
      <c r="HY43" s="68" t="n"/>
      <c r="HZ43" s="68" t="n"/>
      <c r="IA43" s="68" t="n"/>
      <c r="IB43" s="68" t="n"/>
      <c r="IC43" s="68" t="n"/>
      <c r="ID43" s="68" t="n"/>
      <c r="IE43" s="68" t="n"/>
      <c r="IF43" s="68" t="n"/>
      <c r="IG43" s="68" t="n"/>
      <c r="IH43" s="68" t="n"/>
      <c r="II43" s="68" t="n"/>
    </row>
    <row r="44">
      <c r="A44" t="inlineStr">
        <is>
          <t>Present Value of FCF to Investors</t>
        </is>
      </c>
      <c r="B44" s="68">
        <f>B43/(1+$B$29)^1</f>
        <v/>
      </c>
      <c r="C44" s="68">
        <f>C43/(1+$B$29)^2</f>
        <v/>
      </c>
      <c r="D44" s="68">
        <f>D43/(1+$B$29)^3</f>
        <v/>
      </c>
      <c r="E44" s="68">
        <f>E43/(1+$B$29)^4</f>
        <v/>
      </c>
      <c r="F44" s="68">
        <f>F43/(1+$B$29)^5</f>
        <v/>
      </c>
      <c r="G44" s="68">
        <f>G43/(1+$B$29)^6</f>
        <v/>
      </c>
      <c r="H44" s="68">
        <f>H43/(1+$B$29)^7</f>
        <v/>
      </c>
      <c r="I44" s="68">
        <f>I43/(1+$B$29)^8</f>
        <v/>
      </c>
      <c r="J44" s="68">
        <f>J43/(1+$B$29)^9</f>
        <v/>
      </c>
      <c r="K44" s="68">
        <f>K43/(1+$B$29)^10</f>
        <v/>
      </c>
      <c r="L44" s="68">
        <f>L43/(1+$B$29)^11</f>
        <v/>
      </c>
      <c r="M44" s="68">
        <f>M43/(1+$B$29)^12</f>
        <v/>
      </c>
    </row>
    <row r="45">
      <c r="A45" s="205" t="inlineStr">
        <is>
          <t>Entity Value</t>
        </is>
      </c>
      <c r="B45" s="68">
        <f>IF(ISNA($B$29),#N/A,SUM(B44:L44)+(M43/($B$29-$B$8))/(1+$B$29)^11)</f>
        <v/>
      </c>
      <c r="C45" s="101">
        <f>IF(($B$29-$B$8)&lt;=0,"Error! weighted average cost of capital &lt;= growth rate"," ")</f>
        <v/>
      </c>
    </row>
    <row r="46" ht="16" customHeight="1" s="16">
      <c r="A46" s="74" t="inlineStr">
        <is>
          <t>Less Value of Net Debt</t>
        </is>
      </c>
      <c r="B46" s="68">
        <f>-B33</f>
        <v/>
      </c>
    </row>
    <row r="47" ht="16" customHeight="1" s="16">
      <c r="A47" s="74" t="inlineStr">
        <is>
          <t>Less Value of Preferred Stock</t>
        </is>
      </c>
      <c r="B47" s="68">
        <f>-B37</f>
        <v/>
      </c>
    </row>
    <row r="48" ht="16" customHeight="1" s="16">
      <c r="A48" s="74" t="inlineStr">
        <is>
          <t>Less Value of Noncontrolling Interest</t>
        </is>
      </c>
      <c r="B48" s="68">
        <f>-B41</f>
        <v/>
      </c>
    </row>
    <row r="49" ht="12.75" customHeight="1" s="16">
      <c r="A49" s="74" t="inlineStr">
        <is>
          <t>Forecast Equity Value Before Time Adj.</t>
        </is>
      </c>
      <c r="B49" s="68">
        <f>B45+B46+B47+B48</f>
        <v/>
      </c>
    </row>
    <row r="50">
      <c r="A50" s="205" t="inlineStr">
        <is>
          <t>Forecasted Value as of Valuation Date</t>
        </is>
      </c>
      <c r="B50" s="68">
        <f>B49*(1+(B7/2))*(1+B7*(DAYS360(B5,B6)/360))</f>
        <v/>
      </c>
    </row>
    <row r="51">
      <c r="A51" s="205" t="inlineStr">
        <is>
          <t>Less Value of Contingent Equity Claims</t>
        </is>
      </c>
      <c r="B51" s="68">
        <f>-'Valuation Parameters'!J10</f>
        <v/>
      </c>
      <c r="D51" s="279" t="n"/>
    </row>
    <row r="52">
      <c r="A52" t="inlineStr">
        <is>
          <t>Value Attributable to Common Equity</t>
        </is>
      </c>
      <c r="B52" s="68">
        <f>B50+B51</f>
        <v/>
      </c>
    </row>
    <row r="53">
      <c r="A53" t="inlineStr">
        <is>
          <t>Common Shares Outstanding at BS Date</t>
        </is>
      </c>
      <c r="B53" s="68">
        <f>'Financial Statements'!B5</f>
        <v/>
      </c>
    </row>
    <row r="54" ht="15.95" customHeight="1" s="16">
      <c r="A54" t="inlineStr">
        <is>
          <t>Equivalent Shares at Valuation Date</t>
        </is>
      </c>
      <c r="B54" s="68">
        <f>B53*'Valuation Parameters'!J12</f>
        <v/>
      </c>
    </row>
    <row r="55" ht="15.95" customHeight="1" s="16">
      <c r="A55" t="inlineStr">
        <is>
          <t>Forecast Price/Share</t>
        </is>
      </c>
      <c r="B55" s="277">
        <f>B52/B54</f>
        <v/>
      </c>
    </row>
  </sheetData>
  <pageMargins left="0.75" right="0.75" top="1" bottom="1" header="0.5" footer="0.5"/>
  <pageSetup orientation="portrait" paperSize="1"/>
</worksheet>
</file>

<file path=xl/worksheets/sheet11.xml><?xml version="1.0" encoding="utf-8"?>
<worksheet xmlns="http://schemas.openxmlformats.org/spreadsheetml/2006/main">
  <sheetPr codeName="Sheet5">
    <outlinePr summaryBelow="1" summaryRight="1"/>
    <pageSetUpPr fitToPage="1"/>
  </sheetPr>
  <dimension ref="A1:Z69"/>
  <sheetViews>
    <sheetView zoomScale="125" zoomScaleNormal="125" workbookViewId="0">
      <pane xSplit="1" ySplit="10" topLeftCell="B11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30357142857141" defaultRowHeight="15.2"/>
  <cols>
    <col width="37.1607142857143" customWidth="1" style="228" min="1" max="1"/>
    <col width="15.6607142857143" customWidth="1" style="228" min="2" max="26"/>
    <col width="8.830357142857141" customWidth="1" style="228" min="27" max="16384"/>
  </cols>
  <sheetData>
    <row r="1" ht="20.4" customFormat="1" customHeight="1" s="56">
      <c r="A1" s="163" t="inlineStr">
        <is>
          <t>EPS Forecaster</t>
        </is>
      </c>
      <c r="B1" s="59" t="inlineStr">
        <is>
          <t>($000, except per share amounts)</t>
        </is>
      </c>
      <c r="C1" s="163" t="n"/>
      <c r="D1" s="163" t="n"/>
      <c r="E1" s="82" t="n"/>
      <c r="F1" s="82" t="n"/>
      <c r="G1" s="83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</row>
    <row r="2" ht="20.4" customFormat="1" customHeight="1" s="56">
      <c r="A2" s="163" t="n"/>
      <c r="B2" s="140" t="n"/>
      <c r="C2" s="163" t="n"/>
      <c r="D2" s="163" t="n"/>
      <c r="E2" s="82" t="n"/>
      <c r="F2" s="82" t="n"/>
      <c r="G2" s="83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 s="16">
      <c r="A3" s="141" t="n"/>
      <c r="B3" s="141" t="n"/>
      <c r="C3" s="141" t="n"/>
      <c r="D3" s="141" t="n"/>
      <c r="E3" s="141" t="n"/>
      <c r="F3" s="141" t="n"/>
      <c r="G3" s="84" t="n"/>
      <c r="H3" s="141" t="n"/>
      <c r="I3" s="141" t="n"/>
      <c r="J3" s="141" t="n"/>
      <c r="K3" s="141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s="16">
      <c r="A4" s="17" t="inlineStr">
        <is>
          <t>Company Name</t>
        </is>
      </c>
      <c r="B4" s="61">
        <f>'Financial Statements'!B4</f>
        <v/>
      </c>
      <c r="C4" s="17" t="n"/>
      <c r="D4" s="17" t="n"/>
      <c r="I4" s="106" t="n"/>
    </row>
    <row r="5" s="16">
      <c r="A5" s="17" t="inlineStr">
        <is>
          <t>Common Shares Outstanding at BS Date</t>
        </is>
      </c>
      <c r="B5" s="62">
        <f>'Financial Statements'!B5</f>
        <v/>
      </c>
      <c r="C5" s="17" t="n"/>
      <c r="D5" s="17" t="n"/>
    </row>
    <row r="6" s="16">
      <c r="A6" s="17" t="inlineStr">
        <is>
          <t>Equivalent Shares at Valuation Date</t>
        </is>
      </c>
      <c r="B6" s="63">
        <f>B5*'Valuation Parameters'!J12</f>
        <v/>
      </c>
      <c r="C6" s="17" t="n"/>
      <c r="D6" s="17" t="n"/>
    </row>
    <row r="7" s="16">
      <c r="A7" s="17" t="inlineStr">
        <is>
          <t>Forecasted Price at Valuation Date</t>
        </is>
      </c>
      <c r="B7" s="280">
        <f>'Residual Income Valuations'!B27</f>
        <v/>
      </c>
      <c r="C7" s="17" t="n"/>
      <c r="D7" s="17" t="n"/>
    </row>
    <row r="8" s="16">
      <c r="A8" s="17" t="n"/>
      <c r="C8" s="17" t="n"/>
      <c r="D8" s="17" t="n"/>
    </row>
    <row r="9" s="16">
      <c r="A9" s="17" t="n"/>
      <c r="B9" s="191" t="inlineStr">
        <is>
          <t>Forecast</t>
        </is>
      </c>
      <c r="C9" s="191" t="inlineStr">
        <is>
          <t>Forecast</t>
        </is>
      </c>
      <c r="D9" s="191" t="inlineStr">
        <is>
          <t>Forecast</t>
        </is>
      </c>
      <c r="E9" s="191" t="inlineStr">
        <is>
          <t>Forecast</t>
        </is>
      </c>
      <c r="F9" s="191" t="inlineStr">
        <is>
          <t>Forecast</t>
        </is>
      </c>
      <c r="G9" s="191" t="inlineStr">
        <is>
          <t>Forecast</t>
        </is>
      </c>
      <c r="H9" s="191" t="inlineStr">
        <is>
          <t>Forecast</t>
        </is>
      </c>
      <c r="I9" s="191" t="inlineStr">
        <is>
          <t>Forecast</t>
        </is>
      </c>
      <c r="J9" s="191" t="inlineStr">
        <is>
          <t>Forecast</t>
        </is>
      </c>
      <c r="K9" s="191" t="inlineStr">
        <is>
          <t>Forecast</t>
        </is>
      </c>
      <c r="L9" s="191" t="inlineStr">
        <is>
          <t>Forecast</t>
        </is>
      </c>
      <c r="M9" s="191" t="inlineStr">
        <is>
          <t>Forecast</t>
        </is>
      </c>
    </row>
    <row r="10" ht="15.95" customHeight="1" s="16">
      <c r="A10" s="66" t="inlineStr">
        <is>
          <t>Fiscal Year of Forecast</t>
        </is>
      </c>
      <c r="B10" s="249">
        <f>'Financial Statements'!G8</f>
        <v/>
      </c>
      <c r="C10" s="249">
        <f>'Financial Statements'!H8</f>
        <v/>
      </c>
      <c r="D10" s="249">
        <f>'Financial Statements'!I8</f>
        <v/>
      </c>
      <c r="E10" s="249">
        <f>'Financial Statements'!J8</f>
        <v/>
      </c>
      <c r="F10" s="249">
        <f>'Financial Statements'!K8</f>
        <v/>
      </c>
      <c r="G10" s="249">
        <f>'Financial Statements'!L8</f>
        <v/>
      </c>
      <c r="H10" s="249">
        <f>'Financial Statements'!M8</f>
        <v/>
      </c>
      <c r="I10" s="249">
        <f>'Financial Statements'!N8</f>
        <v/>
      </c>
      <c r="J10" s="249">
        <f>'Financial Statements'!O8</f>
        <v/>
      </c>
      <c r="K10" s="249">
        <f>'Financial Statements'!P8</f>
        <v/>
      </c>
      <c r="L10" s="249">
        <f>'Financial Statements'!Q8</f>
        <v/>
      </c>
      <c r="M10" s="249">
        <f>'Financial Statements'!R8</f>
        <v/>
      </c>
    </row>
    <row r="11" s="16">
      <c r="A11" t="inlineStr">
        <is>
          <t>Net Income</t>
        </is>
      </c>
      <c r="B11" s="68">
        <f>'Financial Statements'!G29</f>
        <v/>
      </c>
      <c r="C11" s="68">
        <f>'Financial Statements'!H29</f>
        <v/>
      </c>
      <c r="D11" s="68">
        <f>'Financial Statements'!I29</f>
        <v/>
      </c>
      <c r="E11" s="68">
        <f>'Financial Statements'!J29</f>
        <v/>
      </c>
      <c r="F11" s="68">
        <f>'Financial Statements'!K29</f>
        <v/>
      </c>
      <c r="G11" s="68">
        <f>'Financial Statements'!L29</f>
        <v/>
      </c>
      <c r="H11" s="68">
        <f>'Financial Statements'!M29</f>
        <v/>
      </c>
      <c r="I11" s="68">
        <f>'Financial Statements'!N29</f>
        <v/>
      </c>
      <c r="J11" s="68">
        <f>'Financial Statements'!O29</f>
        <v/>
      </c>
      <c r="K11" s="68">
        <f>'Financial Statements'!P29</f>
        <v/>
      </c>
      <c r="L11" s="68">
        <f>'Financial Statements'!Q29</f>
        <v/>
      </c>
      <c r="M11" s="68">
        <f>'Financial Statements'!R29</f>
        <v/>
      </c>
    </row>
    <row r="12" s="16">
      <c r="A12" t="inlineStr">
        <is>
          <t>Common Equity Issued (Repurchased)</t>
        </is>
      </c>
      <c r="B12" s="68">
        <f>'Cash Flow Analysis'!F39</f>
        <v/>
      </c>
      <c r="C12" s="68">
        <f>'Cash Flow Analysis'!G39</f>
        <v/>
      </c>
      <c r="D12" s="68">
        <f>'Cash Flow Analysis'!H39</f>
        <v/>
      </c>
      <c r="E12" s="68">
        <f>'Cash Flow Analysis'!I39</f>
        <v/>
      </c>
      <c r="F12" s="68">
        <f>'Cash Flow Analysis'!J39</f>
        <v/>
      </c>
      <c r="G12" s="68">
        <f>'Cash Flow Analysis'!K39</f>
        <v/>
      </c>
      <c r="H12" s="68">
        <f>'Cash Flow Analysis'!L39</f>
        <v/>
      </c>
      <c r="I12" s="68">
        <f>'Cash Flow Analysis'!M39</f>
        <v/>
      </c>
      <c r="J12" s="68">
        <f>'Cash Flow Analysis'!N39</f>
        <v/>
      </c>
      <c r="K12" s="68">
        <f>'Cash Flow Analysis'!O39</f>
        <v/>
      </c>
      <c r="L12" s="68">
        <f>'Cash Flow Analysis'!P39</f>
        <v/>
      </c>
      <c r="M12" s="68">
        <f>'Cash Flow Analysis'!Q39</f>
        <v/>
      </c>
    </row>
    <row r="13" s="16">
      <c r="A13" s="205" t="inlineStr">
        <is>
          <t>Forecasted Price at Year End</t>
        </is>
      </c>
      <c r="B13" s="279">
        <f>B7*(1+'Valuation Parameters'!J9*(DAYS360('Residual Income Valuations'!B6,'Residual Income Valuations'!B10)/360))+('Financial Statements'!G64/'EPS Forecaster'!B6)*(DAYS360('Residual Income Valuations'!B6,'Residual Income Valuations'!B10)/360)</f>
        <v/>
      </c>
      <c r="C13" s="279">
        <f>(B13*(1+'Valuation Parameters'!J9))+('Financial Statements'!H64/'EPS Forecaster'!B15)</f>
        <v/>
      </c>
      <c r="D13" s="279">
        <f>(C13*(1+'Valuation Parameters'!J9))+('Financial Statements'!I64/'EPS Forecaster'!C15)</f>
        <v/>
      </c>
      <c r="E13" s="279">
        <f>(D13*(1+'Valuation Parameters'!J9))+('Financial Statements'!J64/'EPS Forecaster'!D15)</f>
        <v/>
      </c>
      <c r="F13" s="279">
        <f>(E13*(1+'Valuation Parameters'!J9))+('Financial Statements'!K64/'EPS Forecaster'!E15)</f>
        <v/>
      </c>
      <c r="G13" s="279">
        <f>(F13*(1+'Valuation Parameters'!J9))+('Financial Statements'!L64/'EPS Forecaster'!F15)</f>
        <v/>
      </c>
      <c r="H13" s="279">
        <f>(G13*(1+'Valuation Parameters'!J9))+('Financial Statements'!M64/'EPS Forecaster'!G15)</f>
        <v/>
      </c>
      <c r="I13" s="279">
        <f>(H13*(1+'Valuation Parameters'!J9))+('Financial Statements'!N64/'EPS Forecaster'!H15)</f>
        <v/>
      </c>
      <c r="J13" s="279">
        <f>(I13*(1+'Valuation Parameters'!$J$9))+('Financial Statements'!O64/'EPS Forecaster'!I15)</f>
        <v/>
      </c>
      <c r="K13" s="279">
        <f>(J13*(1+'Valuation Parameters'!$J$9))+('Financial Statements'!P64/'EPS Forecaster'!J15)</f>
        <v/>
      </c>
      <c r="L13" s="279">
        <f>(K13*(1+'Valuation Parameters'!$J$9))+('Financial Statements'!Q64/'EPS Forecaster'!K15)</f>
        <v/>
      </c>
      <c r="M13" s="279">
        <f>(L13*(1+'Valuation Parameters'!$J$9))+('Financial Statements'!R64/'EPS Forecaster'!L15)</f>
        <v/>
      </c>
    </row>
    <row r="14" s="16">
      <c r="A14" t="inlineStr">
        <is>
          <t>New Shares Issued (Repurchased)</t>
        </is>
      </c>
      <c r="B14" s="68">
        <f>B12/B13</f>
        <v/>
      </c>
      <c r="C14" s="68">
        <f>C12/C13</f>
        <v/>
      </c>
      <c r="D14" s="68">
        <f>D12/D13</f>
        <v/>
      </c>
      <c r="E14" s="68">
        <f>E12/E13</f>
        <v/>
      </c>
      <c r="F14" s="68">
        <f>F12/F13</f>
        <v/>
      </c>
      <c r="G14" s="68">
        <f>G12/G13</f>
        <v/>
      </c>
      <c r="H14" s="68">
        <f>H12/H13</f>
        <v/>
      </c>
      <c r="I14" s="68">
        <f>I12/I13</f>
        <v/>
      </c>
      <c r="J14" s="68">
        <f>J12/J13</f>
        <v/>
      </c>
      <c r="K14" s="68">
        <f>K12/K13</f>
        <v/>
      </c>
      <c r="L14" s="68">
        <f>L12/L13</f>
        <v/>
      </c>
      <c r="M14" s="68">
        <f>M12/M13</f>
        <v/>
      </c>
    </row>
    <row r="15" s="16">
      <c r="A15" t="inlineStr">
        <is>
          <t>Shares Outstanding at End of Year</t>
        </is>
      </c>
      <c r="B15" s="68">
        <f>B6+B14</f>
        <v/>
      </c>
      <c r="C15" s="68">
        <f>B15+C14</f>
        <v/>
      </c>
      <c r="D15" s="68">
        <f>C15+D14</f>
        <v/>
      </c>
      <c r="E15" s="68">
        <f>D15+E14</f>
        <v/>
      </c>
      <c r="F15" s="68">
        <f>E15+F14</f>
        <v/>
      </c>
      <c r="G15" s="68">
        <f>F15+G14</f>
        <v/>
      </c>
      <c r="H15" s="68">
        <f>G15+H14</f>
        <v/>
      </c>
      <c r="I15" s="68">
        <f>H15+I14</f>
        <v/>
      </c>
      <c r="J15" s="68">
        <f>I15+J14</f>
        <v/>
      </c>
      <c r="K15" s="68">
        <f>J15+K14</f>
        <v/>
      </c>
      <c r="L15" s="68">
        <f>K15+L14</f>
        <v/>
      </c>
      <c r="M15" s="68">
        <f>L15+M14</f>
        <v/>
      </c>
    </row>
    <row r="16" s="16">
      <c r="A16" t="inlineStr">
        <is>
          <t>Forecast EPS</t>
        </is>
      </c>
      <c r="B16" s="279">
        <f>B11/((B6+B15)/2)</f>
        <v/>
      </c>
      <c r="C16" s="279">
        <f>C11/((B15+C15)/2)</f>
        <v/>
      </c>
      <c r="D16" s="279">
        <f>D11/((C15+D15)/2)</f>
        <v/>
      </c>
      <c r="E16" s="279">
        <f>E11/((D15+E15)/2)</f>
        <v/>
      </c>
      <c r="F16" s="279">
        <f>F11/((E15+F15)/2)</f>
        <v/>
      </c>
      <c r="G16" s="279">
        <f>G11/((F15+G15)/2)</f>
        <v/>
      </c>
      <c r="H16" s="279">
        <f>H11/((G15+H15)/2)</f>
        <v/>
      </c>
      <c r="I16" s="279">
        <f>I11/((H15+I15)/2)</f>
        <v/>
      </c>
      <c r="J16" s="279">
        <f>J11/((I15+J15)/2)</f>
        <v/>
      </c>
      <c r="K16" s="279">
        <f>K11/((J15+K15)/2)</f>
        <v/>
      </c>
      <c r="L16" s="279">
        <f>L11/((K15+L15)/2)</f>
        <v/>
      </c>
      <c r="M16" s="279">
        <f>M11/((L15+M15)/2)</f>
        <v/>
      </c>
    </row>
    <row r="17" s="16">
      <c r="A17" s="71" t="inlineStr">
        <is>
          <t>Consensus Analyst Forecast of EPS</t>
        </is>
      </c>
      <c r="B17" s="281" t="n"/>
      <c r="C17" s="281" t="n"/>
      <c r="D17" s="281" t="n"/>
      <c r="E17" s="279" t="n"/>
      <c r="F17" s="279" t="n"/>
      <c r="G17" s="279" t="n"/>
      <c r="H17" s="279" t="n"/>
      <c r="I17" s="279" t="n"/>
      <c r="J17" s="279" t="n"/>
      <c r="K17" s="279" t="n"/>
      <c r="L17" s="279" t="n"/>
      <c r="M17" s="279" t="n"/>
      <c r="N17" s="279" t="n"/>
      <c r="O17" s="279" t="n"/>
      <c r="P17" s="279" t="n"/>
      <c r="Q17" s="279" t="n"/>
      <c r="R17" s="279" t="n"/>
      <c r="S17" s="279" t="n"/>
      <c r="T17" s="279" t="n"/>
      <c r="U17" s="279" t="n"/>
      <c r="V17" s="279" t="n"/>
      <c r="W17" s="279" t="n"/>
      <c r="X17" s="279" t="n"/>
      <c r="Y17" s="279" t="n"/>
      <c r="Z17" s="279" t="n"/>
    </row>
    <row r="18" s="16">
      <c r="A18" s="74" t="n"/>
      <c r="B18" s="68" t="n"/>
    </row>
    <row r="19" ht="12" customHeight="1" s="16">
      <c r="A19" s="74" t="inlineStr">
        <is>
          <t>Forecast Five Year Growth Rate in EPS</t>
        </is>
      </c>
      <c r="B19" s="75">
        <f>(G16/B16)^(1/5)-1</f>
        <v/>
      </c>
    </row>
    <row r="20" ht="12" customHeight="1" s="16">
      <c r="A20" s="76" t="inlineStr">
        <is>
          <t>Consensus Analyst Forecast of Growth Rate</t>
        </is>
      </c>
      <c r="B20" s="77" t="n"/>
    </row>
    <row r="21" ht="12" customHeight="1" s="16">
      <c r="B21" s="75" t="n"/>
    </row>
    <row r="22" ht="12" customFormat="1" customHeight="1" s="57">
      <c r="A22" s="78" t="n"/>
      <c r="B22" s="79" t="n"/>
    </row>
    <row r="23" ht="12" customFormat="1" customHeight="1" s="57">
      <c r="B23" s="79" t="n"/>
      <c r="C23" s="80">
        <f>HYPERLINK(CONCATENATE("http://biz.yahoo.com/z/a/",LEFT(TRIM('Financial Statements'!D4),1),"/",TRIM('Financial Statements'!D4),".html"),"To obtain analyst forecasts, click here")</f>
        <v/>
      </c>
      <c r="E23" s="85" t="n"/>
      <c r="F23" s="85" t="n"/>
      <c r="G23" s="85" t="n"/>
    </row>
    <row r="24" ht="12" customHeight="1" s="16">
      <c r="A24" s="74" t="n"/>
      <c r="B24" s="75" t="n"/>
      <c r="C24" s="81" t="n"/>
    </row>
    <row r="25" ht="12" customHeight="1" s="16">
      <c r="A25" s="74" t="n"/>
      <c r="B25" s="75" t="n"/>
    </row>
    <row r="26" ht="12" customHeight="1" s="16">
      <c r="A26" s="74" t="n"/>
      <c r="B26" s="75" t="n"/>
    </row>
    <row r="27" ht="12" customHeight="1" s="16">
      <c r="A27" s="74" t="n"/>
      <c r="B27" s="75" t="n"/>
    </row>
    <row r="28" ht="12" customHeight="1" s="16">
      <c r="A28" s="74" t="n"/>
      <c r="B28" s="75" t="n"/>
    </row>
    <row r="29" ht="12" customHeight="1" s="16">
      <c r="A29" s="74" t="n"/>
      <c r="B29" s="75" t="n"/>
    </row>
    <row r="30" ht="12" customHeight="1" s="16">
      <c r="A30" s="74" t="n"/>
      <c r="B30" s="75" t="n"/>
    </row>
    <row r="31" ht="12" customHeight="1" s="16">
      <c r="A31" s="74" t="n"/>
      <c r="B31" s="75" t="n"/>
    </row>
    <row r="32" ht="12" customHeight="1" s="16">
      <c r="A32" s="74" t="n"/>
      <c r="B32" s="75" t="n"/>
    </row>
    <row r="33" ht="12" customHeight="1" s="16">
      <c r="A33" s="74" t="n"/>
      <c r="B33" s="75" t="n"/>
    </row>
    <row r="34" ht="12" customHeight="1" s="16">
      <c r="A34" s="74" t="n"/>
      <c r="B34" s="75" t="n"/>
    </row>
    <row r="35" ht="12" customHeight="1" s="16">
      <c r="A35" s="74" t="n"/>
      <c r="B35" s="75" t="n"/>
    </row>
    <row r="36" ht="12" customHeight="1" s="16">
      <c r="A36" s="74" t="n"/>
      <c r="B36" s="75" t="n"/>
    </row>
    <row r="37" ht="12" customHeight="1" s="16">
      <c r="A37" s="74" t="n"/>
      <c r="B37" s="75" t="n"/>
    </row>
    <row r="38" ht="12" customHeight="1" s="16">
      <c r="A38" s="74" t="n"/>
      <c r="B38" s="75" t="n"/>
    </row>
    <row r="39" ht="12" customHeight="1" s="16">
      <c r="A39" s="74" t="n"/>
      <c r="B39" s="75" t="n"/>
    </row>
    <row r="40" ht="12" customHeight="1" s="16">
      <c r="A40" s="74" t="n"/>
      <c r="B40" s="75" t="n"/>
    </row>
    <row r="41" ht="12" customHeight="1" s="16">
      <c r="A41" s="74" t="n"/>
      <c r="B41" s="75" t="n"/>
    </row>
    <row r="42" ht="12" customHeight="1" s="16">
      <c r="A42" s="74" t="n"/>
      <c r="B42" s="75" t="n"/>
    </row>
    <row r="43" ht="12" customHeight="1" s="16">
      <c r="A43" s="74" t="n"/>
      <c r="B43" s="75" t="n"/>
    </row>
    <row r="44" ht="12" customHeight="1" s="16">
      <c r="A44" s="74" t="n"/>
      <c r="B44" s="75" t="n"/>
    </row>
    <row r="45" ht="12" customHeight="1" s="16">
      <c r="A45" s="74" t="n"/>
      <c r="B45" s="75" t="n"/>
    </row>
    <row r="46" ht="12" customHeight="1" s="16">
      <c r="A46" s="74" t="n"/>
      <c r="B46" s="75" t="n"/>
    </row>
    <row r="47" ht="12" customHeight="1" s="16">
      <c r="A47" s="74" t="n"/>
      <c r="B47" s="75" t="n"/>
    </row>
    <row r="48" ht="12" customHeight="1" s="16">
      <c r="A48" s="74" t="n"/>
      <c r="B48" s="75" t="n"/>
    </row>
    <row r="49" ht="12" customHeight="1" s="16">
      <c r="A49" s="74" t="n"/>
      <c r="B49" s="75" t="n"/>
    </row>
    <row r="50" ht="12" customHeight="1" s="16">
      <c r="A50" s="74" t="n"/>
      <c r="B50" s="75" t="n"/>
    </row>
    <row r="51" ht="12" customHeight="1" s="16">
      <c r="A51" s="74" t="n"/>
      <c r="B51" s="75" t="n"/>
    </row>
    <row r="52" ht="12" customHeight="1" s="16">
      <c r="A52" s="74" t="n"/>
      <c r="B52" s="75" t="n"/>
    </row>
    <row r="53" ht="12" customHeight="1" s="16">
      <c r="A53" s="74" t="n"/>
      <c r="B53" s="75" t="n"/>
    </row>
    <row r="54" ht="12" customHeight="1" s="16">
      <c r="A54" s="74" t="n"/>
      <c r="B54" s="75" t="n"/>
    </row>
    <row r="55" ht="12" customHeight="1" s="16">
      <c r="A55" s="74" t="n"/>
      <c r="B55" s="75" t="n"/>
    </row>
    <row r="56" ht="12" customHeight="1" s="16">
      <c r="A56" s="74" t="n"/>
      <c r="B56" s="75" t="n"/>
    </row>
    <row r="57" ht="12" customHeight="1" s="16">
      <c r="A57" s="74" t="n"/>
      <c r="B57" s="75" t="n"/>
    </row>
    <row r="58" ht="12" customHeight="1" s="16">
      <c r="A58" s="74" t="n"/>
      <c r="B58" s="75" t="n"/>
    </row>
    <row r="59" ht="12" customHeight="1" s="16">
      <c r="A59" s="74" t="n"/>
      <c r="B59" s="75" t="n"/>
    </row>
    <row r="60" ht="12" customHeight="1" s="16">
      <c r="A60" s="74" t="n"/>
      <c r="B60" s="75" t="n"/>
    </row>
    <row r="61" ht="12" customHeight="1" s="16">
      <c r="A61" s="74" t="n"/>
      <c r="B61" s="75" t="n"/>
    </row>
    <row r="62" ht="12" customHeight="1" s="16">
      <c r="A62" s="74" t="n"/>
      <c r="B62" s="75" t="n"/>
    </row>
    <row r="63" ht="12" customHeight="1" s="16">
      <c r="A63" s="74" t="n"/>
      <c r="B63" s="75" t="n"/>
    </row>
    <row r="64" ht="12" customHeight="1" s="16">
      <c r="A64" s="74" t="n"/>
      <c r="B64" s="75" t="n"/>
    </row>
    <row r="65" ht="12" customHeight="1" s="16">
      <c r="A65" s="74" t="n"/>
      <c r="B65" s="75" t="n"/>
    </row>
    <row r="66" ht="12" customHeight="1" s="16">
      <c r="A66" s="74" t="n"/>
      <c r="B66" s="75" t="n"/>
    </row>
    <row r="67" ht="12" customHeight="1" s="16">
      <c r="A67" s="74" t="n"/>
      <c r="B67" s="75" t="n"/>
    </row>
    <row r="68" ht="12" customHeight="1" s="16">
      <c r="A68" s="74" t="n"/>
      <c r="B68" s="75" t="n"/>
    </row>
    <row r="69" ht="12" customHeight="1" s="16">
      <c r="A69" s="74" t="n"/>
      <c r="B69" s="75" t="n"/>
    </row>
  </sheetData>
  <mergeCells count="1">
    <mergeCell ref="C23:D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6">
    <outlinePr summaryBelow="1" summaryRight="1"/>
    <pageSetUpPr/>
  </sheetPr>
  <dimension ref="A1:DC201"/>
  <sheetViews>
    <sheetView showGridLines="0" zoomScale="125" zoomScaleNormal="125" workbookViewId="0">
      <selection activeCell="A1" sqref="A1"/>
    </sheetView>
  </sheetViews>
  <sheetFormatPr baseColWidth="8" defaultColWidth="8.830357142857141" defaultRowHeight="15.2"/>
  <cols>
    <col width="27.3303571428571" customWidth="1" style="228" min="1" max="1"/>
    <col width="18.3303571428571" customWidth="1" style="228" min="2" max="2"/>
    <col width="8.830357142857141" customWidth="1" style="228" min="3" max="16384"/>
  </cols>
  <sheetData>
    <row r="1" ht="20.4" customHeight="1" s="16">
      <c r="A1" s="28" t="inlineStr">
        <is>
          <t>Model Summary</t>
        </is>
      </c>
      <c r="B1" s="29" t="n"/>
      <c r="C1" s="30" t="n"/>
    </row>
    <row r="2" ht="20.4" customHeight="1" s="16">
      <c r="A2" s="31" t="n"/>
      <c r="B2" s="140" t="n"/>
      <c r="C2" s="33" t="n"/>
    </row>
    <row r="3" ht="15.95" customHeight="1" s="16">
      <c r="A3" s="34" t="n"/>
      <c r="B3" s="35" t="n"/>
      <c r="C3" s="36" t="n"/>
    </row>
    <row r="4">
      <c r="A4" s="37" t="inlineStr">
        <is>
          <t>Historical Data For:</t>
        </is>
      </c>
      <c r="B4" s="229" t="n"/>
      <c r="C4" s="39" t="n"/>
    </row>
    <row r="5">
      <c r="A5" s="40">
        <f>'Financial Statements'!B4</f>
        <v/>
      </c>
      <c r="B5" s="41" t="n"/>
      <c r="C5" s="39" t="n"/>
    </row>
    <row r="6">
      <c r="A6" s="42" t="inlineStr">
        <is>
          <t>Most Recent Fiscal Year End:</t>
        </is>
      </c>
      <c r="B6" s="282">
        <f>'Financial Statements'!F8</f>
        <v/>
      </c>
      <c r="C6" s="39" t="n"/>
    </row>
    <row r="7">
      <c r="A7" s="42" t="inlineStr">
        <is>
          <t>Average ROE (last five years)</t>
        </is>
      </c>
      <c r="B7" s="44">
        <f>AVERAGE('Ratio Analysis'!C19:F19)</f>
        <v/>
      </c>
      <c r="C7" s="39" t="n"/>
    </row>
    <row r="8">
      <c r="A8" s="42" t="inlineStr">
        <is>
          <t>Sales Growth (last five years)</t>
        </is>
      </c>
      <c r="B8" s="44">
        <f>(('Financial Statements'!F12/'Financial Statements'!B12)^(1/4))-1</f>
        <v/>
      </c>
      <c r="C8" s="39" t="n"/>
    </row>
    <row r="9">
      <c r="A9" s="42" t="n"/>
      <c r="B9" s="229" t="n"/>
      <c r="C9" s="39" t="n"/>
    </row>
    <row r="10">
      <c r="A10" s="37" t="inlineStr">
        <is>
          <t>Forecast Data:</t>
        </is>
      </c>
      <c r="B10" s="229" t="n"/>
      <c r="C10" s="39" t="n"/>
    </row>
    <row r="11">
      <c r="A11" s="42" t="inlineStr">
        <is>
          <t>Forecast Horizon</t>
        </is>
      </c>
      <c r="B11" s="45" t="inlineStr">
        <is>
          <t>10 years</t>
        </is>
      </c>
      <c r="C11" s="39" t="n"/>
    </row>
    <row r="12">
      <c r="A12" s="42" t="inlineStr">
        <is>
          <t>This Year's ROE</t>
        </is>
      </c>
      <c r="B12" s="46">
        <f>'Ratio Analysis'!G19</f>
        <v/>
      </c>
      <c r="C12" s="39" t="n"/>
    </row>
    <row r="13">
      <c r="A13" s="42" t="inlineStr">
        <is>
          <t>Terminal Year's ROE</t>
        </is>
      </c>
      <c r="B13" s="46">
        <f>'Ratio Analysis'!Q19</f>
        <v/>
      </c>
      <c r="C13" s="39" t="n"/>
    </row>
    <row r="14">
      <c r="A14" s="42" t="inlineStr">
        <is>
          <t>This Year's Sales Growth</t>
        </is>
      </c>
      <c r="B14" s="46">
        <f>'Ratio Analysis'!G10</f>
        <v/>
      </c>
      <c r="C14" s="39" t="n"/>
    </row>
    <row r="15">
      <c r="A15" s="42" t="inlineStr">
        <is>
          <t>Terminal Year's Sales Growth</t>
        </is>
      </c>
      <c r="B15" s="46">
        <f>'Ratio Analysis'!Q10</f>
        <v/>
      </c>
      <c r="C15" s="39" t="n"/>
    </row>
    <row r="16">
      <c r="A16" s="42" t="inlineStr">
        <is>
          <t>This Year's Forecast EPS</t>
        </is>
      </c>
      <c r="B16" s="283">
        <f>'EPS Forecaster'!B16</f>
        <v/>
      </c>
      <c r="C16" s="39" t="n"/>
    </row>
    <row r="17">
      <c r="A17" s="42" t="inlineStr">
        <is>
          <t>Forecast 5 Year EPS Growth</t>
        </is>
      </c>
      <c r="B17" s="46">
        <f>'EPS Forecaster'!B19</f>
        <v/>
      </c>
      <c r="C17" s="39" t="n"/>
    </row>
    <row r="18">
      <c r="A18" s="42" t="n"/>
      <c r="B18" s="229" t="n"/>
      <c r="C18" s="39" t="n"/>
    </row>
    <row r="19">
      <c r="A19" s="37" t="inlineStr">
        <is>
          <t>Valuation Data:</t>
        </is>
      </c>
      <c r="B19" s="229" t="n"/>
      <c r="C19" s="39" t="n"/>
    </row>
    <row r="20">
      <c r="A20" s="42" t="inlineStr">
        <is>
          <t>Cost of Equity Capital</t>
        </is>
      </c>
      <c r="B20" s="46">
        <f>'Valuation Parameters'!J9</f>
        <v/>
      </c>
      <c r="C20" s="39" t="n"/>
    </row>
    <row r="21" ht="15.95" customHeight="1" s="16">
      <c r="A21" s="42" t="inlineStr">
        <is>
          <t>Valuation Date</t>
        </is>
      </c>
      <c r="B21" s="284">
        <f>'Valuation Parameters'!J11</f>
        <v/>
      </c>
      <c r="C21" s="39" t="n"/>
    </row>
    <row r="22" ht="16.7" customHeight="1" s="16">
      <c r="A22" s="42" t="inlineStr">
        <is>
          <t>Estimated Price/Share</t>
        </is>
      </c>
      <c r="B22" s="285">
        <f>'Residual Income Valuations'!B27</f>
        <v/>
      </c>
      <c r="C22" s="39" t="n"/>
    </row>
    <row r="23" ht="15.95" customHeight="1" s="16">
      <c r="A23" s="42" t="inlineStr">
        <is>
          <t>Estimated Price/Earnings Ratio</t>
        </is>
      </c>
      <c r="B23" s="50">
        <f>B22/'Model Summary'!B16</f>
        <v/>
      </c>
      <c r="C23" s="39" t="n"/>
    </row>
    <row r="24">
      <c r="A24" s="42" t="inlineStr">
        <is>
          <t>Estimated Market/Book Ratio</t>
        </is>
      </c>
      <c r="B24" s="51">
        <f>(B22*'Residual Income Valuations'!B26)/'Financial Statements'!F57</f>
        <v/>
      </c>
      <c r="C24" s="39" t="n"/>
    </row>
    <row r="25" ht="15.95" customHeight="1" s="16">
      <c r="A25" s="52" t="n"/>
      <c r="B25" s="53" t="n"/>
      <c r="C25" s="54" t="n"/>
    </row>
    <row r="101"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  <c r="BV101" s="55" t="n"/>
      <c r="BW101" s="55" t="n"/>
      <c r="BX101" s="55" t="n"/>
      <c r="BY101" s="55" t="n"/>
      <c r="BZ101" s="55" t="n"/>
      <c r="CA101" s="55" t="n"/>
      <c r="CB101" s="55" t="n"/>
      <c r="CC101" s="55" t="n"/>
      <c r="CD101" s="55" t="n"/>
      <c r="CE101" s="55" t="n"/>
      <c r="CF101" s="55" t="n"/>
      <c r="CG101" s="55" t="n"/>
      <c r="CH101" s="55" t="n"/>
      <c r="CI101" s="55" t="n"/>
      <c r="CJ101" s="55" t="n"/>
      <c r="CK101" s="55" t="n"/>
      <c r="CL101" s="55" t="n"/>
      <c r="CM101" s="55" t="n"/>
      <c r="CN101" s="55" t="n"/>
      <c r="CO101" s="55" t="n"/>
      <c r="CP101" s="55" t="n"/>
      <c r="CQ101" s="55" t="n"/>
      <c r="CR101" s="55" t="n"/>
      <c r="CS101" s="55" t="n"/>
      <c r="CT101" s="55" t="n"/>
    </row>
    <row r="102">
      <c r="AD102" s="55" t="n"/>
      <c r="AE102" s="55" t="n"/>
      <c r="AF102" s="55" t="n"/>
      <c r="AG102" s="55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  <c r="BE102" s="55" t="n"/>
      <c r="BF102" s="55" t="n"/>
      <c r="BG102" s="55" t="n"/>
      <c r="BH102" s="55" t="n"/>
      <c r="BI102" s="55" t="n"/>
      <c r="BJ102" s="55" t="n"/>
      <c r="BK102" s="55" t="n"/>
      <c r="BL102" s="55" t="n"/>
      <c r="BM102" s="55" t="n"/>
      <c r="BN102" s="55" t="n"/>
      <c r="BO102" s="55" t="n"/>
      <c r="BP102" s="55" t="n"/>
      <c r="BQ102" s="55" t="n"/>
      <c r="BR102" s="55" t="n"/>
      <c r="BS102" s="55" t="n"/>
      <c r="BT102" s="55" t="n"/>
      <c r="BU102" s="55" t="n"/>
      <c r="BV102" s="55" t="n"/>
      <c r="BW102" s="55" t="n"/>
      <c r="BX102" s="55" t="n"/>
      <c r="BY102" s="55" t="n"/>
      <c r="BZ102" s="55" t="n"/>
      <c r="CA102" s="55" t="n"/>
      <c r="CB102" s="55" t="n"/>
      <c r="CC102" s="55" t="n"/>
      <c r="CD102" s="55" t="n"/>
      <c r="CE102" s="55" t="n"/>
      <c r="CF102" s="55" t="n"/>
      <c r="CG102" s="55" t="n"/>
      <c r="CH102" s="55" t="n"/>
      <c r="CI102" s="55" t="n"/>
      <c r="CJ102" s="55" t="n"/>
      <c r="CK102" s="55" t="n"/>
      <c r="CL102" s="55" t="n"/>
      <c r="CM102" s="55" t="n"/>
      <c r="CN102" s="55" t="n"/>
      <c r="CO102" s="55" t="n"/>
      <c r="CP102" s="55" t="n"/>
      <c r="CQ102" s="55" t="n"/>
      <c r="CR102" s="55" t="n"/>
      <c r="CS102" s="55" t="n"/>
      <c r="CT102" s="55" t="n"/>
    </row>
    <row r="103">
      <c r="AD103" s="55" t="n"/>
      <c r="AE103" s="55" t="n"/>
      <c r="AF103" s="55" t="n"/>
      <c r="AG103" s="55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  <c r="BD103" s="55" t="n"/>
      <c r="BE103" s="55" t="n"/>
      <c r="BF103" s="55" t="n"/>
      <c r="BG103" s="55" t="n"/>
      <c r="BH103" s="55" t="n"/>
      <c r="BI103" s="55" t="n"/>
      <c r="BJ103" s="55" t="n"/>
      <c r="BK103" s="55" t="n"/>
      <c r="BL103" s="55" t="n"/>
      <c r="BM103" s="55" t="n"/>
      <c r="BN103" s="55" t="n"/>
      <c r="BO103" s="55" t="n"/>
      <c r="BP103" s="55" t="n"/>
      <c r="BQ103" s="55" t="n"/>
      <c r="BR103" s="55" t="n"/>
      <c r="BS103" s="55" t="n"/>
      <c r="BT103" s="55" t="n"/>
      <c r="BU103" s="55" t="n"/>
      <c r="BV103" s="55" t="n"/>
      <c r="BW103" s="55" t="n"/>
      <c r="BX103" s="55" t="n"/>
      <c r="BY103" s="55" t="n"/>
      <c r="BZ103" s="55" t="n"/>
      <c r="CA103" s="55" t="n"/>
      <c r="CB103" s="55" t="n"/>
      <c r="CC103" s="55" t="n"/>
      <c r="CD103" s="55" t="n"/>
      <c r="CE103" s="55" t="n"/>
      <c r="CF103" s="55" t="n"/>
      <c r="CG103" s="55" t="n"/>
      <c r="CH103" s="55" t="n"/>
      <c r="CI103" s="55" t="n"/>
      <c r="CJ103" s="55" t="n"/>
      <c r="CK103" s="55" t="n"/>
      <c r="CL103" s="55" t="n"/>
      <c r="CM103" s="55" t="n"/>
      <c r="CN103" s="55" t="n"/>
      <c r="CO103" s="55" t="n"/>
      <c r="CP103" s="55" t="n"/>
      <c r="CQ103" s="55" t="n"/>
      <c r="CR103" s="55" t="n"/>
      <c r="CS103" s="55" t="n"/>
      <c r="CT103" s="55" t="n"/>
    </row>
    <row r="104">
      <c r="AD104" s="55" t="n"/>
      <c r="AE104" s="55" t="n"/>
      <c r="AF104" s="55" t="n"/>
      <c r="AG104" s="55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  <c r="BD104" s="55" t="n"/>
      <c r="BE104" s="55" t="n"/>
      <c r="BF104" s="55" t="n"/>
      <c r="BG104" s="55" t="n"/>
      <c r="BH104" s="55" t="n"/>
      <c r="BI104" s="55" t="n"/>
      <c r="BJ104" s="55" t="n"/>
      <c r="BK104" s="55" t="n"/>
      <c r="BL104" s="55" t="n"/>
      <c r="BM104" s="55" t="n"/>
      <c r="BN104" s="55" t="n"/>
      <c r="BO104" s="55" t="n"/>
      <c r="BP104" s="55" t="n"/>
      <c r="BQ104" s="55" t="n"/>
      <c r="BR104" s="55" t="n"/>
      <c r="BS104" s="55" t="n"/>
      <c r="BT104" s="55" t="n"/>
      <c r="BU104" s="55" t="n"/>
      <c r="BV104" s="55" t="n"/>
      <c r="BW104" s="55" t="n"/>
      <c r="BX104" s="55" t="n"/>
      <c r="BY104" s="55" t="n"/>
      <c r="BZ104" s="55" t="n"/>
      <c r="CA104" s="55" t="n"/>
      <c r="CB104" s="55" t="n"/>
      <c r="CC104" s="55" t="n"/>
      <c r="CD104" s="55" t="n"/>
      <c r="CE104" s="55" t="n"/>
      <c r="CF104" s="55" t="n"/>
      <c r="CG104" s="55" t="n"/>
      <c r="CH104" s="55" t="n"/>
      <c r="CI104" s="55" t="n"/>
      <c r="CJ104" s="55" t="n"/>
      <c r="CK104" s="55" t="n"/>
      <c r="CL104" s="55" t="n"/>
      <c r="CM104" s="55" t="n"/>
      <c r="CN104" s="55" t="n"/>
      <c r="CO104" s="55" t="n"/>
      <c r="CP104" s="55" t="n"/>
      <c r="CQ104" s="55" t="n"/>
      <c r="CR104" s="55" t="n"/>
      <c r="CS104" s="55" t="n"/>
      <c r="CT104" s="55" t="n"/>
    </row>
    <row r="105"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  <c r="BE105" s="55" t="n"/>
      <c r="BF105" s="55" t="n"/>
      <c r="BG105" s="55" t="n"/>
      <c r="BH105" s="55" t="n"/>
      <c r="BI105" s="55" t="n"/>
      <c r="BJ105" s="55" t="n"/>
      <c r="BK105" s="55" t="n"/>
      <c r="BL105" s="55" t="n"/>
      <c r="BM105" s="55" t="n"/>
      <c r="BN105" s="55" t="n"/>
      <c r="BO105" s="55" t="n"/>
      <c r="BP105" s="55" t="n"/>
      <c r="BQ105" s="55" t="n"/>
      <c r="BR105" s="55" t="n"/>
      <c r="BS105" s="55" t="n"/>
      <c r="BT105" s="55" t="n"/>
      <c r="BU105" s="55" t="n"/>
      <c r="BV105" s="55" t="n"/>
      <c r="BW105" s="55" t="n"/>
      <c r="BX105" s="55" t="n"/>
      <c r="BY105" s="55" t="n"/>
      <c r="BZ105" s="55" t="n"/>
      <c r="CA105" s="55" t="n"/>
      <c r="CB105" s="55" t="n"/>
      <c r="CC105" s="55" t="n"/>
      <c r="CD105" s="55" t="n"/>
      <c r="CE105" s="55" t="n"/>
      <c r="CF105" s="55" t="n"/>
      <c r="CG105" s="55" t="n"/>
      <c r="CH105" s="55" t="n"/>
      <c r="CI105" s="55" t="n"/>
      <c r="CJ105" s="55" t="n"/>
      <c r="CK105" s="55" t="n"/>
      <c r="CL105" s="55" t="n"/>
      <c r="CM105" s="55" t="n"/>
      <c r="CN105" s="55" t="n"/>
      <c r="CO105" s="55" t="n"/>
      <c r="CP105" s="55" t="n"/>
      <c r="CQ105" s="55" t="n"/>
      <c r="CR105" s="55" t="n"/>
      <c r="CS105" s="55" t="n"/>
      <c r="CT105" s="55" t="n"/>
    </row>
    <row r="106">
      <c r="AD106" s="55" t="n"/>
      <c r="AE106" s="55" t="n"/>
      <c r="AF106" s="55" t="n"/>
      <c r="AG106" s="55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  <c r="BD106" s="55" t="n"/>
      <c r="BE106" s="55" t="n"/>
      <c r="BF106" s="55" t="n"/>
      <c r="BG106" s="55" t="n"/>
      <c r="BH106" s="55" t="n"/>
      <c r="BI106" s="55" t="n"/>
      <c r="BJ106" s="55" t="n"/>
      <c r="BK106" s="55" t="n"/>
      <c r="BL106" s="55" t="n"/>
      <c r="BM106" s="55" t="n"/>
      <c r="BN106" s="55" t="n"/>
      <c r="BO106" s="55" t="n"/>
      <c r="BP106" s="55" t="n"/>
      <c r="BQ106" s="55" t="n"/>
      <c r="BR106" s="55" t="n"/>
      <c r="BS106" s="55" t="n"/>
      <c r="BT106" s="55" t="n"/>
      <c r="BU106" s="55" t="n"/>
      <c r="BV106" s="55" t="n"/>
      <c r="BW106" s="55" t="n"/>
      <c r="BX106" s="55" t="n"/>
      <c r="BY106" s="55" t="n"/>
      <c r="BZ106" s="55" t="n"/>
      <c r="CA106" s="55" t="n"/>
      <c r="CB106" s="55" t="n"/>
      <c r="CC106" s="55" t="n"/>
      <c r="CD106" s="55" t="n"/>
      <c r="CE106" s="55" t="n"/>
      <c r="CF106" s="55" t="n"/>
      <c r="CG106" s="55" t="n"/>
      <c r="CH106" s="55" t="n"/>
      <c r="CI106" s="55" t="n"/>
      <c r="CJ106" s="55" t="n"/>
      <c r="CK106" s="55" t="n"/>
      <c r="CL106" s="55" t="n"/>
      <c r="CM106" s="55" t="n"/>
      <c r="CN106" s="55" t="n"/>
      <c r="CO106" s="55" t="n"/>
      <c r="CP106" s="55" t="n"/>
      <c r="CQ106" s="55" t="n"/>
      <c r="CR106" s="55" t="n"/>
      <c r="CS106" s="55" t="n"/>
      <c r="CT106" s="55" t="n"/>
    </row>
    <row r="107">
      <c r="AD107" s="55" t="n"/>
      <c r="AE107" s="55" t="n"/>
      <c r="AF107" s="55" t="n"/>
      <c r="AG107" s="55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  <c r="BE107" s="55" t="n"/>
      <c r="BF107" s="55" t="n"/>
      <c r="BG107" s="55" t="n"/>
      <c r="BH107" s="55" t="n"/>
      <c r="BI107" s="55" t="n"/>
      <c r="BJ107" s="55" t="n"/>
      <c r="BK107" s="55" t="n"/>
      <c r="BL107" s="55" t="n"/>
      <c r="BM107" s="55" t="n"/>
      <c r="BN107" s="55" t="n"/>
      <c r="BO107" s="55" t="n"/>
      <c r="BP107" s="55" t="n"/>
      <c r="BQ107" s="55" t="n"/>
      <c r="BR107" s="55" t="n"/>
      <c r="BS107" s="55" t="n"/>
      <c r="BT107" s="55" t="n"/>
      <c r="BU107" s="55" t="n"/>
      <c r="BV107" s="55" t="n"/>
      <c r="BW107" s="55" t="n"/>
      <c r="BX107" s="55" t="n"/>
      <c r="BY107" s="55" t="n"/>
      <c r="BZ107" s="55" t="n"/>
      <c r="CA107" s="55" t="n"/>
      <c r="CB107" s="55" t="n"/>
      <c r="CC107" s="55" t="n"/>
      <c r="CD107" s="55" t="n"/>
      <c r="CE107" s="55" t="n"/>
      <c r="CF107" s="55" t="n"/>
      <c r="CG107" s="55" t="n"/>
      <c r="CH107" s="55" t="n"/>
      <c r="CI107" s="55" t="n"/>
      <c r="CJ107" s="55" t="n"/>
      <c r="CK107" s="55" t="n"/>
      <c r="CL107" s="55" t="n"/>
      <c r="CM107" s="55" t="n"/>
      <c r="CN107" s="55" t="n"/>
      <c r="CO107" s="55" t="n"/>
      <c r="CP107" s="55" t="n"/>
      <c r="CQ107" s="55" t="n"/>
      <c r="CR107" s="55" t="n"/>
      <c r="CS107" s="55" t="n"/>
      <c r="CT107" s="55" t="n"/>
    </row>
    <row r="108"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  <c r="BV108" s="55" t="n"/>
      <c r="BW108" s="55" t="n"/>
      <c r="BX108" s="55" t="n"/>
      <c r="BY108" s="55" t="n"/>
      <c r="BZ108" s="55" t="n"/>
      <c r="CA108" s="55" t="n"/>
      <c r="CB108" s="55" t="n"/>
      <c r="CC108" s="55" t="n"/>
      <c r="CD108" s="55" t="n"/>
      <c r="CE108" s="55" t="n"/>
      <c r="CF108" s="55" t="n"/>
      <c r="CG108" s="55" t="n"/>
      <c r="CH108" s="55" t="n"/>
      <c r="CI108" s="55" t="n"/>
      <c r="CJ108" s="55" t="n"/>
      <c r="CK108" s="55" t="n"/>
      <c r="CL108" s="55" t="n"/>
      <c r="CM108" s="55" t="n"/>
      <c r="CN108" s="55" t="n"/>
      <c r="CO108" s="55" t="n"/>
      <c r="CP108" s="55" t="n"/>
      <c r="CQ108" s="55" t="n"/>
      <c r="CR108" s="55" t="n"/>
      <c r="CS108" s="55" t="n"/>
      <c r="CT108" s="55" t="n"/>
    </row>
    <row r="109"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  <c r="BV109" s="55" t="n"/>
      <c r="BW109" s="55" t="n"/>
      <c r="BX109" s="55" t="n"/>
      <c r="BY109" s="55" t="n"/>
      <c r="BZ109" s="55" t="n"/>
      <c r="CA109" s="55" t="n"/>
      <c r="CB109" s="55" t="n"/>
      <c r="CC109" s="55" t="n"/>
      <c r="CD109" s="55" t="n"/>
      <c r="CE109" s="55" t="n"/>
      <c r="CF109" s="55" t="n"/>
      <c r="CG109" s="55" t="n"/>
      <c r="CH109" s="55" t="n"/>
      <c r="CI109" s="55" t="n"/>
      <c r="CJ109" s="55" t="n"/>
      <c r="CK109" s="55" t="n"/>
      <c r="CL109" s="55" t="n"/>
      <c r="CM109" s="55" t="n"/>
      <c r="CN109" s="55" t="n"/>
      <c r="CO109" s="55" t="n"/>
      <c r="CP109" s="55" t="n"/>
      <c r="CQ109" s="55" t="n"/>
      <c r="CR109" s="55" t="n"/>
      <c r="CS109" s="55" t="n"/>
      <c r="CT109" s="55" t="n"/>
    </row>
    <row r="110"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  <c r="BV110" s="55" t="n"/>
      <c r="BW110" s="55" t="n"/>
      <c r="BX110" s="55" t="n"/>
      <c r="BY110" s="55" t="n"/>
      <c r="BZ110" s="55" t="n"/>
      <c r="CA110" s="55" t="n"/>
      <c r="CB110" s="55" t="n"/>
      <c r="CC110" s="55" t="n"/>
      <c r="CD110" s="55" t="n"/>
      <c r="CE110" s="55" t="n"/>
      <c r="CF110" s="55" t="n"/>
      <c r="CG110" s="55" t="n"/>
      <c r="CH110" s="55" t="n"/>
      <c r="CI110" s="55" t="n"/>
      <c r="CJ110" s="55" t="n"/>
      <c r="CK110" s="55" t="n"/>
      <c r="CL110" s="55" t="n"/>
      <c r="CM110" s="55" t="n"/>
      <c r="CN110" s="55" t="n"/>
      <c r="CO110" s="55" t="n"/>
      <c r="CP110" s="55" t="n"/>
      <c r="CQ110" s="55" t="n"/>
      <c r="CR110" s="55" t="n"/>
      <c r="CS110" s="55" t="n"/>
      <c r="CT110" s="55" t="n"/>
    </row>
    <row r="111">
      <c r="AD111" s="55" t="n"/>
      <c r="AE111" s="55" t="n"/>
      <c r="AF111" s="55" t="n"/>
      <c r="AG111" s="55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  <c r="BE111" s="55" t="n"/>
      <c r="BF111" s="55" t="n"/>
      <c r="BG111" s="55" t="n"/>
      <c r="BH111" s="55" t="n"/>
      <c r="BI111" s="55" t="n"/>
      <c r="BJ111" s="55" t="n"/>
      <c r="BK111" s="55" t="n"/>
      <c r="BL111" s="55" t="n"/>
      <c r="BM111" s="55" t="n"/>
      <c r="BN111" s="55" t="n"/>
      <c r="BO111" s="55" t="n"/>
      <c r="BP111" s="55" t="n"/>
      <c r="BQ111" s="55" t="n"/>
      <c r="BR111" s="55" t="n"/>
      <c r="BS111" s="55" t="n"/>
      <c r="BT111" s="55" t="n"/>
      <c r="BU111" s="55" t="n"/>
      <c r="BV111" s="55" t="n"/>
      <c r="BW111" s="55" t="n"/>
      <c r="BX111" s="55" t="n"/>
      <c r="BY111" s="55" t="n"/>
      <c r="BZ111" s="55" t="n"/>
      <c r="CA111" s="55" t="n"/>
      <c r="CB111" s="55" t="n"/>
      <c r="CC111" s="55" t="n"/>
      <c r="CD111" s="55" t="n"/>
      <c r="CE111" s="55" t="n"/>
      <c r="CF111" s="55" t="n"/>
      <c r="CG111" s="55" t="n"/>
      <c r="CH111" s="55" t="n"/>
      <c r="CI111" s="55" t="n"/>
      <c r="CJ111" s="55" t="n"/>
      <c r="CK111" s="55" t="n"/>
      <c r="CL111" s="55" t="n"/>
      <c r="CM111" s="55" t="n"/>
      <c r="CN111" s="55" t="n"/>
      <c r="CO111" s="55" t="n"/>
      <c r="CP111" s="55" t="n"/>
      <c r="CQ111" s="55" t="n"/>
      <c r="CR111" s="55" t="n"/>
      <c r="CS111" s="55" t="n"/>
      <c r="CT111" s="55" t="n"/>
    </row>
    <row r="112"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  <c r="BE112" s="55" t="n"/>
      <c r="BF112" s="55" t="n"/>
      <c r="BG112" s="55" t="n"/>
      <c r="BH112" s="55" t="n"/>
      <c r="BI112" s="55" t="n"/>
      <c r="BJ112" s="55" t="n"/>
      <c r="BK112" s="55" t="n"/>
      <c r="BL112" s="55" t="n"/>
      <c r="BM112" s="55" t="n"/>
      <c r="BN112" s="55" t="n"/>
      <c r="BO112" s="55" t="n"/>
      <c r="BP112" s="55" t="n"/>
      <c r="BQ112" s="55" t="n"/>
      <c r="BR112" s="55" t="n"/>
      <c r="BS112" s="55" t="n"/>
      <c r="BT112" s="55" t="n"/>
      <c r="BU112" s="55" t="n"/>
      <c r="BV112" s="55" t="n"/>
      <c r="BW112" s="55" t="n"/>
      <c r="BX112" s="55" t="n"/>
      <c r="BY112" s="55" t="n"/>
      <c r="BZ112" s="55" t="n"/>
      <c r="CA112" s="55" t="n"/>
      <c r="CB112" s="55" t="n"/>
      <c r="CC112" s="55" t="n"/>
      <c r="CD112" s="55" t="n"/>
      <c r="CE112" s="55" t="n"/>
      <c r="CF112" s="55" t="n"/>
      <c r="CG112" s="55" t="n"/>
      <c r="CH112" s="55" t="n"/>
      <c r="CI112" s="55" t="n"/>
      <c r="CJ112" s="55" t="n"/>
      <c r="CK112" s="55" t="n"/>
      <c r="CL112" s="55" t="n"/>
      <c r="CM112" s="55" t="n"/>
      <c r="CN112" s="55" t="n"/>
      <c r="CO112" s="55" t="n"/>
      <c r="CP112" s="55" t="n"/>
      <c r="CQ112" s="55" t="n"/>
      <c r="CR112" s="55" t="n"/>
      <c r="CS112" s="55" t="n"/>
      <c r="CT112" s="55" t="n"/>
    </row>
    <row r="113">
      <c r="AD113" s="55" t="n"/>
      <c r="AE113" s="55" t="n"/>
      <c r="AF113" s="55" t="n"/>
      <c r="AG113" s="55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  <c r="BE113" s="55" t="n"/>
      <c r="BF113" s="55" t="n"/>
      <c r="BG113" s="55" t="n"/>
      <c r="BH113" s="55" t="n"/>
      <c r="BI113" s="55" t="n"/>
      <c r="BJ113" s="55" t="n"/>
      <c r="BK113" s="55" t="n"/>
      <c r="BL113" s="55" t="n"/>
      <c r="BM113" s="55" t="n"/>
      <c r="BN113" s="55" t="n"/>
      <c r="BO113" s="55" t="n"/>
      <c r="BP113" s="55" t="n"/>
      <c r="BQ113" s="55" t="n"/>
      <c r="BR113" s="55" t="n"/>
      <c r="BS113" s="55" t="n"/>
      <c r="BT113" s="55" t="n"/>
      <c r="BU113" s="55" t="n"/>
      <c r="BV113" s="55" t="n"/>
      <c r="BW113" s="55" t="n"/>
      <c r="BX113" s="55" t="n"/>
      <c r="BY113" s="55" t="n"/>
      <c r="BZ113" s="55" t="n"/>
      <c r="CA113" s="55" t="n"/>
      <c r="CB113" s="55" t="n"/>
      <c r="CC113" s="55" t="n"/>
      <c r="CD113" s="55" t="n"/>
      <c r="CE113" s="55" t="n"/>
      <c r="CF113" s="55" t="n"/>
      <c r="CG113" s="55" t="n"/>
      <c r="CH113" s="55" t="n"/>
      <c r="CI113" s="55" t="n"/>
      <c r="CJ113" s="55" t="n"/>
      <c r="CK113" s="55" t="n"/>
      <c r="CL113" s="55" t="n"/>
      <c r="CM113" s="55" t="n"/>
      <c r="CN113" s="55" t="n"/>
      <c r="CO113" s="55" t="n"/>
      <c r="CP113" s="55" t="n"/>
      <c r="CQ113" s="55" t="n"/>
      <c r="CR113" s="55" t="n"/>
      <c r="CS113" s="55" t="n"/>
      <c r="CT113" s="55" t="n"/>
    </row>
    <row r="114"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  <c r="BV114" s="55" t="n"/>
      <c r="BW114" s="55" t="n"/>
      <c r="BX114" s="55" t="n"/>
      <c r="BY114" s="55" t="n"/>
      <c r="BZ114" s="55" t="n"/>
      <c r="CA114" s="55" t="n"/>
      <c r="CB114" s="55" t="n"/>
      <c r="CC114" s="55" t="n"/>
      <c r="CD114" s="55" t="n"/>
      <c r="CE114" s="55" t="n"/>
      <c r="CF114" s="55" t="n"/>
      <c r="CG114" s="55" t="n"/>
      <c r="CH114" s="55" t="n"/>
      <c r="CI114" s="55" t="n"/>
      <c r="CJ114" s="55" t="n"/>
      <c r="CK114" s="55" t="n"/>
      <c r="CL114" s="55" t="n"/>
      <c r="CM114" s="55" t="n"/>
      <c r="CN114" s="55" t="n"/>
      <c r="CO114" s="55" t="n"/>
      <c r="CP114" s="55" t="n"/>
      <c r="CQ114" s="55" t="n"/>
      <c r="CR114" s="55" t="n"/>
      <c r="CS114" s="55" t="n"/>
      <c r="CT114" s="55" t="n"/>
    </row>
    <row r="115"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  <c r="BV115" s="55" t="n"/>
      <c r="BW115" s="55" t="n"/>
      <c r="BX115" s="55" t="n"/>
      <c r="BY115" s="55" t="n"/>
      <c r="BZ115" s="55" t="n"/>
      <c r="CA115" s="55" t="n"/>
      <c r="CB115" s="55" t="n"/>
      <c r="CC115" s="55" t="n"/>
      <c r="CD115" s="55" t="n"/>
      <c r="CE115" s="55" t="n"/>
      <c r="CF115" s="55" t="n"/>
      <c r="CG115" s="55" t="n"/>
      <c r="CH115" s="55" t="n"/>
      <c r="CI115" s="55" t="n"/>
      <c r="CJ115" s="55" t="n"/>
      <c r="CK115" s="55" t="n"/>
      <c r="CL115" s="55" t="n"/>
      <c r="CM115" s="55" t="n"/>
      <c r="CN115" s="55" t="n"/>
      <c r="CO115" s="55" t="n"/>
      <c r="CP115" s="55" t="n"/>
      <c r="CQ115" s="55" t="n"/>
      <c r="CR115" s="55" t="n"/>
      <c r="CS115" s="55" t="n"/>
      <c r="CT115" s="55" t="n"/>
    </row>
    <row r="116"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  <c r="BV116" s="55" t="n"/>
      <c r="BW116" s="55" t="n"/>
      <c r="BX116" s="55" t="n"/>
      <c r="BY116" s="55" t="n"/>
      <c r="BZ116" s="55" t="n"/>
      <c r="CA116" s="55" t="n"/>
      <c r="CB116" s="55" t="n"/>
      <c r="CC116" s="55" t="n"/>
      <c r="CD116" s="55" t="n"/>
      <c r="CE116" s="55" t="n"/>
      <c r="CF116" s="55" t="n"/>
      <c r="CG116" s="55" t="n"/>
      <c r="CH116" s="55" t="n"/>
      <c r="CI116" s="55" t="n"/>
      <c r="CJ116" s="55" t="n"/>
      <c r="CK116" s="55" t="n"/>
      <c r="CL116" s="55" t="n"/>
      <c r="CM116" s="55" t="n"/>
      <c r="CN116" s="55" t="n"/>
      <c r="CO116" s="55" t="n"/>
      <c r="CP116" s="55" t="n"/>
      <c r="CQ116" s="55" t="n"/>
      <c r="CR116" s="55" t="n"/>
      <c r="CS116" s="55" t="n"/>
      <c r="CT116" s="55" t="n"/>
    </row>
    <row r="117"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  <c r="BV117" s="55" t="n"/>
      <c r="BW117" s="55" t="n"/>
      <c r="BX117" s="55" t="n"/>
      <c r="BY117" s="55" t="n"/>
      <c r="BZ117" s="55" t="n"/>
      <c r="CA117" s="55" t="n"/>
      <c r="CB117" s="55" t="n"/>
      <c r="CC117" s="55" t="n"/>
      <c r="CD117" s="55" t="n"/>
      <c r="CE117" s="55" t="n"/>
      <c r="CF117" s="55" t="n"/>
      <c r="CG117" s="55" t="n"/>
      <c r="CH117" s="55" t="n"/>
      <c r="CI117" s="55" t="n"/>
      <c r="CJ117" s="55" t="n"/>
      <c r="CK117" s="55" t="n"/>
      <c r="CL117" s="55" t="n"/>
      <c r="CM117" s="55" t="n"/>
      <c r="CN117" s="55" t="n"/>
      <c r="CO117" s="55" t="n"/>
      <c r="CP117" s="55" t="n"/>
      <c r="CQ117" s="55" t="n"/>
      <c r="CR117" s="55" t="n"/>
      <c r="CS117" s="55" t="n"/>
      <c r="CT117" s="55" t="n"/>
    </row>
    <row r="118"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  <c r="BV118" s="55" t="n"/>
      <c r="BW118" s="55" t="n"/>
      <c r="BX118" s="55" t="n"/>
      <c r="BY118" s="55" t="n"/>
      <c r="BZ118" s="55" t="n"/>
      <c r="CA118" s="55" t="n"/>
      <c r="CB118" s="55" t="n"/>
      <c r="CC118" s="55" t="n"/>
      <c r="CD118" s="55" t="n"/>
      <c r="CE118" s="55" t="n"/>
      <c r="CF118" s="55" t="n"/>
      <c r="CG118" s="55" t="n"/>
      <c r="CH118" s="55" t="n"/>
      <c r="CI118" s="55" t="n"/>
      <c r="CJ118" s="55" t="n"/>
      <c r="CK118" s="55" t="n"/>
      <c r="CL118" s="55" t="n"/>
      <c r="CM118" s="55" t="n"/>
      <c r="CN118" s="55" t="n"/>
      <c r="CO118" s="55" t="n"/>
      <c r="CP118" s="55" t="n"/>
      <c r="CQ118" s="55" t="n"/>
      <c r="CR118" s="55" t="n"/>
      <c r="CS118" s="55" t="n"/>
      <c r="CT118" s="55" t="n"/>
    </row>
    <row r="119"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  <c r="BV119" s="55" t="n"/>
      <c r="BW119" s="55" t="n"/>
      <c r="BX119" s="55" t="n"/>
      <c r="BY119" s="55" t="n"/>
      <c r="BZ119" s="55" t="n"/>
      <c r="CA119" s="55" t="n"/>
      <c r="CB119" s="55" t="n"/>
      <c r="CC119" s="55" t="n"/>
      <c r="CD119" s="55" t="n"/>
      <c r="CE119" s="55" t="n"/>
      <c r="CF119" s="55" t="n"/>
      <c r="CG119" s="55" t="n"/>
      <c r="CH119" s="55" t="n"/>
      <c r="CI119" s="55" t="n"/>
      <c r="CJ119" s="55" t="n"/>
      <c r="CK119" s="55" t="n"/>
      <c r="CL119" s="55" t="n"/>
      <c r="CM119" s="55" t="n"/>
      <c r="CN119" s="55" t="n"/>
      <c r="CO119" s="55" t="n"/>
      <c r="CP119" s="55" t="n"/>
      <c r="CQ119" s="55" t="n"/>
      <c r="CR119" s="55" t="n"/>
      <c r="CS119" s="55" t="n"/>
      <c r="CT119" s="55" t="n"/>
    </row>
    <row r="120"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  <c r="BV120" s="55" t="n"/>
      <c r="BW120" s="55" t="n"/>
      <c r="BX120" s="55" t="n"/>
      <c r="BY120" s="55" t="n"/>
      <c r="BZ120" s="55" t="n"/>
      <c r="CA120" s="55" t="n"/>
      <c r="CB120" s="55" t="n"/>
      <c r="CC120" s="55" t="n"/>
      <c r="CD120" s="55" t="n"/>
      <c r="CE120" s="55" t="n"/>
      <c r="CF120" s="55" t="n"/>
      <c r="CG120" s="55" t="n"/>
      <c r="CH120" s="55" t="n"/>
      <c r="CI120" s="55" t="n"/>
      <c r="CJ120" s="55" t="n"/>
      <c r="CK120" s="55" t="n"/>
      <c r="CL120" s="55" t="n"/>
      <c r="CM120" s="55" t="n"/>
      <c r="CN120" s="55" t="n"/>
      <c r="CO120" s="55" t="n"/>
      <c r="CP120" s="55" t="n"/>
      <c r="CQ120" s="55" t="n"/>
      <c r="CR120" s="55" t="n"/>
      <c r="CS120" s="55" t="n"/>
      <c r="CT120" s="55" t="n"/>
    </row>
    <row r="121"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  <c r="BV121" s="55" t="n"/>
      <c r="BW121" s="55" t="n"/>
      <c r="BX121" s="55" t="n"/>
      <c r="BY121" s="55" t="n"/>
      <c r="BZ121" s="55" t="n"/>
      <c r="CA121" s="55" t="n"/>
      <c r="CB121" s="55" t="n"/>
      <c r="CC121" s="55" t="n"/>
      <c r="CD121" s="55" t="n"/>
      <c r="CE121" s="55" t="n"/>
      <c r="CF121" s="55" t="n"/>
      <c r="CG121" s="55" t="n"/>
      <c r="CH121" s="55" t="n"/>
      <c r="CI121" s="55" t="n"/>
      <c r="CJ121" s="55" t="n"/>
      <c r="CK121" s="55" t="n"/>
      <c r="CL121" s="55" t="n"/>
      <c r="CM121" s="55" t="n"/>
      <c r="CN121" s="55" t="n"/>
      <c r="CO121" s="55" t="n"/>
      <c r="CP121" s="55" t="n"/>
      <c r="CQ121" s="55" t="n"/>
      <c r="CR121" s="55" t="n"/>
      <c r="CS121" s="55" t="n"/>
      <c r="CT121" s="55" t="n"/>
    </row>
    <row r="122"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  <c r="BV122" s="55" t="n"/>
      <c r="BW122" s="55" t="n"/>
      <c r="BX122" s="55" t="n"/>
      <c r="BY122" s="55" t="n"/>
      <c r="BZ122" s="55" t="n"/>
      <c r="CA122" s="55" t="n"/>
      <c r="CB122" s="55" t="n"/>
      <c r="CC122" s="55" t="n"/>
      <c r="CD122" s="55" t="n"/>
      <c r="CE122" s="55" t="n"/>
      <c r="CF122" s="55" t="n"/>
      <c r="CG122" s="55" t="n"/>
      <c r="CH122" s="55" t="n"/>
      <c r="CI122" s="55" t="n"/>
      <c r="CJ122" s="55" t="n"/>
      <c r="CK122" s="55" t="n"/>
      <c r="CL122" s="55" t="n"/>
      <c r="CM122" s="55" t="n"/>
      <c r="CN122" s="55" t="n"/>
      <c r="CO122" s="55" t="n"/>
      <c r="CP122" s="55" t="n"/>
      <c r="CQ122" s="55" t="n"/>
      <c r="CR122" s="55" t="n"/>
      <c r="CS122" s="55" t="n"/>
      <c r="CT122" s="55" t="n"/>
    </row>
    <row r="123"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  <c r="BV123" s="55" t="n"/>
      <c r="BW123" s="55" t="n"/>
      <c r="BX123" s="55" t="n"/>
      <c r="BY123" s="55" t="n"/>
      <c r="BZ123" s="55" t="n"/>
      <c r="CA123" s="55" t="n"/>
      <c r="CB123" s="55" t="n"/>
      <c r="CC123" s="55" t="n"/>
      <c r="CD123" s="55" t="n"/>
      <c r="CE123" s="55" t="n"/>
      <c r="CF123" s="55" t="n"/>
      <c r="CG123" s="55" t="n"/>
      <c r="CH123" s="55" t="n"/>
      <c r="CI123" s="55" t="n"/>
      <c r="CJ123" s="55" t="n"/>
      <c r="CK123" s="55" t="n"/>
      <c r="CL123" s="55" t="n"/>
      <c r="CM123" s="55" t="n"/>
      <c r="CN123" s="55" t="n"/>
      <c r="CO123" s="55" t="n"/>
      <c r="CP123" s="55" t="n"/>
      <c r="CQ123" s="55" t="n"/>
      <c r="CR123" s="55" t="n"/>
      <c r="CS123" s="55" t="n"/>
      <c r="CT123" s="55" t="n"/>
    </row>
    <row r="124">
      <c r="AD124" s="55" t="n"/>
      <c r="AE124" s="55" t="n"/>
      <c r="AF124" s="55" t="n"/>
      <c r="AG124" s="55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  <c r="BE124" s="55" t="n"/>
      <c r="BF124" s="55" t="n"/>
      <c r="BG124" s="55" t="n"/>
      <c r="BH124" s="55" t="n"/>
      <c r="BI124" s="55" t="n"/>
      <c r="BJ124" s="55" t="n"/>
      <c r="BK124" s="55" t="n"/>
      <c r="BL124" s="55" t="n"/>
      <c r="BM124" s="55" t="n"/>
      <c r="BN124" s="55" t="n"/>
      <c r="BO124" s="55" t="n"/>
      <c r="BP124" s="55" t="n"/>
      <c r="BQ124" s="55" t="n"/>
      <c r="BR124" s="55" t="n"/>
      <c r="BS124" s="55" t="n"/>
      <c r="BT124" s="55" t="n"/>
      <c r="BU124" s="55" t="n"/>
      <c r="BV124" s="55" t="n"/>
      <c r="BW124" s="55" t="n"/>
      <c r="BX124" s="55" t="n"/>
      <c r="BY124" s="55" t="n"/>
      <c r="BZ124" s="55" t="n"/>
      <c r="CA124" s="55" t="n"/>
      <c r="CB124" s="55" t="n"/>
      <c r="CC124" s="55" t="n"/>
      <c r="CD124" s="55" t="n"/>
      <c r="CE124" s="55" t="n"/>
      <c r="CF124" s="55" t="n"/>
      <c r="CG124" s="55" t="n"/>
      <c r="CH124" s="55" t="n"/>
      <c r="CI124" s="55" t="n"/>
      <c r="CJ124" s="55" t="n"/>
      <c r="CK124" s="55" t="n"/>
      <c r="CL124" s="55" t="n"/>
      <c r="CM124" s="55" t="n"/>
      <c r="CN124" s="55" t="n"/>
      <c r="CO124" s="55" t="n"/>
      <c r="CP124" s="55" t="n"/>
      <c r="CQ124" s="55" t="n"/>
      <c r="CR124" s="55" t="n"/>
      <c r="CS124" s="55" t="n"/>
      <c r="CT124" s="55" t="n"/>
    </row>
    <row r="125"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  <c r="BS125" s="55" t="n"/>
      <c r="BT125" s="55" t="n"/>
      <c r="BU125" s="55" t="n"/>
      <c r="BV125" s="55" t="n"/>
      <c r="BW125" s="55" t="n"/>
      <c r="BX125" s="55" t="n"/>
      <c r="BY125" s="55" t="n"/>
      <c r="BZ125" s="55" t="n"/>
      <c r="CA125" s="55" t="n"/>
      <c r="CB125" s="55" t="n"/>
      <c r="CC125" s="55" t="n"/>
      <c r="CD125" s="55" t="n"/>
      <c r="CE125" s="55" t="n"/>
      <c r="CF125" s="55" t="n"/>
      <c r="CG125" s="55" t="n"/>
      <c r="CH125" s="55" t="n"/>
      <c r="CI125" s="55" t="n"/>
      <c r="CJ125" s="55" t="n"/>
      <c r="CK125" s="55" t="n"/>
      <c r="CL125" s="55" t="n"/>
      <c r="CM125" s="55" t="n"/>
      <c r="CN125" s="55" t="n"/>
      <c r="CO125" s="55" t="n"/>
      <c r="CP125" s="55" t="n"/>
      <c r="CQ125" s="55" t="n"/>
      <c r="CR125" s="55" t="n"/>
      <c r="CS125" s="55" t="n"/>
      <c r="CT125" s="55" t="n"/>
    </row>
    <row r="126"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  <c r="BV126" s="55" t="n"/>
      <c r="BW126" s="55" t="n"/>
      <c r="BX126" s="55" t="n"/>
      <c r="BY126" s="55" t="n"/>
      <c r="BZ126" s="55" t="n"/>
      <c r="CA126" s="55" t="n"/>
      <c r="CB126" s="55" t="n"/>
      <c r="CC126" s="55" t="n"/>
      <c r="CD126" s="55" t="n"/>
      <c r="CE126" s="55" t="n"/>
      <c r="CF126" s="55" t="n"/>
      <c r="CG126" s="55" t="n"/>
      <c r="CH126" s="55" t="n"/>
      <c r="CI126" s="55" t="n"/>
      <c r="CJ126" s="55" t="n"/>
      <c r="CK126" s="55" t="n"/>
      <c r="CL126" s="55" t="n"/>
      <c r="CM126" s="55" t="n"/>
      <c r="CN126" s="55" t="n"/>
      <c r="CO126" s="55" t="n"/>
      <c r="CP126" s="55" t="n"/>
      <c r="CQ126" s="55" t="n"/>
      <c r="CR126" s="55" t="n"/>
      <c r="CS126" s="55" t="n"/>
      <c r="CT126" s="55" t="n"/>
    </row>
    <row r="127">
      <c r="AD127" s="55" t="n"/>
      <c r="AE127" s="55" t="n"/>
      <c r="AF127" s="55" t="n"/>
      <c r="AG127" s="55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  <c r="BE127" s="55" t="n"/>
      <c r="BF127" s="55" t="n"/>
      <c r="BG127" s="55" t="n"/>
      <c r="BH127" s="55" t="n"/>
      <c r="BI127" s="55" t="n"/>
      <c r="BJ127" s="55" t="n"/>
      <c r="BK127" s="55" t="n"/>
      <c r="BL127" s="55" t="n"/>
      <c r="BM127" s="55" t="n"/>
      <c r="BN127" s="55" t="n"/>
      <c r="BO127" s="55" t="n"/>
      <c r="BP127" s="55" t="n"/>
      <c r="BQ127" s="55" t="n"/>
      <c r="BR127" s="55" t="n"/>
      <c r="BS127" s="55" t="n"/>
      <c r="BT127" s="55" t="n"/>
      <c r="BU127" s="55" t="n"/>
      <c r="BV127" s="55" t="n"/>
      <c r="BW127" s="55" t="n"/>
      <c r="BX127" s="55" t="n"/>
      <c r="BY127" s="55" t="n"/>
      <c r="BZ127" s="55" t="n"/>
      <c r="CA127" s="55" t="n"/>
      <c r="CB127" s="55" t="n"/>
      <c r="CC127" s="55" t="n"/>
      <c r="CD127" s="55" t="n"/>
      <c r="CE127" s="55" t="n"/>
      <c r="CF127" s="55" t="n"/>
      <c r="CG127" s="55" t="n"/>
      <c r="CH127" s="55" t="n"/>
      <c r="CI127" s="55" t="n"/>
      <c r="CJ127" s="55" t="n"/>
      <c r="CK127" s="55" t="n"/>
      <c r="CL127" s="55" t="n"/>
      <c r="CM127" s="55" t="n"/>
      <c r="CN127" s="55" t="n"/>
      <c r="CO127" s="55" t="n"/>
      <c r="CP127" s="55" t="n"/>
      <c r="CQ127" s="55" t="n"/>
      <c r="CR127" s="55" t="n"/>
      <c r="CS127" s="55" t="n"/>
      <c r="CT127" s="55" t="n"/>
    </row>
    <row r="128">
      <c r="AD128" s="55" t="n"/>
      <c r="AE128" s="55" t="n"/>
      <c r="AF128" s="55" t="n"/>
      <c r="AG128" s="55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  <c r="BE128" s="55" t="n"/>
      <c r="BF128" s="55" t="n"/>
      <c r="BG128" s="55" t="n"/>
      <c r="BH128" s="55" t="n"/>
      <c r="BI128" s="55" t="n"/>
      <c r="BJ128" s="55" t="n"/>
      <c r="BK128" s="55" t="n"/>
      <c r="BL128" s="55" t="n"/>
      <c r="BM128" s="55" t="n"/>
      <c r="BN128" s="55" t="n"/>
      <c r="BO128" s="55" t="n"/>
      <c r="BP128" s="55" t="n"/>
      <c r="BQ128" s="55" t="n"/>
      <c r="BR128" s="55" t="n"/>
      <c r="BS128" s="55" t="n"/>
      <c r="BT128" s="55" t="n"/>
      <c r="BU128" s="55" t="n"/>
      <c r="BV128" s="55" t="n"/>
      <c r="BW128" s="55" t="n"/>
      <c r="BX128" s="55" t="n"/>
      <c r="BY128" s="55" t="n"/>
      <c r="BZ128" s="55" t="n"/>
      <c r="CA128" s="55" t="n"/>
      <c r="CB128" s="55" t="n"/>
      <c r="CC128" s="55" t="n"/>
      <c r="CD128" s="55" t="n"/>
      <c r="CE128" s="55" t="n"/>
      <c r="CF128" s="55" t="n"/>
      <c r="CG128" s="55" t="n"/>
      <c r="CH128" s="55" t="n"/>
      <c r="CI128" s="55" t="n"/>
      <c r="CJ128" s="55" t="n"/>
      <c r="CK128" s="55" t="n"/>
      <c r="CL128" s="55" t="n"/>
      <c r="CM128" s="55" t="n"/>
      <c r="CN128" s="55" t="n"/>
      <c r="CO128" s="55" t="n"/>
      <c r="CP128" s="55" t="n"/>
      <c r="CQ128" s="55" t="n"/>
      <c r="CR128" s="55" t="n"/>
      <c r="CS128" s="55" t="n"/>
      <c r="CT128" s="55" t="n"/>
    </row>
    <row r="129">
      <c r="AD129" s="55" t="n"/>
      <c r="AE129" s="55" t="n"/>
      <c r="AF129" s="55" t="n"/>
      <c r="AG129" s="55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  <c r="BE129" s="55" t="n"/>
      <c r="BF129" s="55" t="n"/>
      <c r="BG129" s="55" t="n"/>
      <c r="BH129" s="55" t="n"/>
      <c r="BI129" s="55" t="n"/>
      <c r="BJ129" s="55" t="n"/>
      <c r="BK129" s="55" t="n"/>
      <c r="BL129" s="55" t="n"/>
      <c r="BM129" s="55" t="n"/>
      <c r="BN129" s="55" t="n"/>
      <c r="BO129" s="55" t="n"/>
      <c r="BP129" s="55" t="n"/>
      <c r="BQ129" s="55" t="n"/>
      <c r="BR129" s="55" t="n"/>
      <c r="BS129" s="55" t="n"/>
      <c r="BT129" s="55" t="n"/>
      <c r="BU129" s="55" t="n"/>
      <c r="BV129" s="55" t="n"/>
      <c r="BW129" s="55" t="n"/>
      <c r="BX129" s="55" t="n"/>
      <c r="BY129" s="55" t="n"/>
      <c r="BZ129" s="55" t="n"/>
      <c r="CA129" s="55" t="n"/>
      <c r="CB129" s="55" t="n"/>
      <c r="CC129" s="55" t="n"/>
      <c r="CD129" s="55" t="n"/>
      <c r="CE129" s="55" t="n"/>
      <c r="CF129" s="55" t="n"/>
      <c r="CG129" s="55" t="n"/>
      <c r="CH129" s="55" t="n"/>
      <c r="CI129" s="55" t="n"/>
      <c r="CJ129" s="55" t="n"/>
      <c r="CK129" s="55" t="n"/>
      <c r="CL129" s="55" t="n"/>
      <c r="CM129" s="55" t="n"/>
      <c r="CN129" s="55" t="n"/>
      <c r="CO129" s="55" t="n"/>
      <c r="CP129" s="55" t="n"/>
      <c r="CQ129" s="55" t="n"/>
      <c r="CR129" s="55" t="n"/>
      <c r="CS129" s="55" t="n"/>
      <c r="CT129" s="55" t="n"/>
    </row>
    <row r="130">
      <c r="AD130" s="55" t="n"/>
      <c r="AE130" s="55" t="n"/>
      <c r="AF130" s="55" t="n"/>
      <c r="AG130" s="55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  <c r="BE130" s="55" t="n"/>
      <c r="BF130" s="55" t="n"/>
      <c r="BG130" s="55" t="n"/>
      <c r="BH130" s="55" t="n"/>
      <c r="BI130" s="55" t="n"/>
      <c r="BJ130" s="55" t="n"/>
      <c r="BK130" s="55" t="n"/>
      <c r="BL130" s="55" t="n"/>
      <c r="BM130" s="55" t="n"/>
      <c r="BN130" s="55" t="n"/>
      <c r="BO130" s="55" t="n"/>
      <c r="BP130" s="55" t="n"/>
      <c r="BQ130" s="55" t="n"/>
      <c r="BR130" s="55" t="n"/>
      <c r="BS130" s="55" t="n"/>
      <c r="BT130" s="55" t="n"/>
      <c r="BU130" s="55" t="n"/>
      <c r="BV130" s="55" t="n"/>
      <c r="BW130" s="55" t="n"/>
      <c r="BX130" s="55" t="n"/>
      <c r="BY130" s="55" t="n"/>
      <c r="BZ130" s="55" t="n"/>
      <c r="CA130" s="55" t="n"/>
      <c r="CB130" s="55" t="n"/>
      <c r="CC130" s="55" t="n"/>
      <c r="CD130" s="55" t="n"/>
      <c r="CE130" s="55" t="n"/>
      <c r="CF130" s="55" t="n"/>
      <c r="CG130" s="55" t="n"/>
      <c r="CH130" s="55" t="n"/>
      <c r="CI130" s="55" t="n"/>
      <c r="CJ130" s="55" t="n"/>
      <c r="CK130" s="55" t="n"/>
      <c r="CL130" s="55" t="n"/>
      <c r="CM130" s="55" t="n"/>
      <c r="CN130" s="55" t="n"/>
      <c r="CO130" s="55" t="n"/>
      <c r="CP130" s="55" t="n"/>
      <c r="CQ130" s="55" t="n"/>
      <c r="CR130" s="55" t="n"/>
      <c r="CS130" s="55" t="n"/>
      <c r="CT130" s="55" t="n"/>
    </row>
    <row r="131"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  <c r="BV131" s="55" t="n"/>
      <c r="BW131" s="55" t="n"/>
      <c r="BX131" s="55" t="n"/>
      <c r="BY131" s="55" t="n"/>
      <c r="BZ131" s="55" t="n"/>
      <c r="CA131" s="55" t="n"/>
      <c r="CB131" s="55" t="n"/>
      <c r="CC131" s="55" t="n"/>
      <c r="CD131" s="55" t="n"/>
      <c r="CE131" s="55" t="n"/>
      <c r="CF131" s="55" t="n"/>
      <c r="CG131" s="55" t="n"/>
      <c r="CH131" s="55" t="n"/>
      <c r="CI131" s="55" t="n"/>
      <c r="CJ131" s="55" t="n"/>
      <c r="CK131" s="55" t="n"/>
      <c r="CL131" s="55" t="n"/>
      <c r="CM131" s="55" t="n"/>
      <c r="CN131" s="55" t="n"/>
      <c r="CO131" s="55" t="n"/>
      <c r="CP131" s="55" t="n"/>
      <c r="CQ131" s="55" t="n"/>
      <c r="CR131" s="55" t="n"/>
      <c r="CS131" s="55" t="n"/>
      <c r="CT131" s="55" t="n"/>
    </row>
    <row r="132"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  <c r="BV132" s="55" t="n"/>
      <c r="BW132" s="55" t="n"/>
      <c r="BX132" s="55" t="n"/>
      <c r="BY132" s="55" t="n"/>
      <c r="BZ132" s="55" t="n"/>
      <c r="CA132" s="55" t="n"/>
      <c r="CB132" s="55" t="n"/>
      <c r="CC132" s="55" t="n"/>
      <c r="CD132" s="55" t="n"/>
      <c r="CE132" s="55" t="n"/>
      <c r="CF132" s="55" t="n"/>
      <c r="CG132" s="55" t="n"/>
      <c r="CH132" s="55" t="n"/>
      <c r="CI132" s="55" t="n"/>
      <c r="CJ132" s="55" t="n"/>
      <c r="CK132" s="55" t="n"/>
      <c r="CL132" s="55" t="n"/>
      <c r="CM132" s="55" t="n"/>
      <c r="CN132" s="55" t="n"/>
      <c r="CO132" s="55" t="n"/>
      <c r="CP132" s="55" t="n"/>
      <c r="CQ132" s="55" t="n"/>
      <c r="CR132" s="55" t="n"/>
      <c r="CS132" s="55" t="n"/>
      <c r="CT132" s="55" t="n"/>
    </row>
    <row r="133">
      <c r="AD133" s="55" t="n"/>
      <c r="AE133" s="55" t="n"/>
      <c r="AF133" s="55" t="n"/>
      <c r="AG133" s="55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  <c r="BE133" s="55" t="n"/>
      <c r="BF133" s="55" t="n"/>
      <c r="BG133" s="55" t="n"/>
      <c r="BH133" s="55" t="n"/>
      <c r="BI133" s="55" t="n"/>
      <c r="BJ133" s="55" t="n"/>
      <c r="BK133" s="55" t="n"/>
      <c r="BL133" s="55" t="n"/>
      <c r="BM133" s="55" t="n"/>
      <c r="BN133" s="55" t="n"/>
      <c r="BO133" s="55" t="n"/>
      <c r="BP133" s="55" t="n"/>
      <c r="BQ133" s="55" t="n"/>
      <c r="BR133" s="55" t="n"/>
      <c r="BS133" s="55" t="n"/>
      <c r="BT133" s="55" t="n"/>
      <c r="BU133" s="55" t="n"/>
      <c r="BV133" s="55" t="n"/>
      <c r="BW133" s="55" t="n"/>
      <c r="BX133" s="55" t="n"/>
      <c r="BY133" s="55" t="n"/>
      <c r="BZ133" s="55" t="n"/>
      <c r="CA133" s="55" t="n"/>
      <c r="CB133" s="55" t="n"/>
      <c r="CC133" s="55" t="n"/>
      <c r="CD133" s="55" t="n"/>
      <c r="CE133" s="55" t="n"/>
      <c r="CF133" s="55" t="n"/>
      <c r="CG133" s="55" t="n"/>
      <c r="CH133" s="55" t="n"/>
      <c r="CI133" s="55" t="n"/>
      <c r="CJ133" s="55" t="n"/>
      <c r="CK133" s="55" t="n"/>
      <c r="CL133" s="55" t="n"/>
      <c r="CM133" s="55" t="n"/>
      <c r="CN133" s="55" t="n"/>
      <c r="CO133" s="55" t="n"/>
      <c r="CP133" s="55" t="n"/>
      <c r="CQ133" s="55" t="n"/>
      <c r="CR133" s="55" t="n"/>
      <c r="CS133" s="55" t="n"/>
      <c r="CT133" s="55" t="n"/>
    </row>
    <row r="134">
      <c r="AD134" s="55" t="n"/>
      <c r="AE134" s="55" t="n"/>
      <c r="AF134" s="55" t="n"/>
      <c r="AG134" s="55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  <c r="BE134" s="55" t="n"/>
      <c r="BF134" s="55" t="n"/>
      <c r="BG134" s="55" t="n"/>
      <c r="BH134" s="55" t="n"/>
      <c r="BI134" s="55" t="n"/>
      <c r="BJ134" s="55" t="n"/>
      <c r="BK134" s="55" t="n"/>
      <c r="BL134" s="55" t="n"/>
      <c r="BM134" s="55" t="n"/>
      <c r="BN134" s="55" t="n"/>
      <c r="BO134" s="55" t="n"/>
      <c r="BP134" s="55" t="n"/>
      <c r="BQ134" s="55" t="n"/>
      <c r="BR134" s="55" t="n"/>
      <c r="BS134" s="55" t="n"/>
      <c r="BT134" s="55" t="n"/>
      <c r="BU134" s="55" t="n"/>
      <c r="BV134" s="55" t="n"/>
      <c r="BW134" s="55" t="n"/>
      <c r="BX134" s="55" t="n"/>
      <c r="BY134" s="55" t="n"/>
      <c r="BZ134" s="55" t="n"/>
      <c r="CA134" s="55" t="n"/>
      <c r="CB134" s="55" t="n"/>
      <c r="CC134" s="55" t="n"/>
      <c r="CD134" s="55" t="n"/>
      <c r="CE134" s="55" t="n"/>
      <c r="CF134" s="55" t="n"/>
      <c r="CG134" s="55" t="n"/>
      <c r="CH134" s="55" t="n"/>
      <c r="CI134" s="55" t="n"/>
      <c r="CJ134" s="55" t="n"/>
      <c r="CK134" s="55" t="n"/>
      <c r="CL134" s="55" t="n"/>
      <c r="CM134" s="55" t="n"/>
      <c r="CN134" s="55" t="n"/>
      <c r="CO134" s="55" t="n"/>
      <c r="CP134" s="55" t="n"/>
      <c r="CQ134" s="55" t="n"/>
      <c r="CR134" s="55" t="n"/>
      <c r="CS134" s="55" t="n"/>
      <c r="CT134" s="55" t="n"/>
    </row>
    <row r="135">
      <c r="AD135" s="55" t="n"/>
      <c r="AE135" s="55" t="n"/>
      <c r="AF135" s="55" t="n"/>
      <c r="AG135" s="55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  <c r="BE135" s="55" t="n"/>
      <c r="BF135" s="55" t="n"/>
      <c r="BG135" s="55" t="n"/>
      <c r="BH135" s="55" t="n"/>
      <c r="BI135" s="55" t="n"/>
      <c r="BJ135" s="55" t="n"/>
      <c r="BK135" s="55" t="n"/>
      <c r="BL135" s="55" t="n"/>
      <c r="BM135" s="55" t="n"/>
      <c r="BN135" s="55" t="n"/>
      <c r="BO135" s="55" t="n"/>
      <c r="BP135" s="55" t="n"/>
      <c r="BQ135" s="55" t="n"/>
      <c r="BR135" s="55" t="n"/>
      <c r="BS135" s="55" t="n"/>
      <c r="BT135" s="55" t="n"/>
      <c r="BU135" s="55" t="n"/>
      <c r="BV135" s="55" t="n"/>
      <c r="BW135" s="55" t="n"/>
      <c r="BX135" s="55" t="n"/>
      <c r="BY135" s="55" t="n"/>
      <c r="BZ135" s="55" t="n"/>
      <c r="CA135" s="55" t="n"/>
      <c r="CB135" s="55" t="n"/>
      <c r="CC135" s="55" t="n"/>
      <c r="CD135" s="55" t="n"/>
      <c r="CE135" s="55" t="n"/>
      <c r="CF135" s="55" t="n"/>
      <c r="CG135" s="55" t="n"/>
      <c r="CH135" s="55" t="n"/>
      <c r="CI135" s="55" t="n"/>
      <c r="CJ135" s="55" t="n"/>
      <c r="CK135" s="55" t="n"/>
      <c r="CL135" s="55" t="n"/>
      <c r="CM135" s="55" t="n"/>
      <c r="CN135" s="55" t="n"/>
      <c r="CO135" s="55" t="n"/>
      <c r="CP135" s="55" t="n"/>
      <c r="CQ135" s="55" t="n"/>
      <c r="CR135" s="55" t="n"/>
      <c r="CS135" s="55" t="n"/>
      <c r="CT135" s="55" t="n"/>
    </row>
    <row r="136"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  <c r="BV136" s="55" t="n"/>
      <c r="BW136" s="55" t="n"/>
      <c r="BX136" s="55" t="n"/>
      <c r="BY136" s="55" t="n"/>
      <c r="BZ136" s="55" t="n"/>
      <c r="CA136" s="55" t="n"/>
      <c r="CB136" s="55" t="n"/>
      <c r="CC136" s="55" t="n"/>
      <c r="CD136" s="55" t="n"/>
      <c r="CE136" s="55" t="n"/>
      <c r="CF136" s="55" t="n"/>
      <c r="CG136" s="55" t="n"/>
      <c r="CH136" s="55" t="n"/>
      <c r="CI136" s="55" t="n"/>
      <c r="CJ136" s="55" t="n"/>
      <c r="CK136" s="55" t="n"/>
      <c r="CL136" s="55" t="n"/>
      <c r="CM136" s="55" t="n"/>
      <c r="CN136" s="55" t="n"/>
      <c r="CO136" s="55" t="n"/>
      <c r="CP136" s="55" t="n"/>
      <c r="CQ136" s="55" t="n"/>
      <c r="CR136" s="55" t="n"/>
      <c r="CS136" s="55" t="n"/>
      <c r="CT136" s="55" t="n"/>
    </row>
    <row r="137"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  <c r="BV137" s="55" t="n"/>
      <c r="BW137" s="55" t="n"/>
      <c r="BX137" s="55" t="n"/>
      <c r="BY137" s="55" t="n"/>
      <c r="BZ137" s="55" t="n"/>
      <c r="CA137" s="55" t="n"/>
      <c r="CB137" s="55" t="n"/>
      <c r="CC137" s="55" t="n"/>
      <c r="CD137" s="55" t="n"/>
      <c r="CE137" s="55" t="n"/>
      <c r="CF137" s="55" t="n"/>
      <c r="CG137" s="55" t="n"/>
      <c r="CH137" s="55" t="n"/>
      <c r="CI137" s="55" t="n"/>
      <c r="CJ137" s="55" t="n"/>
      <c r="CK137" s="55" t="n"/>
      <c r="CL137" s="55" t="n"/>
      <c r="CM137" s="55" t="n"/>
      <c r="CN137" s="55" t="n"/>
      <c r="CO137" s="55" t="n"/>
      <c r="CP137" s="55" t="n"/>
      <c r="CQ137" s="55" t="n"/>
      <c r="CR137" s="55" t="n"/>
      <c r="CS137" s="55" t="n"/>
      <c r="CT137" s="55" t="n"/>
    </row>
    <row r="138"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  <c r="BV138" s="55" t="n"/>
      <c r="BW138" s="55" t="n"/>
      <c r="BX138" s="55" t="n"/>
      <c r="BY138" s="55" t="n"/>
      <c r="BZ138" s="55" t="n"/>
      <c r="CA138" s="55" t="n"/>
      <c r="CB138" s="55" t="n"/>
      <c r="CC138" s="55" t="n"/>
      <c r="CD138" s="55" t="n"/>
      <c r="CE138" s="55" t="n"/>
      <c r="CF138" s="55" t="n"/>
      <c r="CG138" s="55" t="n"/>
      <c r="CH138" s="55" t="n"/>
      <c r="CI138" s="55" t="n"/>
      <c r="CJ138" s="55" t="n"/>
      <c r="CK138" s="55" t="n"/>
      <c r="CL138" s="55" t="n"/>
      <c r="CM138" s="55" t="n"/>
      <c r="CN138" s="55" t="n"/>
      <c r="CO138" s="55" t="n"/>
      <c r="CP138" s="55" t="n"/>
      <c r="CQ138" s="55" t="n"/>
      <c r="CR138" s="55" t="n"/>
      <c r="CS138" s="55" t="n"/>
      <c r="CT138" s="55" t="n"/>
    </row>
    <row r="139">
      <c r="AD139" s="55" t="n"/>
      <c r="AE139" s="55" t="n"/>
      <c r="AF139" s="55" t="n"/>
      <c r="AG139" s="55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  <c r="BV139" s="55" t="n"/>
      <c r="BW139" s="55" t="n"/>
      <c r="BX139" s="55" t="n"/>
      <c r="BY139" s="55" t="n"/>
      <c r="BZ139" s="55" t="n"/>
      <c r="CA139" s="55" t="n"/>
      <c r="CB139" s="55" t="n"/>
      <c r="CC139" s="55" t="n"/>
      <c r="CD139" s="55" t="n"/>
      <c r="CE139" s="55" t="n"/>
      <c r="CF139" s="55" t="n"/>
      <c r="CG139" s="55" t="n"/>
      <c r="CH139" s="55" t="n"/>
      <c r="CI139" s="55" t="n"/>
      <c r="CJ139" s="55" t="n"/>
      <c r="CK139" s="55" t="n"/>
      <c r="CL139" s="55" t="n"/>
      <c r="CM139" s="55" t="n"/>
      <c r="CN139" s="55" t="n"/>
      <c r="CO139" s="55" t="n"/>
      <c r="CP139" s="55" t="n"/>
      <c r="CQ139" s="55" t="n"/>
      <c r="CR139" s="55" t="n"/>
      <c r="CS139" s="55" t="n"/>
      <c r="CT139" s="55" t="n"/>
    </row>
    <row r="140">
      <c r="AD140" s="55" t="n"/>
      <c r="AE140" s="55" t="n"/>
      <c r="AF140" s="55" t="n"/>
      <c r="AG140" s="55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  <c r="BV140" s="55" t="n"/>
      <c r="BW140" s="55" t="n"/>
      <c r="BX140" s="55" t="n"/>
      <c r="BY140" s="55" t="n"/>
      <c r="BZ140" s="55" t="n"/>
      <c r="CA140" s="55" t="n"/>
      <c r="CB140" s="55" t="n"/>
      <c r="CC140" s="55" t="n"/>
      <c r="CD140" s="55" t="n"/>
      <c r="CE140" s="55" t="n"/>
      <c r="CF140" s="55" t="n"/>
      <c r="CG140" s="55" t="n"/>
      <c r="CH140" s="55" t="n"/>
      <c r="CI140" s="55" t="n"/>
      <c r="CJ140" s="55" t="n"/>
      <c r="CK140" s="55" t="n"/>
      <c r="CL140" s="55" t="n"/>
      <c r="CM140" s="55" t="n"/>
      <c r="CN140" s="55" t="n"/>
      <c r="CO140" s="55" t="n"/>
      <c r="CP140" s="55" t="n"/>
      <c r="CQ140" s="55" t="n"/>
      <c r="CR140" s="55" t="n"/>
      <c r="CS140" s="55" t="n"/>
      <c r="CT140" s="55" t="n"/>
    </row>
    <row r="141">
      <c r="AD141" s="55" t="n"/>
      <c r="AE141" s="55" t="n"/>
      <c r="AF141" s="55" t="n"/>
      <c r="AG141" s="55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  <c r="BV141" s="55" t="n"/>
      <c r="BW141" s="55" t="n"/>
      <c r="BX141" s="55" t="n"/>
      <c r="BY141" s="55" t="n"/>
      <c r="BZ141" s="55" t="n"/>
      <c r="CA141" s="55" t="n"/>
      <c r="CB141" s="55" t="n"/>
      <c r="CC141" s="55" t="n"/>
      <c r="CD141" s="55" t="n"/>
      <c r="CE141" s="55" t="n"/>
      <c r="CF141" s="55" t="n"/>
      <c r="CG141" s="55" t="n"/>
      <c r="CH141" s="55" t="n"/>
      <c r="CI141" s="55" t="n"/>
      <c r="CJ141" s="55" t="n"/>
      <c r="CK141" s="55" t="n"/>
      <c r="CL141" s="55" t="n"/>
      <c r="CM141" s="55" t="n"/>
      <c r="CN141" s="55" t="n"/>
      <c r="CO141" s="55" t="n"/>
      <c r="CP141" s="55" t="n"/>
      <c r="CQ141" s="55" t="n"/>
      <c r="CR141" s="55" t="n"/>
      <c r="CS141" s="55" t="n"/>
      <c r="CT141" s="55" t="n"/>
    </row>
    <row r="142">
      <c r="AD142" s="55" t="n"/>
      <c r="AE142" s="55" t="n"/>
      <c r="AF142" s="55" t="n"/>
      <c r="AG142" s="55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  <c r="BV142" s="55" t="n"/>
      <c r="BW142" s="55" t="n"/>
      <c r="BX142" s="55" t="n"/>
      <c r="BY142" s="55" t="n"/>
      <c r="BZ142" s="55" t="n"/>
      <c r="CA142" s="55" t="n"/>
      <c r="CB142" s="55" t="n"/>
      <c r="CC142" s="55" t="n"/>
      <c r="CD142" s="55" t="n"/>
      <c r="CE142" s="55" t="n"/>
      <c r="CF142" s="55" t="n"/>
      <c r="CG142" s="55" t="n"/>
      <c r="CH142" s="55" t="n"/>
      <c r="CI142" s="55" t="n"/>
      <c r="CJ142" s="55" t="n"/>
      <c r="CK142" s="55" t="n"/>
      <c r="CL142" s="55" t="n"/>
      <c r="CM142" s="55" t="n"/>
      <c r="CN142" s="55" t="n"/>
      <c r="CO142" s="55" t="n"/>
      <c r="CP142" s="55" t="n"/>
      <c r="CQ142" s="55" t="n"/>
      <c r="CR142" s="55" t="n"/>
      <c r="CS142" s="55" t="n"/>
      <c r="CT142" s="55" t="n"/>
    </row>
    <row r="143">
      <c r="AD143" s="55" t="n"/>
      <c r="AE143" s="55" t="n"/>
      <c r="AF143" s="55" t="n"/>
      <c r="AG143" s="55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  <c r="BV143" s="55" t="n"/>
      <c r="BW143" s="55" t="n"/>
      <c r="BX143" s="55" t="n"/>
      <c r="BY143" s="55" t="n"/>
      <c r="BZ143" s="55" t="n"/>
      <c r="CA143" s="55" t="n"/>
      <c r="CB143" s="55" t="n"/>
      <c r="CC143" s="55" t="n"/>
      <c r="CD143" s="55" t="n"/>
      <c r="CE143" s="55" t="n"/>
      <c r="CF143" s="55" t="n"/>
      <c r="CG143" s="55" t="n"/>
      <c r="CH143" s="55" t="n"/>
      <c r="CI143" s="55" t="n"/>
      <c r="CJ143" s="55" t="n"/>
      <c r="CK143" s="55" t="n"/>
      <c r="CL143" s="55" t="n"/>
      <c r="CM143" s="55" t="n"/>
      <c r="CN143" s="55" t="n"/>
      <c r="CO143" s="55" t="n"/>
      <c r="CP143" s="55" t="n"/>
      <c r="CQ143" s="55" t="n"/>
      <c r="CR143" s="55" t="n"/>
      <c r="CS143" s="55" t="n"/>
      <c r="CT143" s="55" t="n"/>
    </row>
    <row r="144"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55" t="n"/>
      <c r="CJ144" s="55" t="n"/>
      <c r="CK144" s="55" t="n"/>
      <c r="CL144" s="55" t="n"/>
      <c r="CM144" s="55" t="n"/>
      <c r="CN144" s="55" t="n"/>
      <c r="CO144" s="55" t="n"/>
      <c r="CP144" s="55" t="n"/>
      <c r="CQ144" s="55" t="n"/>
      <c r="CR144" s="55" t="n"/>
      <c r="CS144" s="55" t="n"/>
      <c r="CT144" s="55" t="n"/>
    </row>
    <row r="145"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  <c r="BV145" s="55" t="n"/>
      <c r="BW145" s="55" t="n"/>
      <c r="BX145" s="55" t="n"/>
      <c r="BY145" s="55" t="n"/>
      <c r="BZ145" s="55" t="n"/>
      <c r="CA145" s="55" t="n"/>
      <c r="CB145" s="55" t="n"/>
      <c r="CC145" s="55" t="n"/>
      <c r="CD145" s="55" t="n"/>
      <c r="CE145" s="55" t="n"/>
      <c r="CF145" s="55" t="n"/>
      <c r="CG145" s="55" t="n"/>
      <c r="CH145" s="55" t="n"/>
      <c r="CI145" s="55" t="n"/>
      <c r="CJ145" s="55" t="n"/>
      <c r="CK145" s="55" t="n"/>
      <c r="CL145" s="55" t="n"/>
      <c r="CM145" s="55" t="n"/>
      <c r="CN145" s="55" t="n"/>
      <c r="CO145" s="55" t="n"/>
      <c r="CP145" s="55" t="n"/>
      <c r="CQ145" s="55" t="n"/>
      <c r="CR145" s="55" t="n"/>
      <c r="CS145" s="55" t="n"/>
      <c r="CT145" s="55" t="n"/>
    </row>
    <row r="146">
      <c r="AD146" s="55" t="n"/>
      <c r="AE146" s="55" t="n"/>
      <c r="AF146" s="55" t="n"/>
      <c r="AG146" s="55" t="n"/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  <c r="BE146" s="55" t="n"/>
      <c r="BF146" s="55" t="n"/>
      <c r="BG146" s="55" t="n"/>
      <c r="BH146" s="55" t="n"/>
      <c r="BI146" s="55" t="n"/>
      <c r="BJ146" s="55" t="n"/>
      <c r="BK146" s="55" t="n"/>
      <c r="BL146" s="55" t="n"/>
      <c r="BM146" s="55" t="n"/>
      <c r="BN146" s="55" t="n"/>
      <c r="BO146" s="55" t="n"/>
      <c r="BP146" s="55" t="n"/>
      <c r="BQ146" s="55" t="n"/>
      <c r="BR146" s="55" t="n"/>
      <c r="BS146" s="55" t="n"/>
      <c r="BT146" s="55" t="n"/>
      <c r="BU146" s="55" t="n"/>
      <c r="BV146" s="55" t="n"/>
      <c r="BW146" s="55" t="n"/>
      <c r="BX146" s="55" t="n"/>
      <c r="BY146" s="55" t="n"/>
      <c r="BZ146" s="55" t="n"/>
      <c r="CA146" s="55" t="n"/>
      <c r="CB146" s="55" t="n"/>
      <c r="CC146" s="55" t="n"/>
      <c r="CD146" s="55" t="n"/>
      <c r="CE146" s="55" t="n"/>
      <c r="CF146" s="55" t="n"/>
      <c r="CG146" s="55" t="n"/>
      <c r="CH146" s="55" t="n"/>
      <c r="CI146" s="55" t="n"/>
      <c r="CJ146" s="55" t="n"/>
      <c r="CK146" s="55" t="n"/>
      <c r="CL146" s="55" t="n"/>
      <c r="CM146" s="55" t="n"/>
      <c r="CN146" s="55" t="n"/>
      <c r="CO146" s="55" t="n"/>
      <c r="CP146" s="55" t="n"/>
      <c r="CQ146" s="55" t="n"/>
      <c r="CR146" s="55" t="n"/>
      <c r="CS146" s="55" t="n"/>
      <c r="CT146" s="55" t="n"/>
    </row>
    <row r="147">
      <c r="AD147" s="55" t="n"/>
      <c r="AE147" s="55" t="n"/>
      <c r="AF147" s="55" t="n"/>
      <c r="AG147" s="55" t="n"/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  <c r="BE147" s="55" t="n"/>
      <c r="BF147" s="55" t="n"/>
      <c r="BG147" s="55" t="n"/>
      <c r="BH147" s="55" t="n"/>
      <c r="BI147" s="55" t="n"/>
      <c r="BJ147" s="55" t="n"/>
      <c r="BK147" s="55" t="n"/>
      <c r="BL147" s="55" t="n"/>
      <c r="BM147" s="55" t="n"/>
      <c r="BN147" s="55" t="n"/>
      <c r="BO147" s="55" t="n"/>
      <c r="BP147" s="55" t="n"/>
      <c r="BQ147" s="55" t="n"/>
      <c r="BR147" s="55" t="n"/>
      <c r="BS147" s="55" t="n"/>
      <c r="BT147" s="55" t="n"/>
      <c r="BU147" s="55" t="n"/>
      <c r="BV147" s="55" t="n"/>
      <c r="BW147" s="55" t="n"/>
      <c r="BX147" s="55" t="n"/>
      <c r="BY147" s="55" t="n"/>
      <c r="BZ147" s="55" t="n"/>
      <c r="CA147" s="55" t="n"/>
      <c r="CB147" s="55" t="n"/>
      <c r="CC147" s="55" t="n"/>
      <c r="CD147" s="55" t="n"/>
      <c r="CE147" s="55" t="n"/>
      <c r="CF147" s="55" t="n"/>
      <c r="CG147" s="55" t="n"/>
      <c r="CH147" s="55" t="n"/>
      <c r="CI147" s="55" t="n"/>
      <c r="CJ147" s="55" t="n"/>
      <c r="CK147" s="55" t="n"/>
      <c r="CL147" s="55" t="n"/>
      <c r="CM147" s="55" t="n"/>
      <c r="CN147" s="55" t="n"/>
      <c r="CO147" s="55" t="n"/>
      <c r="CP147" s="55" t="n"/>
      <c r="CQ147" s="55" t="n"/>
      <c r="CR147" s="55" t="n"/>
      <c r="CS147" s="55" t="n"/>
      <c r="CT147" s="55" t="n"/>
    </row>
    <row r="148">
      <c r="AD148" s="55" t="n"/>
      <c r="AE148" s="55" t="n"/>
      <c r="AF148" s="55" t="n"/>
      <c r="AG148" s="55" t="n"/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  <c r="BE148" s="55" t="n"/>
      <c r="BF148" s="55" t="n"/>
      <c r="BG148" s="55" t="n"/>
      <c r="BH148" s="55" t="n"/>
      <c r="BI148" s="55" t="n"/>
      <c r="BJ148" s="55" t="n"/>
      <c r="BK148" s="55" t="n"/>
      <c r="BL148" s="55" t="n"/>
      <c r="BM148" s="55" t="n"/>
      <c r="BN148" s="55" t="n"/>
      <c r="BO148" s="55" t="n"/>
      <c r="BP148" s="55" t="n"/>
      <c r="BQ148" s="55" t="n"/>
      <c r="BR148" s="55" t="n"/>
      <c r="BS148" s="55" t="n"/>
      <c r="BT148" s="55" t="n"/>
      <c r="BU148" s="55" t="n"/>
      <c r="BV148" s="55" t="n"/>
      <c r="BW148" s="55" t="n"/>
      <c r="BX148" s="55" t="n"/>
      <c r="BY148" s="55" t="n"/>
      <c r="BZ148" s="55" t="n"/>
      <c r="CA148" s="55" t="n"/>
      <c r="CB148" s="55" t="n"/>
      <c r="CC148" s="55" t="n"/>
      <c r="CD148" s="55" t="n"/>
      <c r="CE148" s="55" t="n"/>
      <c r="CF148" s="55" t="n"/>
      <c r="CG148" s="55" t="n"/>
      <c r="CH148" s="55" t="n"/>
      <c r="CI148" s="55" t="n"/>
      <c r="CJ148" s="55" t="n"/>
      <c r="CK148" s="55" t="n"/>
      <c r="CL148" s="55" t="n"/>
      <c r="CM148" s="55" t="n"/>
      <c r="CN148" s="55" t="n"/>
      <c r="CO148" s="55" t="n"/>
      <c r="CP148" s="55" t="n"/>
      <c r="CQ148" s="55" t="n"/>
      <c r="CR148" s="55" t="n"/>
      <c r="CS148" s="55" t="n"/>
      <c r="CT148" s="55" t="n"/>
    </row>
    <row r="149">
      <c r="AD149" s="55" t="n"/>
      <c r="AE149" s="55" t="n"/>
      <c r="AF149" s="55" t="n"/>
      <c r="AG149" s="55" t="n"/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  <c r="BE149" s="55" t="n"/>
      <c r="BF149" s="55" t="n"/>
      <c r="BG149" s="55" t="n"/>
      <c r="BH149" s="55" t="n"/>
      <c r="BI149" s="55" t="n"/>
      <c r="BJ149" s="55" t="n"/>
      <c r="BK149" s="55" t="n"/>
      <c r="BL149" s="55" t="n"/>
      <c r="BM149" s="55" t="n"/>
      <c r="BN149" s="55" t="n"/>
      <c r="BO149" s="55" t="n"/>
      <c r="BP149" s="55" t="n"/>
      <c r="BQ149" s="55" t="n"/>
      <c r="BR149" s="55" t="n"/>
      <c r="BS149" s="55" t="n"/>
      <c r="BT149" s="55" t="n"/>
      <c r="BU149" s="55" t="n"/>
      <c r="BV149" s="55" t="n"/>
      <c r="BW149" s="55" t="n"/>
      <c r="BX149" s="55" t="n"/>
      <c r="BY149" s="55" t="n"/>
      <c r="BZ149" s="55" t="n"/>
      <c r="CA149" s="55" t="n"/>
      <c r="CB149" s="55" t="n"/>
      <c r="CC149" s="55" t="n"/>
      <c r="CD149" s="55" t="n"/>
      <c r="CE149" s="55" t="n"/>
      <c r="CF149" s="55" t="n"/>
      <c r="CG149" s="55" t="n"/>
      <c r="CH149" s="55" t="n"/>
      <c r="CI149" s="55" t="n"/>
      <c r="CJ149" s="55" t="n"/>
      <c r="CK149" s="55" t="n"/>
      <c r="CL149" s="55" t="n"/>
      <c r="CM149" s="55" t="n"/>
      <c r="CN149" s="55" t="n"/>
      <c r="CO149" s="55" t="n"/>
      <c r="CP149" s="55" t="n"/>
      <c r="CQ149" s="55" t="n"/>
      <c r="CR149" s="55" t="n"/>
      <c r="CS149" s="55" t="n"/>
      <c r="CT149" s="55" t="n"/>
    </row>
    <row r="150">
      <c r="AD150" s="55" t="n"/>
      <c r="AE150" s="55" t="n"/>
      <c r="AF150" s="55" t="n"/>
      <c r="AG150" s="55" t="n"/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  <c r="BE150" s="55" t="n"/>
      <c r="BF150" s="55" t="n"/>
      <c r="BG150" s="55" t="n"/>
      <c r="BH150" s="55" t="n"/>
      <c r="BI150" s="55" t="n"/>
      <c r="BJ150" s="55" t="n"/>
      <c r="BK150" s="55" t="n"/>
      <c r="BL150" s="55" t="n"/>
      <c r="BM150" s="55" t="n"/>
      <c r="BN150" s="55" t="n"/>
      <c r="BO150" s="55" t="n"/>
      <c r="BP150" s="55" t="n"/>
      <c r="BQ150" s="55" t="n"/>
      <c r="BR150" s="55" t="n"/>
      <c r="BS150" s="55" t="n"/>
      <c r="BT150" s="55" t="n"/>
      <c r="BU150" s="55" t="n"/>
      <c r="BV150" s="55" t="n"/>
      <c r="BW150" s="55" t="n"/>
      <c r="BX150" s="55" t="n"/>
      <c r="BY150" s="55" t="n"/>
      <c r="BZ150" s="55" t="n"/>
      <c r="CA150" s="55" t="n"/>
      <c r="CB150" s="55" t="n"/>
      <c r="CC150" s="55" t="n"/>
      <c r="CD150" s="55" t="n"/>
      <c r="CE150" s="55" t="n"/>
      <c r="CF150" s="55" t="n"/>
      <c r="CG150" s="55" t="n"/>
      <c r="CH150" s="55" t="n"/>
      <c r="CI150" s="55" t="n"/>
      <c r="CJ150" s="55" t="n"/>
      <c r="CK150" s="55" t="n"/>
      <c r="CL150" s="55" t="n"/>
      <c r="CM150" s="55" t="n"/>
      <c r="CN150" s="55" t="n"/>
      <c r="CO150" s="55" t="n"/>
      <c r="CP150" s="55" t="n"/>
      <c r="CQ150" s="55" t="n"/>
      <c r="CR150" s="55" t="n"/>
      <c r="CS150" s="55" t="n"/>
      <c r="CT150" s="55" t="n"/>
    </row>
    <row r="151">
      <c r="AD151" s="55" t="n"/>
      <c r="AE151" s="55" t="n"/>
      <c r="AF151" s="55" t="n"/>
      <c r="AG151" s="55" t="n"/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  <c r="BE151" s="55" t="n"/>
      <c r="BF151" s="55" t="n"/>
      <c r="BG151" s="55" t="n"/>
      <c r="BH151" s="55" t="n"/>
      <c r="BI151" s="55" t="n"/>
      <c r="BJ151" s="55" t="n"/>
      <c r="BK151" s="55" t="n"/>
      <c r="BL151" s="55" t="n"/>
      <c r="BM151" s="55" t="n"/>
      <c r="BN151" s="55" t="n"/>
      <c r="BO151" s="55" t="n"/>
      <c r="BP151" s="55" t="n"/>
      <c r="BQ151" s="55" t="n"/>
      <c r="BR151" s="55" t="n"/>
      <c r="BS151" s="55" t="n"/>
      <c r="BT151" s="55" t="n"/>
      <c r="BU151" s="55" t="n"/>
      <c r="BV151" s="55" t="n"/>
      <c r="BW151" s="55" t="n"/>
      <c r="BX151" s="55" t="n"/>
      <c r="BY151" s="55" t="n"/>
      <c r="BZ151" s="55" t="n"/>
      <c r="CA151" s="55" t="n"/>
      <c r="CB151" s="55" t="n"/>
      <c r="CC151" s="55" t="n"/>
      <c r="CD151" s="55" t="n"/>
      <c r="CE151" s="55" t="n"/>
      <c r="CF151" s="55" t="n"/>
      <c r="CG151" s="55" t="n"/>
      <c r="CH151" s="55" t="n"/>
      <c r="CI151" s="55" t="n"/>
      <c r="CJ151" s="55" t="n"/>
      <c r="CK151" s="55" t="n"/>
      <c r="CL151" s="55" t="n"/>
      <c r="CM151" s="55" t="n"/>
      <c r="CN151" s="55" t="n"/>
      <c r="CO151" s="55" t="n"/>
      <c r="CP151" s="55" t="n"/>
      <c r="CQ151" s="55" t="n"/>
      <c r="CR151" s="55" t="n"/>
      <c r="CS151" s="55" t="n"/>
      <c r="CT151" s="55" t="n"/>
    </row>
    <row r="152">
      <c r="AD152" s="55" t="n"/>
      <c r="AE152" s="55" t="n"/>
      <c r="AF152" s="55" t="n"/>
      <c r="AG152" s="55" t="n"/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  <c r="BE152" s="55" t="n"/>
      <c r="BF152" s="55" t="n"/>
      <c r="BG152" s="55" t="n"/>
      <c r="BH152" s="55" t="n"/>
      <c r="BI152" s="55" t="n"/>
      <c r="BJ152" s="55" t="n"/>
      <c r="BK152" s="55" t="n"/>
      <c r="BL152" s="55" t="n"/>
      <c r="BM152" s="55" t="n"/>
      <c r="BN152" s="55" t="n"/>
      <c r="BO152" s="55" t="n"/>
      <c r="BP152" s="55" t="n"/>
      <c r="BQ152" s="55" t="n"/>
      <c r="BR152" s="55" t="n"/>
      <c r="BS152" s="55" t="n"/>
      <c r="BT152" s="55" t="n"/>
      <c r="BU152" s="55" t="n"/>
      <c r="BV152" s="55" t="n"/>
      <c r="BW152" s="55" t="n"/>
      <c r="BX152" s="55" t="n"/>
      <c r="BY152" s="55" t="n"/>
      <c r="BZ152" s="55" t="n"/>
      <c r="CA152" s="55" t="n"/>
      <c r="CB152" s="55" t="n"/>
      <c r="CC152" s="55" t="n"/>
      <c r="CD152" s="55" t="n"/>
      <c r="CE152" s="55" t="n"/>
      <c r="CF152" s="55" t="n"/>
      <c r="CG152" s="55" t="n"/>
      <c r="CH152" s="55" t="n"/>
      <c r="CI152" s="55" t="n"/>
      <c r="CJ152" s="55" t="n"/>
      <c r="CK152" s="55" t="n"/>
      <c r="CL152" s="55" t="n"/>
      <c r="CM152" s="55" t="n"/>
      <c r="CN152" s="55" t="n"/>
      <c r="CO152" s="55" t="n"/>
      <c r="CP152" s="55" t="n"/>
      <c r="CQ152" s="55" t="n"/>
      <c r="CR152" s="55" t="n"/>
      <c r="CS152" s="55" t="n"/>
      <c r="CT152" s="55" t="n"/>
    </row>
    <row r="153">
      <c r="AD153" s="55" t="n"/>
      <c r="AE153" s="55" t="n"/>
      <c r="AF153" s="55" t="n"/>
      <c r="AG153" s="55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  <c r="BV153" s="55" t="n"/>
      <c r="BW153" s="55" t="n"/>
      <c r="BX153" s="55" t="n"/>
      <c r="BY153" s="55" t="n"/>
      <c r="BZ153" s="55" t="n"/>
      <c r="CA153" s="55" t="n"/>
      <c r="CB153" s="55" t="n"/>
      <c r="CC153" s="55" t="n"/>
      <c r="CD153" s="55" t="n"/>
      <c r="CE153" s="55" t="n"/>
      <c r="CF153" s="55" t="n"/>
      <c r="CG153" s="55" t="n"/>
      <c r="CH153" s="55" t="n"/>
      <c r="CI153" s="55" t="n"/>
      <c r="CJ153" s="55" t="n"/>
      <c r="CK153" s="55" t="n"/>
      <c r="CL153" s="55" t="n"/>
      <c r="CM153" s="55" t="n"/>
      <c r="CN153" s="55" t="n"/>
      <c r="CO153" s="55" t="n"/>
      <c r="CP153" s="55" t="n"/>
      <c r="CQ153" s="55" t="n"/>
      <c r="CR153" s="55" t="n"/>
      <c r="CS153" s="55" t="n"/>
      <c r="CT153" s="55" t="n"/>
    </row>
    <row r="154">
      <c r="AD154" s="55" t="n"/>
      <c r="AE154" s="55" t="n"/>
      <c r="AF154" s="55" t="n"/>
      <c r="AG154" s="55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  <c r="BV154" s="55" t="n"/>
      <c r="BW154" s="55" t="n"/>
      <c r="BX154" s="55" t="n"/>
      <c r="BY154" s="55" t="n"/>
      <c r="BZ154" s="55" t="n"/>
      <c r="CA154" s="55" t="n"/>
      <c r="CB154" s="55" t="n"/>
      <c r="CC154" s="55" t="n"/>
      <c r="CD154" s="55" t="n"/>
      <c r="CE154" s="55" t="n"/>
      <c r="CF154" s="55" t="n"/>
      <c r="CG154" s="55" t="n"/>
      <c r="CH154" s="55" t="n"/>
      <c r="CI154" s="55" t="n"/>
      <c r="CJ154" s="55" t="n"/>
      <c r="CK154" s="55" t="n"/>
      <c r="CL154" s="55" t="n"/>
      <c r="CM154" s="55" t="n"/>
      <c r="CN154" s="55" t="n"/>
      <c r="CO154" s="55" t="n"/>
      <c r="CP154" s="55" t="n"/>
      <c r="CQ154" s="55" t="n"/>
      <c r="CR154" s="55" t="n"/>
      <c r="CS154" s="55" t="n"/>
      <c r="CT154" s="55" t="n"/>
    </row>
    <row r="155" s="16">
      <c r="A155" s="228" t="n"/>
      <c r="B155" s="228" t="n"/>
      <c r="C155" s="228" t="n"/>
      <c r="D155" s="228" t="n"/>
      <c r="E155" s="228" t="n"/>
      <c r="F155" s="228" t="n"/>
      <c r="G155" s="228" t="n"/>
      <c r="H155" s="228" t="n"/>
      <c r="I155" s="228" t="n"/>
      <c r="J155" s="228" t="n"/>
      <c r="K155" s="228" t="n"/>
      <c r="L155" s="228" t="n"/>
      <c r="M155" s="228" t="n"/>
      <c r="N155" s="228" t="n"/>
      <c r="O155" s="228" t="n"/>
      <c r="P155" s="228" t="n"/>
      <c r="Q155" s="228" t="n"/>
      <c r="R155" s="228" t="n"/>
      <c r="S155" s="228" t="n"/>
      <c r="T155" s="228" t="n"/>
      <c r="U155" s="228" t="n"/>
      <c r="V155" s="228" t="n"/>
      <c r="W155" s="228" t="n"/>
      <c r="X155" s="228" t="n"/>
      <c r="Y155" s="228" t="n"/>
      <c r="Z155" s="228" t="n"/>
      <c r="AA155" s="228" t="n"/>
      <c r="AB155" s="228" t="n"/>
      <c r="AC155" s="228" t="n"/>
      <c r="AD155" s="228" t="n"/>
      <c r="AE155" s="228" t="n"/>
      <c r="AF155" s="228" t="n"/>
      <c r="AG155" s="228" t="n"/>
      <c r="AH155" s="228" t="n"/>
      <c r="AI155" s="228" t="n"/>
      <c r="AJ155" s="228" t="n"/>
      <c r="AK155" s="228" t="n"/>
      <c r="AL155" s="228" t="n"/>
      <c r="AM155" s="228" t="n"/>
      <c r="AN155" s="228" t="n"/>
      <c r="AO155" s="228" t="n"/>
      <c r="AP155" s="228" t="n"/>
      <c r="AQ155" s="228" t="n"/>
      <c r="AR155" s="228" t="n"/>
      <c r="AS155" s="228" t="n"/>
      <c r="AT155" s="228" t="n"/>
      <c r="AU155" s="228" t="n"/>
      <c r="AV155" s="228" t="n"/>
      <c r="AW155" s="228" t="n"/>
      <c r="AX155" s="228" t="n"/>
      <c r="AY155" s="228" t="n"/>
      <c r="AZ155" s="228" t="n"/>
      <c r="BA155" s="228" t="n"/>
      <c r="BB155" s="228" t="n"/>
      <c r="BC155" s="228" t="n"/>
      <c r="BD155" s="228" t="n"/>
      <c r="BE155" s="228" t="n"/>
      <c r="BF155" s="228" t="n"/>
      <c r="BG155" s="228" t="n"/>
      <c r="BH155" s="228" t="n"/>
      <c r="BI155" s="228" t="n"/>
      <c r="BJ155" s="228" t="n"/>
      <c r="BK155" s="228" t="n"/>
      <c r="BL155" s="228" t="n"/>
      <c r="BM155" s="228" t="n"/>
      <c r="BN155" s="228" t="n"/>
      <c r="BO155" s="228" t="n"/>
      <c r="BP155" s="228" t="n"/>
      <c r="BQ155" s="228" t="n"/>
      <c r="BR155" s="228" t="n"/>
      <c r="BS155" s="228" t="n"/>
      <c r="BT155" s="228" t="n"/>
      <c r="BU155" s="228" t="n"/>
      <c r="BV155" s="228" t="n"/>
      <c r="BW155" s="228" t="n"/>
      <c r="BX155" s="228" t="n"/>
      <c r="BY155" s="228" t="n"/>
      <c r="BZ155" s="228" t="n"/>
      <c r="CA155" s="228" t="n"/>
      <c r="CB155" s="228" t="n"/>
      <c r="CC155" s="228" t="n"/>
      <c r="CD155" s="228" t="n"/>
      <c r="CE155" s="228" t="n"/>
      <c r="CF155" s="228" t="n"/>
      <c r="CG155" s="228" t="n"/>
      <c r="CH155" s="228" t="n"/>
      <c r="CI155" s="228" t="n"/>
      <c r="CJ155" s="228" t="n"/>
      <c r="CK155" s="228" t="n"/>
      <c r="CL155" s="228" t="n"/>
      <c r="CM155" s="228" t="n"/>
      <c r="CN155" s="228" t="n"/>
      <c r="CO155" s="228" t="n"/>
      <c r="CP155" s="228" t="n"/>
      <c r="CQ155" s="228" t="n"/>
      <c r="CR155" s="228" t="n"/>
      <c r="CS155" s="228" t="n"/>
      <c r="CT155" s="228" t="n"/>
      <c r="CU155" s="228" t="n"/>
      <c r="CV155" s="228" t="n"/>
      <c r="CW155" s="228" t="n"/>
      <c r="CX155" s="228" t="n"/>
      <c r="CY155" s="228" t="n"/>
      <c r="CZ155" s="228" t="n"/>
      <c r="DA155" s="228" t="n"/>
      <c r="DB155" s="228" t="n"/>
      <c r="DC155" s="228" t="n"/>
    </row>
    <row r="156" s="16">
      <c r="A156" s="228" t="n"/>
      <c r="B156" s="228" t="n"/>
      <c r="C156" s="228" t="n"/>
      <c r="D156" s="228" t="n"/>
      <c r="E156" s="228" t="n"/>
      <c r="F156" s="228" t="n"/>
      <c r="G156" s="228" t="n"/>
      <c r="H156" s="228" t="n"/>
      <c r="I156" s="228" t="n"/>
      <c r="J156" s="228" t="n"/>
      <c r="K156" s="228" t="n"/>
      <c r="L156" s="228" t="n"/>
      <c r="M156" s="228" t="n"/>
      <c r="N156" s="228" t="n"/>
      <c r="O156" s="228" t="n"/>
      <c r="P156" s="228" t="n"/>
      <c r="Q156" s="228" t="n"/>
      <c r="R156" s="228" t="n"/>
      <c r="S156" s="228" t="n"/>
      <c r="T156" s="228" t="n"/>
      <c r="U156" s="228" t="n"/>
      <c r="V156" s="228" t="n"/>
      <c r="W156" s="228" t="n"/>
      <c r="X156" s="228" t="n"/>
      <c r="Y156" s="228" t="n"/>
      <c r="Z156" s="228" t="n"/>
      <c r="AA156" s="228" t="n"/>
      <c r="AB156" s="228" t="n"/>
      <c r="AC156" s="228" t="n"/>
      <c r="AD156" s="228" t="n"/>
      <c r="AE156" s="228" t="n"/>
      <c r="AF156" s="228" t="n"/>
      <c r="AG156" s="228" t="n"/>
      <c r="AH156" s="228" t="n"/>
      <c r="AI156" s="228" t="n"/>
      <c r="AJ156" s="228" t="n"/>
      <c r="AK156" s="228" t="n"/>
      <c r="AL156" s="228" t="n"/>
      <c r="AM156" s="228" t="n"/>
      <c r="AN156" s="228" t="n"/>
      <c r="AO156" s="228" t="n"/>
      <c r="AP156" s="228" t="n"/>
      <c r="AQ156" s="228" t="n"/>
      <c r="AR156" s="228" t="n"/>
      <c r="AS156" s="228" t="n"/>
      <c r="AT156" s="228" t="n"/>
      <c r="AU156" s="228" t="n"/>
      <c r="AV156" s="228" t="n"/>
      <c r="AW156" s="228" t="n"/>
      <c r="AX156" s="228" t="n"/>
      <c r="AY156" s="228" t="n"/>
      <c r="AZ156" s="228" t="n"/>
      <c r="BA156" s="228" t="n"/>
      <c r="BB156" s="228" t="n"/>
      <c r="BC156" s="228" t="n"/>
      <c r="BD156" s="228" t="n"/>
      <c r="BE156" s="228" t="n"/>
      <c r="BF156" s="228" t="n"/>
      <c r="BG156" s="228" t="n"/>
      <c r="BH156" s="228" t="n"/>
      <c r="BI156" s="228" t="n"/>
      <c r="BJ156" s="228" t="n"/>
      <c r="BK156" s="228" t="n"/>
      <c r="BL156" s="228" t="n"/>
      <c r="BM156" s="228" t="n"/>
      <c r="BN156" s="228" t="n"/>
      <c r="BO156" s="228" t="n"/>
      <c r="BP156" s="228" t="n"/>
      <c r="BQ156" s="228" t="n"/>
      <c r="BR156" s="228" t="n"/>
      <c r="BS156" s="228" t="n"/>
      <c r="BT156" s="228" t="n"/>
      <c r="BU156" s="228" t="n"/>
      <c r="BV156" s="228" t="n"/>
      <c r="BW156" s="228" t="n"/>
      <c r="BX156" s="228" t="n"/>
      <c r="BY156" s="228" t="n"/>
      <c r="BZ156" s="228" t="n"/>
      <c r="CA156" s="228" t="n"/>
      <c r="CB156" s="228" t="n"/>
      <c r="CC156" s="228" t="n"/>
      <c r="CD156" s="228" t="n"/>
      <c r="CE156" s="228" t="n"/>
      <c r="CF156" s="228" t="n"/>
      <c r="CG156" s="228" t="n"/>
      <c r="CH156" s="228" t="n"/>
      <c r="CI156" s="228" t="n"/>
      <c r="CJ156" s="228" t="n"/>
      <c r="CK156" s="228" t="n"/>
      <c r="CL156" s="228" t="n"/>
      <c r="CM156" s="228" t="n"/>
      <c r="CN156" s="228" t="n"/>
      <c r="CO156" s="228" t="n"/>
      <c r="CP156" s="228" t="n"/>
      <c r="CQ156" s="228" t="n"/>
      <c r="CR156" s="228" t="n"/>
      <c r="CS156" s="228" t="n"/>
      <c r="CT156" s="228" t="n"/>
      <c r="CU156" s="228" t="n"/>
      <c r="CV156" s="228" t="n"/>
      <c r="CW156" s="228" t="n"/>
      <c r="CX156" s="228" t="n"/>
      <c r="CY156" s="228" t="n"/>
      <c r="CZ156" s="228" t="n"/>
      <c r="DA156" s="228" t="n"/>
      <c r="DB156" s="228" t="n"/>
      <c r="DC156" s="228" t="n"/>
    </row>
    <row r="157" s="16">
      <c r="A157" s="228" t="n"/>
      <c r="B157" s="228" t="n"/>
      <c r="C157" s="228" t="n"/>
      <c r="D157" s="228" t="n"/>
      <c r="E157" s="228" t="n"/>
      <c r="F157" s="228" t="n"/>
      <c r="G157" s="228" t="n"/>
      <c r="H157" s="228" t="n"/>
      <c r="I157" s="228" t="n"/>
      <c r="J157" s="228" t="n"/>
      <c r="K157" s="228" t="n"/>
      <c r="L157" s="228" t="n"/>
      <c r="M157" s="228" t="n"/>
      <c r="N157" s="228" t="n"/>
      <c r="O157" s="228" t="n"/>
      <c r="P157" s="228" t="n"/>
      <c r="Q157" s="228" t="n"/>
      <c r="R157" s="228" t="n"/>
      <c r="S157" s="228" t="n"/>
      <c r="T157" s="228" t="n"/>
      <c r="U157" s="228" t="n"/>
      <c r="V157" s="228" t="n"/>
      <c r="W157" s="228" t="n"/>
      <c r="X157" s="228" t="n"/>
      <c r="Y157" s="228" t="n"/>
      <c r="Z157" s="228" t="n"/>
      <c r="AA157" s="228" t="n"/>
      <c r="AB157" s="228" t="n"/>
      <c r="AC157" s="228" t="n"/>
      <c r="AD157" s="228" t="n"/>
      <c r="AE157" s="228" t="n"/>
      <c r="AF157" s="228" t="n"/>
      <c r="AG157" s="228" t="n"/>
      <c r="AH157" s="228" t="n"/>
      <c r="AI157" s="228" t="n"/>
      <c r="AJ157" s="228" t="n"/>
      <c r="AK157" s="228" t="n"/>
      <c r="AL157" s="228" t="n"/>
      <c r="AM157" s="228" t="n"/>
      <c r="AN157" s="228" t="n"/>
      <c r="AO157" s="228" t="n"/>
      <c r="AP157" s="228" t="n"/>
      <c r="AQ157" s="228" t="n"/>
      <c r="AR157" s="228" t="n"/>
      <c r="AS157" s="228" t="n"/>
      <c r="AT157" s="228" t="n"/>
      <c r="AU157" s="228" t="n"/>
      <c r="AV157" s="228" t="n"/>
      <c r="AW157" s="228" t="n"/>
      <c r="AX157" s="228" t="n"/>
      <c r="AY157" s="228" t="n"/>
      <c r="AZ157" s="228" t="n"/>
      <c r="BA157" s="228" t="n"/>
      <c r="BB157" s="228" t="n"/>
      <c r="BC157" s="228" t="n"/>
      <c r="BD157" s="228" t="n"/>
      <c r="BE157" s="228" t="n"/>
      <c r="BF157" s="228" t="n"/>
      <c r="BG157" s="228" t="n"/>
      <c r="BH157" s="228" t="n"/>
      <c r="BI157" s="228" t="n"/>
      <c r="BJ157" s="228" t="n"/>
      <c r="BK157" s="228" t="n"/>
      <c r="BL157" s="228" t="n"/>
      <c r="BM157" s="228" t="n"/>
      <c r="BN157" s="228" t="n"/>
      <c r="BO157" s="228" t="n"/>
      <c r="BP157" s="228" t="n"/>
      <c r="BQ157" s="228" t="n"/>
      <c r="BR157" s="228" t="n"/>
      <c r="BS157" s="228" t="n"/>
      <c r="BT157" s="228" t="n"/>
      <c r="BU157" s="228" t="n"/>
      <c r="BV157" s="228" t="n"/>
      <c r="BW157" s="228" t="n"/>
      <c r="BX157" s="228" t="n"/>
      <c r="BY157" s="228" t="n"/>
      <c r="BZ157" s="228" t="n"/>
      <c r="CA157" s="228" t="n"/>
      <c r="CB157" s="228" t="n"/>
      <c r="CC157" s="228" t="n"/>
      <c r="CD157" s="228" t="n"/>
      <c r="CE157" s="228" t="n"/>
      <c r="CF157" s="228" t="n"/>
      <c r="CG157" s="228" t="n"/>
      <c r="CH157" s="228" t="n"/>
      <c r="CI157" s="228" t="n"/>
      <c r="CJ157" s="228" t="n"/>
      <c r="CK157" s="228" t="n"/>
      <c r="CL157" s="228" t="n"/>
      <c r="CM157" s="228" t="n"/>
      <c r="CN157" s="228" t="n"/>
      <c r="CO157" s="228" t="n"/>
      <c r="CP157" s="228" t="n"/>
      <c r="CQ157" s="228" t="n"/>
      <c r="CR157" s="228" t="n"/>
      <c r="CS157" s="228" t="n"/>
      <c r="CT157" s="228" t="n"/>
      <c r="CU157" s="228" t="n"/>
      <c r="CV157" s="228" t="n"/>
      <c r="CW157" s="228" t="n"/>
      <c r="CX157" s="228" t="n"/>
      <c r="CY157" s="228" t="n"/>
      <c r="CZ157" s="228" t="n"/>
      <c r="DA157" s="228" t="n"/>
      <c r="DB157" s="228" t="n"/>
      <c r="DC157" s="228" t="n"/>
    </row>
    <row r="158" s="16">
      <c r="A158" s="228" t="n"/>
      <c r="B158" s="228" t="n"/>
      <c r="C158" s="228" t="n"/>
      <c r="D158" s="228" t="n"/>
      <c r="E158" s="228" t="n"/>
      <c r="F158" s="228" t="n"/>
      <c r="G158" s="228" t="n"/>
      <c r="H158" s="228" t="n"/>
      <c r="I158" s="228" t="n"/>
      <c r="J158" s="228" t="n"/>
      <c r="K158" s="228" t="n"/>
      <c r="L158" s="228" t="n"/>
      <c r="M158" s="228" t="n"/>
      <c r="N158" s="228" t="n"/>
      <c r="O158" s="228" t="n"/>
      <c r="P158" s="228" t="n"/>
      <c r="Q158" s="228" t="n"/>
      <c r="R158" s="228" t="n"/>
      <c r="S158" s="228" t="n"/>
      <c r="T158" s="228" t="n"/>
      <c r="U158" s="228" t="n"/>
      <c r="V158" s="228" t="n"/>
      <c r="W158" s="228" t="n"/>
      <c r="X158" s="228" t="n"/>
      <c r="Y158" s="228" t="n"/>
      <c r="Z158" s="228" t="n"/>
      <c r="AA158" s="228" t="n"/>
      <c r="AB158" s="228" t="n"/>
      <c r="AC158" s="228" t="n"/>
      <c r="AD158" s="228" t="n"/>
      <c r="AE158" s="228" t="n"/>
      <c r="AF158" s="228" t="n"/>
      <c r="AG158" s="228" t="n"/>
      <c r="AH158" s="228" t="n"/>
      <c r="AI158" s="228" t="n"/>
      <c r="AJ158" s="228" t="n"/>
      <c r="AK158" s="228" t="n"/>
      <c r="AL158" s="228" t="n"/>
      <c r="AM158" s="228" t="n"/>
      <c r="AN158" s="228" t="n"/>
      <c r="AO158" s="228" t="n"/>
      <c r="AP158" s="228" t="n"/>
      <c r="AQ158" s="228" t="n"/>
      <c r="AR158" s="228" t="n"/>
      <c r="AS158" s="228" t="n"/>
      <c r="AT158" s="228" t="n"/>
      <c r="AU158" s="228" t="n"/>
      <c r="AV158" s="228" t="n"/>
      <c r="AW158" s="228" t="n"/>
      <c r="AX158" s="228" t="n"/>
      <c r="AY158" s="228" t="n"/>
      <c r="AZ158" s="228" t="n"/>
      <c r="BA158" s="228" t="n"/>
      <c r="BB158" s="228" t="n"/>
      <c r="BC158" s="228" t="n"/>
      <c r="BD158" s="228" t="n"/>
      <c r="BE158" s="228" t="n"/>
      <c r="BF158" s="228" t="n"/>
      <c r="BG158" s="228" t="n"/>
      <c r="BH158" s="228" t="n"/>
      <c r="BI158" s="228" t="n"/>
      <c r="BJ158" s="228" t="n"/>
      <c r="BK158" s="228" t="n"/>
      <c r="BL158" s="228" t="n"/>
      <c r="BM158" s="228" t="n"/>
      <c r="BN158" s="228" t="n"/>
      <c r="BO158" s="228" t="n"/>
      <c r="BP158" s="228" t="n"/>
      <c r="BQ158" s="228" t="n"/>
      <c r="BR158" s="228" t="n"/>
      <c r="BS158" s="228" t="n"/>
      <c r="BT158" s="228" t="n"/>
      <c r="BU158" s="228" t="n"/>
      <c r="BV158" s="228" t="n"/>
      <c r="BW158" s="228" t="n"/>
      <c r="BX158" s="228" t="n"/>
      <c r="BY158" s="228" t="n"/>
      <c r="BZ158" s="228" t="n"/>
      <c r="CA158" s="228" t="n"/>
      <c r="CB158" s="228" t="n"/>
      <c r="CC158" s="228" t="n"/>
      <c r="CD158" s="228" t="n"/>
      <c r="CE158" s="228" t="n"/>
      <c r="CF158" s="228" t="n"/>
      <c r="CG158" s="228" t="n"/>
      <c r="CH158" s="228" t="n"/>
      <c r="CI158" s="228" t="n"/>
      <c r="CJ158" s="228" t="n"/>
      <c r="CK158" s="228" t="n"/>
      <c r="CL158" s="228" t="n"/>
      <c r="CM158" s="228" t="n"/>
      <c r="CN158" s="228" t="n"/>
      <c r="CO158" s="228" t="n"/>
      <c r="CP158" s="228" t="n"/>
      <c r="CQ158" s="228" t="n"/>
      <c r="CR158" s="228" t="n"/>
      <c r="CS158" s="228" t="n"/>
      <c r="CT158" s="228" t="n"/>
      <c r="CU158" s="228" t="n"/>
      <c r="CV158" s="228" t="n"/>
      <c r="CW158" s="228" t="n"/>
      <c r="CX158" s="228" t="n"/>
      <c r="CY158" s="228" t="n"/>
      <c r="CZ158" s="228" t="n"/>
      <c r="DA158" s="228" t="n"/>
      <c r="DB158" s="228" t="n"/>
      <c r="DC158" s="228" t="n"/>
    </row>
    <row r="159" s="16">
      <c r="A159" s="228" t="n"/>
      <c r="B159" s="228" t="n"/>
      <c r="C159" s="228" t="n"/>
      <c r="D159" s="228" t="n"/>
      <c r="E159" s="228" t="n"/>
      <c r="F159" s="228" t="n"/>
      <c r="G159" s="228" t="n"/>
      <c r="H159" s="228" t="n"/>
      <c r="I159" s="228" t="n"/>
      <c r="J159" s="228" t="n"/>
      <c r="K159" s="228" t="n"/>
      <c r="L159" s="228" t="n"/>
      <c r="M159" s="228" t="n"/>
      <c r="N159" s="228" t="n"/>
      <c r="O159" s="228" t="n"/>
      <c r="P159" s="228" t="n"/>
      <c r="Q159" s="228" t="n"/>
      <c r="R159" s="228" t="n"/>
      <c r="S159" s="228" t="n"/>
      <c r="T159" s="228" t="n"/>
      <c r="U159" s="228" t="n"/>
      <c r="V159" s="228" t="n"/>
      <c r="W159" s="228" t="n"/>
      <c r="X159" s="228" t="n"/>
      <c r="Y159" s="228" t="n"/>
      <c r="Z159" s="228" t="n"/>
      <c r="AA159" s="228" t="n"/>
      <c r="AB159" s="228" t="n"/>
      <c r="AC159" s="228" t="n"/>
      <c r="AD159" s="228" t="n"/>
      <c r="AE159" s="228" t="n"/>
      <c r="AF159" s="228" t="n"/>
      <c r="AG159" s="228" t="n"/>
      <c r="AH159" s="228" t="n"/>
      <c r="AI159" s="228" t="n"/>
      <c r="AJ159" s="228" t="n"/>
      <c r="AK159" s="228" t="n"/>
      <c r="AL159" s="228" t="n"/>
      <c r="AM159" s="228" t="n"/>
      <c r="AN159" s="228" t="n"/>
      <c r="AO159" s="228" t="n"/>
      <c r="AP159" s="228" t="n"/>
      <c r="AQ159" s="228" t="n"/>
      <c r="AR159" s="228" t="n"/>
      <c r="AS159" s="228" t="n"/>
      <c r="AT159" s="228" t="n"/>
      <c r="AU159" s="228" t="n"/>
      <c r="AV159" s="228" t="n"/>
      <c r="AW159" s="228" t="n"/>
      <c r="AX159" s="228" t="n"/>
      <c r="AY159" s="228" t="n"/>
      <c r="AZ159" s="228" t="n"/>
      <c r="BA159" s="228" t="n"/>
      <c r="BB159" s="228" t="n"/>
      <c r="BC159" s="228" t="n"/>
      <c r="BD159" s="228" t="n"/>
      <c r="BE159" s="228" t="n"/>
      <c r="BF159" s="228" t="n"/>
      <c r="BG159" s="228" t="n"/>
      <c r="BH159" s="228" t="n"/>
      <c r="BI159" s="228" t="n"/>
      <c r="BJ159" s="228" t="n"/>
      <c r="BK159" s="228" t="n"/>
      <c r="BL159" s="228" t="n"/>
      <c r="BM159" s="228" t="n"/>
      <c r="BN159" s="228" t="n"/>
      <c r="BO159" s="228" t="n"/>
      <c r="BP159" s="228" t="n"/>
      <c r="BQ159" s="228" t="n"/>
      <c r="BR159" s="228" t="n"/>
      <c r="BS159" s="228" t="n"/>
      <c r="BT159" s="228" t="n"/>
      <c r="BU159" s="228" t="n"/>
      <c r="BV159" s="228" t="n"/>
      <c r="BW159" s="228" t="n"/>
      <c r="BX159" s="228" t="n"/>
      <c r="BY159" s="228" t="n"/>
      <c r="BZ159" s="228" t="n"/>
      <c r="CA159" s="228" t="n"/>
      <c r="CB159" s="228" t="n"/>
      <c r="CC159" s="228" t="n"/>
      <c r="CD159" s="228" t="n"/>
      <c r="CE159" s="228" t="n"/>
      <c r="CF159" s="228" t="n"/>
      <c r="CG159" s="228" t="n"/>
      <c r="CH159" s="228" t="n"/>
      <c r="CI159" s="228" t="n"/>
      <c r="CJ159" s="228" t="n"/>
      <c r="CK159" s="228" t="n"/>
      <c r="CL159" s="228" t="n"/>
      <c r="CM159" s="228" t="n"/>
      <c r="CN159" s="228" t="n"/>
      <c r="CO159" s="228" t="n"/>
      <c r="CP159" s="228" t="n"/>
      <c r="CQ159" s="228" t="n"/>
      <c r="CR159" s="228" t="n"/>
      <c r="CS159" s="228" t="n"/>
      <c r="CT159" s="228" t="n"/>
      <c r="CU159" s="228" t="n"/>
      <c r="CV159" s="228" t="n"/>
      <c r="CW159" s="228" t="n"/>
      <c r="CX159" s="228" t="n"/>
      <c r="CY159" s="228" t="n"/>
      <c r="CZ159" s="228" t="n"/>
      <c r="DA159" s="228" t="n"/>
      <c r="DB159" s="228" t="n"/>
      <c r="DC159" s="228" t="n"/>
    </row>
    <row r="160" s="16">
      <c r="A160" s="228" t="n"/>
      <c r="B160" s="228" t="n"/>
      <c r="C160" s="228" t="n"/>
      <c r="D160" s="228" t="n"/>
      <c r="E160" s="228" t="n"/>
      <c r="F160" s="228" t="n"/>
      <c r="G160" s="228" t="n"/>
      <c r="H160" s="228" t="n"/>
      <c r="I160" s="228" t="n"/>
      <c r="J160" s="228" t="n"/>
      <c r="K160" s="228" t="n"/>
      <c r="L160" s="228" t="n"/>
      <c r="M160" s="228" t="n"/>
      <c r="N160" s="228" t="n"/>
      <c r="O160" s="228" t="n"/>
      <c r="P160" s="228" t="n"/>
      <c r="Q160" s="228" t="n"/>
      <c r="R160" s="228" t="n"/>
      <c r="S160" s="228" t="n"/>
      <c r="T160" s="228" t="n"/>
      <c r="U160" s="228" t="n"/>
      <c r="V160" s="228" t="n"/>
      <c r="W160" s="228" t="n"/>
      <c r="X160" s="228" t="n"/>
      <c r="Y160" s="228" t="n"/>
      <c r="Z160" s="228" t="n"/>
      <c r="AA160" s="228" t="n"/>
      <c r="AB160" s="228" t="n"/>
      <c r="AC160" s="228" t="n"/>
      <c r="AD160" s="228" t="n"/>
      <c r="AE160" s="228" t="n"/>
      <c r="AF160" s="228" t="n"/>
      <c r="AG160" s="228" t="n"/>
      <c r="AH160" s="228" t="n"/>
      <c r="AI160" s="228" t="n"/>
      <c r="AJ160" s="228" t="n"/>
      <c r="AK160" s="228" t="n"/>
      <c r="AL160" s="228" t="n"/>
      <c r="AM160" s="228" t="n"/>
      <c r="AN160" s="228" t="n"/>
      <c r="AO160" s="228" t="n"/>
      <c r="AP160" s="228" t="n"/>
      <c r="AQ160" s="228" t="n"/>
      <c r="AR160" s="228" t="n"/>
      <c r="AS160" s="228" t="n"/>
      <c r="AT160" s="228" t="n"/>
      <c r="AU160" s="228" t="n"/>
      <c r="AV160" s="228" t="n"/>
      <c r="AW160" s="228" t="n"/>
      <c r="AX160" s="228" t="n"/>
      <c r="AY160" s="228" t="n"/>
      <c r="AZ160" s="228" t="n"/>
      <c r="BA160" s="228" t="n"/>
      <c r="BB160" s="228" t="n"/>
      <c r="BC160" s="228" t="n"/>
      <c r="BD160" s="228" t="n"/>
      <c r="BE160" s="228" t="n"/>
      <c r="BF160" s="228" t="n"/>
      <c r="BG160" s="228" t="n"/>
      <c r="BH160" s="228" t="n"/>
      <c r="BI160" s="228" t="n"/>
      <c r="BJ160" s="228" t="n"/>
      <c r="BK160" s="228" t="n"/>
      <c r="BL160" s="228" t="n"/>
      <c r="BM160" s="228" t="n"/>
      <c r="BN160" s="228" t="n"/>
      <c r="BO160" s="228" t="n"/>
      <c r="BP160" s="228" t="n"/>
      <c r="BQ160" s="228" t="n"/>
      <c r="BR160" s="228" t="n"/>
      <c r="BS160" s="228" t="n"/>
      <c r="BT160" s="228" t="n"/>
      <c r="BU160" s="228" t="n"/>
      <c r="BV160" s="228" t="n"/>
      <c r="BW160" s="228" t="n"/>
      <c r="BX160" s="228" t="n"/>
      <c r="BY160" s="228" t="n"/>
      <c r="BZ160" s="228" t="n"/>
      <c r="CA160" s="228" t="n"/>
      <c r="CB160" s="228" t="n"/>
      <c r="CC160" s="228" t="n"/>
      <c r="CD160" s="228" t="n"/>
      <c r="CE160" s="228" t="n"/>
      <c r="CF160" s="228" t="n"/>
      <c r="CG160" s="228" t="n"/>
      <c r="CH160" s="228" t="n"/>
      <c r="CI160" s="228" t="n"/>
      <c r="CJ160" s="228" t="n"/>
      <c r="CK160" s="228" t="n"/>
      <c r="CL160" s="228" t="n"/>
      <c r="CM160" s="228" t="n"/>
      <c r="CN160" s="228" t="n"/>
      <c r="CO160" s="228" t="n"/>
      <c r="CP160" s="228" t="n"/>
      <c r="CQ160" s="228" t="n"/>
      <c r="CR160" s="228" t="n"/>
      <c r="CS160" s="228" t="n"/>
      <c r="CT160" s="228" t="n"/>
      <c r="CU160" s="228" t="n"/>
      <c r="CV160" s="228" t="n"/>
      <c r="CW160" s="228" t="n"/>
      <c r="CX160" s="228" t="n"/>
      <c r="CY160" s="228" t="n"/>
      <c r="CZ160" s="228" t="n"/>
      <c r="DA160" s="228" t="n"/>
      <c r="DB160" s="228" t="n"/>
      <c r="DC160" s="228" t="n"/>
    </row>
    <row r="161" s="16">
      <c r="A161" s="228" t="n"/>
      <c r="B161" s="228" t="n"/>
      <c r="C161" s="228" t="n"/>
      <c r="D161" s="228" t="n"/>
      <c r="E161" s="228" t="n"/>
      <c r="F161" s="228" t="n"/>
      <c r="G161" s="228" t="n"/>
      <c r="H161" s="228" t="n"/>
      <c r="I161" s="228" t="n"/>
      <c r="J161" s="228" t="n"/>
      <c r="K161" s="228" t="n"/>
      <c r="L161" s="228" t="n"/>
      <c r="M161" s="228" t="n"/>
      <c r="N161" s="228" t="n"/>
      <c r="O161" s="228" t="n"/>
      <c r="P161" s="228" t="n"/>
      <c r="Q161" s="228" t="n"/>
      <c r="R161" s="228" t="n"/>
      <c r="S161" s="228" t="n"/>
      <c r="T161" s="228" t="n"/>
      <c r="U161" s="228" t="n"/>
      <c r="V161" s="228" t="n"/>
      <c r="W161" s="228" t="n"/>
      <c r="X161" s="228" t="n"/>
      <c r="Y161" s="228" t="n"/>
      <c r="Z161" s="228" t="n"/>
      <c r="AA161" s="228" t="n"/>
      <c r="AB161" s="228" t="n"/>
      <c r="AC161" s="228" t="n"/>
      <c r="AD161" s="228" t="n"/>
      <c r="AE161" s="228" t="n"/>
      <c r="AF161" s="228" t="n"/>
      <c r="AG161" s="228" t="n"/>
      <c r="AH161" s="228" t="n"/>
      <c r="AI161" s="228" t="n"/>
      <c r="AJ161" s="228" t="n"/>
      <c r="AK161" s="228" t="n"/>
      <c r="AL161" s="228" t="n"/>
      <c r="AM161" s="228" t="n"/>
      <c r="AN161" s="228" t="n"/>
      <c r="AO161" s="228" t="n"/>
      <c r="AP161" s="228" t="n"/>
      <c r="AQ161" s="228" t="n"/>
      <c r="AR161" s="228" t="n"/>
      <c r="AS161" s="228" t="n"/>
      <c r="AT161" s="228" t="n"/>
      <c r="AU161" s="228" t="n"/>
      <c r="AV161" s="228" t="n"/>
      <c r="AW161" s="228" t="n"/>
      <c r="AX161" s="228" t="n"/>
      <c r="AY161" s="228" t="n"/>
      <c r="AZ161" s="228" t="n"/>
      <c r="BA161" s="228" t="n"/>
      <c r="BB161" s="228" t="n"/>
      <c r="BC161" s="228" t="n"/>
      <c r="BD161" s="228" t="n"/>
      <c r="BE161" s="228" t="n"/>
      <c r="BF161" s="228" t="n"/>
      <c r="BG161" s="228" t="n"/>
      <c r="BH161" s="228" t="n"/>
      <c r="BI161" s="228" t="n"/>
      <c r="BJ161" s="228" t="n"/>
      <c r="BK161" s="228" t="n"/>
      <c r="BL161" s="228" t="n"/>
      <c r="BM161" s="228" t="n"/>
      <c r="BN161" s="228" t="n"/>
      <c r="BO161" s="228" t="n"/>
      <c r="BP161" s="228" t="n"/>
      <c r="BQ161" s="228" t="n"/>
      <c r="BR161" s="228" t="n"/>
      <c r="BS161" s="228" t="n"/>
      <c r="BT161" s="228" t="n"/>
      <c r="BU161" s="228" t="n"/>
      <c r="BV161" s="228" t="n"/>
      <c r="BW161" s="228" t="n"/>
      <c r="BX161" s="228" t="n"/>
      <c r="BY161" s="228" t="n"/>
      <c r="BZ161" s="228" t="n"/>
      <c r="CA161" s="228" t="n"/>
      <c r="CB161" s="228" t="n"/>
      <c r="CC161" s="228" t="n"/>
      <c r="CD161" s="228" t="n"/>
      <c r="CE161" s="228" t="n"/>
      <c r="CF161" s="228" t="n"/>
      <c r="CG161" s="228" t="n"/>
      <c r="CH161" s="228" t="n"/>
      <c r="CI161" s="228" t="n"/>
      <c r="CJ161" s="228" t="n"/>
      <c r="CK161" s="228" t="n"/>
      <c r="CL161" s="228" t="n"/>
      <c r="CM161" s="228" t="n"/>
      <c r="CN161" s="228" t="n"/>
      <c r="CO161" s="228" t="n"/>
      <c r="CP161" s="228" t="n"/>
      <c r="CQ161" s="228" t="n"/>
      <c r="CR161" s="228" t="n"/>
      <c r="CS161" s="228" t="n"/>
      <c r="CT161" s="228" t="n"/>
      <c r="CU161" s="228" t="n"/>
      <c r="CV161" s="228" t="n"/>
      <c r="CW161" s="228" t="n"/>
      <c r="CX161" s="228" t="n"/>
      <c r="CY161" s="228" t="n"/>
      <c r="CZ161" s="228" t="n"/>
      <c r="DA161" s="228" t="n"/>
      <c r="DB161" s="228" t="n"/>
      <c r="DC161" s="228" t="n"/>
    </row>
    <row r="162" s="16">
      <c r="A162" s="228" t="n"/>
      <c r="B162" s="228" t="n"/>
      <c r="C162" s="228" t="n"/>
      <c r="D162" s="228" t="n"/>
      <c r="E162" s="228" t="n"/>
      <c r="F162" s="228" t="n"/>
      <c r="G162" s="228" t="n"/>
      <c r="H162" s="228" t="n"/>
      <c r="I162" s="228" t="n"/>
      <c r="J162" s="228" t="n"/>
      <c r="K162" s="228" t="n"/>
      <c r="L162" s="228" t="n"/>
      <c r="M162" s="228" t="n"/>
      <c r="N162" s="228" t="n"/>
      <c r="O162" s="228" t="n"/>
      <c r="P162" s="228" t="n"/>
      <c r="Q162" s="228" t="n"/>
      <c r="R162" s="228" t="n"/>
      <c r="S162" s="228" t="n"/>
      <c r="T162" s="228" t="n"/>
      <c r="U162" s="228" t="n"/>
      <c r="V162" s="228" t="n"/>
      <c r="W162" s="228" t="n"/>
      <c r="X162" s="228" t="n"/>
      <c r="Y162" s="228" t="n"/>
      <c r="Z162" s="228" t="n"/>
      <c r="AA162" s="228" t="n"/>
      <c r="AB162" s="228" t="n"/>
      <c r="AC162" s="228" t="n"/>
      <c r="AD162" s="228" t="n"/>
      <c r="AE162" s="228" t="n"/>
      <c r="AF162" s="228" t="n"/>
      <c r="AG162" s="228" t="n"/>
      <c r="AH162" s="228" t="n"/>
      <c r="AI162" s="228" t="n"/>
      <c r="AJ162" s="228" t="n"/>
      <c r="AK162" s="228" t="n"/>
      <c r="AL162" s="228" t="n"/>
      <c r="AM162" s="228" t="n"/>
      <c r="AN162" s="228" t="n"/>
      <c r="AO162" s="228" t="n"/>
      <c r="AP162" s="228" t="n"/>
      <c r="AQ162" s="228" t="n"/>
      <c r="AR162" s="228" t="n"/>
      <c r="AS162" s="228" t="n"/>
      <c r="AT162" s="228" t="n"/>
      <c r="AU162" s="228" t="n"/>
      <c r="AV162" s="228" t="n"/>
      <c r="AW162" s="228" t="n"/>
      <c r="AX162" s="228" t="n"/>
      <c r="AY162" s="228" t="n"/>
      <c r="AZ162" s="228" t="n"/>
      <c r="BA162" s="228" t="n"/>
      <c r="BB162" s="228" t="n"/>
      <c r="BC162" s="228" t="n"/>
      <c r="BD162" s="228" t="n"/>
      <c r="BE162" s="228" t="n"/>
      <c r="BF162" s="228" t="n"/>
      <c r="BG162" s="228" t="n"/>
      <c r="BH162" s="228" t="n"/>
      <c r="BI162" s="228" t="n"/>
      <c r="BJ162" s="228" t="n"/>
      <c r="BK162" s="228" t="n"/>
      <c r="BL162" s="228" t="n"/>
      <c r="BM162" s="228" t="n"/>
      <c r="BN162" s="228" t="n"/>
      <c r="BO162" s="228" t="n"/>
      <c r="BP162" s="228" t="n"/>
      <c r="BQ162" s="228" t="n"/>
      <c r="BR162" s="228" t="n"/>
      <c r="BS162" s="228" t="n"/>
      <c r="BT162" s="228" t="n"/>
      <c r="BU162" s="228" t="n"/>
      <c r="BV162" s="228" t="n"/>
      <c r="BW162" s="228" t="n"/>
      <c r="BX162" s="228" t="n"/>
      <c r="BY162" s="228" t="n"/>
      <c r="BZ162" s="228" t="n"/>
      <c r="CA162" s="228" t="n"/>
      <c r="CB162" s="228" t="n"/>
      <c r="CC162" s="228" t="n"/>
      <c r="CD162" s="228" t="n"/>
      <c r="CE162" s="228" t="n"/>
      <c r="CF162" s="228" t="n"/>
      <c r="CG162" s="228" t="n"/>
      <c r="CH162" s="228" t="n"/>
      <c r="CI162" s="228" t="n"/>
      <c r="CJ162" s="228" t="n"/>
      <c r="CK162" s="228" t="n"/>
      <c r="CL162" s="228" t="n"/>
      <c r="CM162" s="228" t="n"/>
      <c r="CN162" s="228" t="n"/>
      <c r="CO162" s="228" t="n"/>
      <c r="CP162" s="228" t="n"/>
      <c r="CQ162" s="228" t="n"/>
      <c r="CR162" s="228" t="n"/>
      <c r="CS162" s="228" t="n"/>
      <c r="CT162" s="228" t="n"/>
      <c r="CU162" s="228" t="n"/>
      <c r="CV162" s="228" t="n"/>
      <c r="CW162" s="228" t="n"/>
      <c r="CX162" s="228" t="n"/>
      <c r="CY162" s="228" t="n"/>
      <c r="CZ162" s="228" t="n"/>
      <c r="DA162" s="228" t="n"/>
      <c r="DB162" s="228" t="n"/>
      <c r="DC162" s="228" t="n"/>
    </row>
    <row r="163" s="16">
      <c r="A163" s="228" t="n"/>
      <c r="B163" s="228" t="n"/>
      <c r="C163" s="228" t="n"/>
      <c r="D163" s="228" t="n"/>
      <c r="E163" s="228" t="n"/>
      <c r="F163" s="228" t="n"/>
      <c r="G163" s="228" t="n"/>
      <c r="H163" s="228" t="n"/>
      <c r="I163" s="228" t="n"/>
      <c r="J163" s="228" t="n"/>
      <c r="K163" s="228" t="n"/>
      <c r="L163" s="228" t="n"/>
      <c r="M163" s="228" t="n"/>
      <c r="N163" s="228" t="n"/>
      <c r="O163" s="228" t="n"/>
      <c r="P163" s="228" t="n"/>
      <c r="Q163" s="228" t="n"/>
      <c r="R163" s="228" t="n"/>
      <c r="S163" s="228" t="n"/>
      <c r="T163" s="228" t="n"/>
      <c r="U163" s="228" t="n"/>
      <c r="V163" s="228" t="n"/>
      <c r="W163" s="228" t="n"/>
      <c r="X163" s="228" t="n"/>
      <c r="Y163" s="228" t="n"/>
      <c r="Z163" s="228" t="n"/>
      <c r="AA163" s="228" t="n"/>
      <c r="AB163" s="228" t="n"/>
      <c r="AC163" s="228" t="n"/>
      <c r="AD163" s="228" t="n"/>
      <c r="AE163" s="228" t="n"/>
      <c r="AF163" s="228" t="n"/>
      <c r="AG163" s="228" t="n"/>
      <c r="AH163" s="228" t="n"/>
      <c r="AI163" s="228" t="n"/>
      <c r="AJ163" s="228" t="n"/>
      <c r="AK163" s="228" t="n"/>
      <c r="AL163" s="228" t="n"/>
      <c r="AM163" s="228" t="n"/>
      <c r="AN163" s="228" t="n"/>
      <c r="AO163" s="228" t="n"/>
      <c r="AP163" s="228" t="n"/>
      <c r="AQ163" s="228" t="n"/>
      <c r="AR163" s="228" t="n"/>
      <c r="AS163" s="228" t="n"/>
      <c r="AT163" s="228" t="n"/>
      <c r="AU163" s="228" t="n"/>
      <c r="AV163" s="228" t="n"/>
      <c r="AW163" s="228" t="n"/>
      <c r="AX163" s="228" t="n"/>
      <c r="AY163" s="228" t="n"/>
      <c r="AZ163" s="228" t="n"/>
      <c r="BA163" s="228" t="n"/>
      <c r="BB163" s="228" t="n"/>
      <c r="BC163" s="228" t="n"/>
      <c r="BD163" s="228" t="n"/>
      <c r="BE163" s="228" t="n"/>
      <c r="BF163" s="228" t="n"/>
      <c r="BG163" s="228" t="n"/>
      <c r="BH163" s="228" t="n"/>
      <c r="BI163" s="228" t="n"/>
      <c r="BJ163" s="228" t="n"/>
      <c r="BK163" s="228" t="n"/>
      <c r="BL163" s="228" t="n"/>
      <c r="BM163" s="228" t="n"/>
      <c r="BN163" s="228" t="n"/>
      <c r="BO163" s="228" t="n"/>
      <c r="BP163" s="228" t="n"/>
      <c r="BQ163" s="228" t="n"/>
      <c r="BR163" s="228" t="n"/>
      <c r="BS163" s="228" t="n"/>
      <c r="BT163" s="228" t="n"/>
      <c r="BU163" s="228" t="n"/>
      <c r="BV163" s="228" t="n"/>
      <c r="BW163" s="228" t="n"/>
      <c r="BX163" s="228" t="n"/>
      <c r="BY163" s="228" t="n"/>
      <c r="BZ163" s="228" t="n"/>
      <c r="CA163" s="228" t="n"/>
      <c r="CB163" s="228" t="n"/>
      <c r="CC163" s="228" t="n"/>
      <c r="CD163" s="228" t="n"/>
      <c r="CE163" s="228" t="n"/>
      <c r="CF163" s="228" t="n"/>
      <c r="CG163" s="228" t="n"/>
      <c r="CH163" s="228" t="n"/>
      <c r="CI163" s="228" t="n"/>
      <c r="CJ163" s="228" t="n"/>
      <c r="CK163" s="228" t="n"/>
      <c r="CL163" s="228" t="n"/>
      <c r="CM163" s="228" t="n"/>
      <c r="CN163" s="228" t="n"/>
      <c r="CO163" s="228" t="n"/>
      <c r="CP163" s="228" t="n"/>
      <c r="CQ163" s="228" t="n"/>
      <c r="CR163" s="228" t="n"/>
      <c r="CS163" s="228" t="n"/>
      <c r="CT163" s="228" t="n"/>
      <c r="CU163" s="228" t="n"/>
      <c r="CV163" s="228" t="n"/>
      <c r="CW163" s="228" t="n"/>
      <c r="CX163" s="228" t="n"/>
      <c r="CY163" s="228" t="n"/>
      <c r="CZ163" s="228" t="n"/>
      <c r="DA163" s="228" t="n"/>
      <c r="DB163" s="228" t="n"/>
      <c r="DC163" s="228" t="n"/>
    </row>
    <row r="164" s="16">
      <c r="A164" s="228" t="n"/>
      <c r="B164" s="228" t="n"/>
      <c r="C164" s="228" t="n"/>
      <c r="D164" s="228" t="n"/>
      <c r="E164" s="228" t="n"/>
      <c r="F164" s="228" t="n"/>
      <c r="G164" s="228" t="n"/>
      <c r="H164" s="228" t="n"/>
      <c r="I164" s="228" t="n"/>
      <c r="J164" s="228" t="n"/>
      <c r="K164" s="228" t="n"/>
      <c r="L164" s="228" t="n"/>
      <c r="M164" s="228" t="n"/>
      <c r="N164" s="228" t="n"/>
      <c r="O164" s="228" t="n"/>
      <c r="P164" s="228" t="n"/>
      <c r="Q164" s="228" t="n"/>
      <c r="R164" s="228" t="n"/>
      <c r="S164" s="228" t="n"/>
      <c r="T164" s="228" t="n"/>
      <c r="U164" s="228" t="n"/>
      <c r="V164" s="228" t="n"/>
      <c r="W164" s="228" t="n"/>
      <c r="X164" s="228" t="n"/>
      <c r="Y164" s="228" t="n"/>
      <c r="Z164" s="228" t="n"/>
      <c r="AA164" s="228" t="n"/>
      <c r="AB164" s="228" t="n"/>
      <c r="AC164" s="228" t="n"/>
      <c r="AD164" s="228" t="n"/>
      <c r="AE164" s="228" t="n"/>
      <c r="AF164" s="228" t="n"/>
      <c r="AG164" s="228" t="n"/>
      <c r="AH164" s="228" t="n"/>
      <c r="AI164" s="228" t="n"/>
      <c r="AJ164" s="228" t="n"/>
      <c r="AK164" s="228" t="n"/>
      <c r="AL164" s="228" t="n"/>
      <c r="AM164" s="228" t="n"/>
      <c r="AN164" s="228" t="n"/>
      <c r="AO164" s="228" t="n"/>
      <c r="AP164" s="228" t="n"/>
      <c r="AQ164" s="228" t="n"/>
      <c r="AR164" s="228" t="n"/>
      <c r="AS164" s="228" t="n"/>
      <c r="AT164" s="228" t="n"/>
      <c r="AU164" s="228" t="n"/>
      <c r="AV164" s="228" t="n"/>
      <c r="AW164" s="228" t="n"/>
      <c r="AX164" s="228" t="n"/>
      <c r="AY164" s="228" t="n"/>
      <c r="AZ164" s="228" t="n"/>
      <c r="BA164" s="228" t="n"/>
      <c r="BB164" s="228" t="n"/>
      <c r="BC164" s="228" t="n"/>
      <c r="BD164" s="228" t="n"/>
      <c r="BE164" s="228" t="n"/>
      <c r="BF164" s="228" t="n"/>
      <c r="BG164" s="228" t="n"/>
      <c r="BH164" s="228" t="n"/>
      <c r="BI164" s="228" t="n"/>
      <c r="BJ164" s="228" t="n"/>
      <c r="BK164" s="228" t="n"/>
      <c r="BL164" s="228" t="n"/>
      <c r="BM164" s="228" t="n"/>
      <c r="BN164" s="228" t="n"/>
      <c r="BO164" s="228" t="n"/>
      <c r="BP164" s="228" t="n"/>
      <c r="BQ164" s="228" t="n"/>
      <c r="BR164" s="228" t="n"/>
      <c r="BS164" s="228" t="n"/>
      <c r="BT164" s="228" t="n"/>
      <c r="BU164" s="228" t="n"/>
      <c r="BV164" s="228" t="n"/>
      <c r="BW164" s="228" t="n"/>
      <c r="BX164" s="228" t="n"/>
      <c r="BY164" s="228" t="n"/>
      <c r="BZ164" s="228" t="n"/>
      <c r="CA164" s="228" t="n"/>
      <c r="CB164" s="228" t="n"/>
      <c r="CC164" s="228" t="n"/>
      <c r="CD164" s="228" t="n"/>
      <c r="CE164" s="228" t="n"/>
      <c r="CF164" s="228" t="n"/>
      <c r="CG164" s="228" t="n"/>
      <c r="CH164" s="228" t="n"/>
      <c r="CI164" s="228" t="n"/>
      <c r="CJ164" s="228" t="n"/>
      <c r="CK164" s="228" t="n"/>
      <c r="CL164" s="228" t="n"/>
      <c r="CM164" s="228" t="n"/>
      <c r="CN164" s="228" t="n"/>
      <c r="CO164" s="228" t="n"/>
      <c r="CP164" s="228" t="n"/>
      <c r="CQ164" s="228" t="n"/>
      <c r="CR164" s="228" t="n"/>
      <c r="CS164" s="228" t="n"/>
      <c r="CT164" s="228" t="n"/>
      <c r="CU164" s="228" t="n"/>
      <c r="CV164" s="228" t="n"/>
      <c r="CW164" s="228" t="n"/>
      <c r="CX164" s="228" t="n"/>
      <c r="CY164" s="228" t="n"/>
      <c r="CZ164" s="228" t="n"/>
      <c r="DA164" s="228" t="n"/>
      <c r="DB164" s="228" t="n"/>
      <c r="DC164" s="228" t="n"/>
    </row>
    <row r="165" s="16">
      <c r="A165" s="228" t="n"/>
      <c r="B165" s="228" t="n"/>
      <c r="C165" s="228" t="n"/>
      <c r="D165" s="228" t="n"/>
      <c r="E165" s="228" t="n"/>
      <c r="F165" s="228" t="n"/>
      <c r="G165" s="228" t="n"/>
      <c r="H165" s="228" t="n"/>
      <c r="I165" s="228" t="n"/>
      <c r="J165" s="228" t="n"/>
      <c r="K165" s="228" t="n"/>
      <c r="L165" s="228" t="n"/>
      <c r="M165" s="228" t="n"/>
      <c r="N165" s="228" t="n"/>
      <c r="O165" s="228" t="n"/>
      <c r="P165" s="228" t="n"/>
      <c r="Q165" s="228" t="n"/>
      <c r="R165" s="228" t="n"/>
      <c r="S165" s="228" t="n"/>
      <c r="T165" s="228" t="n"/>
      <c r="U165" s="228" t="n"/>
      <c r="V165" s="228" t="n"/>
      <c r="W165" s="228" t="n"/>
      <c r="X165" s="228" t="n"/>
      <c r="Y165" s="228" t="n"/>
      <c r="Z165" s="228" t="n"/>
      <c r="AA165" s="228" t="n"/>
      <c r="AB165" s="228" t="n"/>
      <c r="AC165" s="228" t="n"/>
      <c r="AD165" s="228" t="n"/>
      <c r="AE165" s="228" t="n"/>
      <c r="AF165" s="228" t="n"/>
      <c r="AG165" s="228" t="n"/>
      <c r="AH165" s="228" t="n"/>
      <c r="AI165" s="228" t="n"/>
      <c r="AJ165" s="228" t="n"/>
      <c r="AK165" s="228" t="n"/>
      <c r="AL165" s="228" t="n"/>
      <c r="AM165" s="228" t="n"/>
      <c r="AN165" s="228" t="n"/>
      <c r="AO165" s="228" t="n"/>
      <c r="AP165" s="228" t="n"/>
      <c r="AQ165" s="228" t="n"/>
      <c r="AR165" s="228" t="n"/>
      <c r="AS165" s="228" t="n"/>
      <c r="AT165" s="228" t="n"/>
      <c r="AU165" s="228" t="n"/>
      <c r="AV165" s="228" t="n"/>
      <c r="AW165" s="228" t="n"/>
      <c r="AX165" s="228" t="n"/>
      <c r="AY165" s="228" t="n"/>
      <c r="AZ165" s="228" t="n"/>
      <c r="BA165" s="228" t="n"/>
      <c r="BB165" s="228" t="n"/>
      <c r="BC165" s="228" t="n"/>
      <c r="BD165" s="228" t="n"/>
      <c r="BE165" s="228" t="n"/>
      <c r="BF165" s="228" t="n"/>
      <c r="BG165" s="228" t="n"/>
      <c r="BH165" s="228" t="n"/>
      <c r="BI165" s="228" t="n"/>
      <c r="BJ165" s="228" t="n"/>
      <c r="BK165" s="228" t="n"/>
      <c r="BL165" s="228" t="n"/>
      <c r="BM165" s="228" t="n"/>
      <c r="BN165" s="228" t="n"/>
      <c r="BO165" s="228" t="n"/>
      <c r="BP165" s="228" t="n"/>
      <c r="BQ165" s="228" t="n"/>
      <c r="BR165" s="228" t="n"/>
      <c r="BS165" s="228" t="n"/>
      <c r="BT165" s="228" t="n"/>
      <c r="BU165" s="228" t="n"/>
      <c r="BV165" s="228" t="n"/>
      <c r="BW165" s="228" t="n"/>
      <c r="BX165" s="228" t="n"/>
      <c r="BY165" s="228" t="n"/>
      <c r="BZ165" s="228" t="n"/>
      <c r="CA165" s="228" t="n"/>
      <c r="CB165" s="228" t="n"/>
      <c r="CC165" s="228" t="n"/>
      <c r="CD165" s="228" t="n"/>
      <c r="CE165" s="228" t="n"/>
      <c r="CF165" s="228" t="n"/>
      <c r="CG165" s="228" t="n"/>
      <c r="CH165" s="228" t="n"/>
      <c r="CI165" s="228" t="n"/>
      <c r="CJ165" s="228" t="n"/>
      <c r="CK165" s="228" t="n"/>
      <c r="CL165" s="228" t="n"/>
      <c r="CM165" s="228" t="n"/>
      <c r="CN165" s="228" t="n"/>
      <c r="CO165" s="228" t="n"/>
      <c r="CP165" s="228" t="n"/>
      <c r="CQ165" s="228" t="n"/>
      <c r="CR165" s="228" t="n"/>
      <c r="CS165" s="228" t="n"/>
      <c r="CT165" s="228" t="n"/>
      <c r="CU165" s="228" t="n"/>
      <c r="CV165" s="228" t="n"/>
      <c r="CW165" s="228" t="n"/>
      <c r="CX165" s="228" t="n"/>
      <c r="CY165" s="228" t="n"/>
      <c r="CZ165" s="228" t="n"/>
      <c r="DA165" s="228" t="n"/>
      <c r="DB165" s="228" t="n"/>
      <c r="DC165" s="228" t="n"/>
    </row>
    <row r="166" s="16">
      <c r="A166" s="228" t="n"/>
      <c r="B166" s="228" t="n"/>
      <c r="C166" s="228" t="n"/>
      <c r="D166" s="228" t="n"/>
      <c r="E166" s="228" t="n"/>
      <c r="F166" s="228" t="n"/>
      <c r="G166" s="228" t="n"/>
      <c r="H166" s="228" t="n"/>
      <c r="I166" s="228" t="n"/>
      <c r="J166" s="228" t="n"/>
      <c r="K166" s="228" t="n"/>
      <c r="L166" s="228" t="n"/>
      <c r="M166" s="228" t="n"/>
      <c r="N166" s="228" t="n"/>
      <c r="O166" s="228" t="n"/>
      <c r="P166" s="228" t="n"/>
      <c r="Q166" s="228" t="n"/>
      <c r="R166" s="228" t="n"/>
      <c r="S166" s="228" t="n"/>
      <c r="T166" s="228" t="n"/>
      <c r="U166" s="228" t="n"/>
      <c r="V166" s="228" t="n"/>
      <c r="W166" s="228" t="n"/>
      <c r="X166" s="228" t="n"/>
      <c r="Y166" s="228" t="n"/>
      <c r="Z166" s="228" t="n"/>
      <c r="AA166" s="228" t="n"/>
      <c r="AB166" s="228" t="n"/>
      <c r="AC166" s="228" t="n"/>
      <c r="AD166" s="228" t="n"/>
      <c r="AE166" s="228" t="n"/>
      <c r="AF166" s="228" t="n"/>
      <c r="AG166" s="228" t="n"/>
      <c r="AH166" s="228" t="n"/>
      <c r="AI166" s="228" t="n"/>
      <c r="AJ166" s="228" t="n"/>
      <c r="AK166" s="228" t="n"/>
      <c r="AL166" s="228" t="n"/>
      <c r="AM166" s="228" t="n"/>
      <c r="AN166" s="228" t="n"/>
      <c r="AO166" s="228" t="n"/>
      <c r="AP166" s="228" t="n"/>
      <c r="AQ166" s="228" t="n"/>
      <c r="AR166" s="228" t="n"/>
      <c r="AS166" s="228" t="n"/>
      <c r="AT166" s="228" t="n"/>
      <c r="AU166" s="228" t="n"/>
      <c r="AV166" s="228" t="n"/>
      <c r="AW166" s="228" t="n"/>
      <c r="AX166" s="228" t="n"/>
      <c r="AY166" s="228" t="n"/>
      <c r="AZ166" s="228" t="n"/>
      <c r="BA166" s="228" t="n"/>
      <c r="BB166" s="228" t="n"/>
      <c r="BC166" s="228" t="n"/>
      <c r="BD166" s="228" t="n"/>
      <c r="BE166" s="228" t="n"/>
      <c r="BF166" s="228" t="n"/>
      <c r="BG166" s="228" t="n"/>
      <c r="BH166" s="228" t="n"/>
      <c r="BI166" s="228" t="n"/>
      <c r="BJ166" s="228" t="n"/>
      <c r="BK166" s="228" t="n"/>
      <c r="BL166" s="228" t="n"/>
      <c r="BM166" s="228" t="n"/>
      <c r="BN166" s="228" t="n"/>
      <c r="BO166" s="228" t="n"/>
      <c r="BP166" s="228" t="n"/>
      <c r="BQ166" s="228" t="n"/>
      <c r="BR166" s="228" t="n"/>
      <c r="BS166" s="228" t="n"/>
      <c r="BT166" s="228" t="n"/>
      <c r="BU166" s="228" t="n"/>
      <c r="BV166" s="228" t="n"/>
      <c r="BW166" s="228" t="n"/>
      <c r="BX166" s="228" t="n"/>
      <c r="BY166" s="228" t="n"/>
      <c r="BZ166" s="228" t="n"/>
      <c r="CA166" s="228" t="n"/>
      <c r="CB166" s="228" t="n"/>
      <c r="CC166" s="228" t="n"/>
      <c r="CD166" s="228" t="n"/>
      <c r="CE166" s="228" t="n"/>
      <c r="CF166" s="228" t="n"/>
      <c r="CG166" s="228" t="n"/>
      <c r="CH166" s="228" t="n"/>
      <c r="CI166" s="228" t="n"/>
      <c r="CJ166" s="228" t="n"/>
      <c r="CK166" s="228" t="n"/>
      <c r="CL166" s="228" t="n"/>
      <c r="CM166" s="228" t="n"/>
      <c r="CN166" s="228" t="n"/>
      <c r="CO166" s="228" t="n"/>
      <c r="CP166" s="228" t="n"/>
      <c r="CQ166" s="228" t="n"/>
      <c r="CR166" s="228" t="n"/>
      <c r="CS166" s="228" t="n"/>
      <c r="CT166" s="228" t="n"/>
      <c r="CU166" s="228" t="n"/>
      <c r="CV166" s="228" t="n"/>
      <c r="CW166" s="228" t="n"/>
      <c r="CX166" s="228" t="n"/>
      <c r="CY166" s="228" t="n"/>
      <c r="CZ166" s="228" t="n"/>
      <c r="DA166" s="228" t="n"/>
      <c r="DB166" s="228" t="n"/>
      <c r="DC166" s="228" t="n"/>
    </row>
    <row r="167" s="16">
      <c r="A167" s="228" t="n"/>
      <c r="B167" s="228" t="n"/>
      <c r="C167" s="228" t="n"/>
      <c r="D167" s="228" t="n"/>
      <c r="E167" s="228" t="n"/>
      <c r="F167" s="228" t="n"/>
      <c r="G167" s="228" t="n"/>
      <c r="H167" s="228" t="n"/>
      <c r="I167" s="228" t="n"/>
      <c r="J167" s="228" t="n"/>
      <c r="K167" s="228" t="n"/>
      <c r="L167" s="228" t="n"/>
      <c r="M167" s="228" t="n"/>
      <c r="N167" s="228" t="n"/>
      <c r="O167" s="228" t="n"/>
      <c r="P167" s="228" t="n"/>
      <c r="Q167" s="228" t="n"/>
      <c r="R167" s="228" t="n"/>
      <c r="S167" s="228" t="n"/>
      <c r="T167" s="228" t="n"/>
      <c r="U167" s="228" t="n"/>
      <c r="V167" s="228" t="n"/>
      <c r="W167" s="228" t="n"/>
      <c r="X167" s="228" t="n"/>
      <c r="Y167" s="228" t="n"/>
      <c r="Z167" s="228" t="n"/>
      <c r="AA167" s="228" t="n"/>
      <c r="AB167" s="228" t="n"/>
      <c r="AC167" s="228" t="n"/>
      <c r="AD167" s="228" t="n"/>
      <c r="AE167" s="228" t="n"/>
      <c r="AF167" s="228" t="n"/>
      <c r="AG167" s="228" t="n"/>
      <c r="AH167" s="228" t="n"/>
      <c r="AI167" s="228" t="n"/>
      <c r="AJ167" s="228" t="n"/>
      <c r="AK167" s="228" t="n"/>
      <c r="AL167" s="228" t="n"/>
      <c r="AM167" s="228" t="n"/>
      <c r="AN167" s="228" t="n"/>
      <c r="AO167" s="228" t="n"/>
      <c r="AP167" s="228" t="n"/>
      <c r="AQ167" s="228" t="n"/>
      <c r="AR167" s="228" t="n"/>
      <c r="AS167" s="228" t="n"/>
      <c r="AT167" s="228" t="n"/>
      <c r="AU167" s="228" t="n"/>
      <c r="AV167" s="228" t="n"/>
      <c r="AW167" s="228" t="n"/>
      <c r="AX167" s="228" t="n"/>
      <c r="AY167" s="228" t="n"/>
      <c r="AZ167" s="228" t="n"/>
      <c r="BA167" s="228" t="n"/>
      <c r="BB167" s="228" t="n"/>
      <c r="BC167" s="228" t="n"/>
      <c r="BD167" s="228" t="n"/>
      <c r="BE167" s="228" t="n"/>
      <c r="BF167" s="228" t="n"/>
      <c r="BG167" s="228" t="n"/>
      <c r="BH167" s="228" t="n"/>
      <c r="BI167" s="228" t="n"/>
      <c r="BJ167" s="228" t="n"/>
      <c r="BK167" s="228" t="n"/>
      <c r="BL167" s="228" t="n"/>
      <c r="BM167" s="228" t="n"/>
      <c r="BN167" s="228" t="n"/>
      <c r="BO167" s="228" t="n"/>
      <c r="BP167" s="228" t="n"/>
      <c r="BQ167" s="228" t="n"/>
      <c r="BR167" s="228" t="n"/>
      <c r="BS167" s="228" t="n"/>
      <c r="BT167" s="228" t="n"/>
      <c r="BU167" s="228" t="n"/>
      <c r="BV167" s="228" t="n"/>
      <c r="BW167" s="228" t="n"/>
      <c r="BX167" s="228" t="n"/>
      <c r="BY167" s="228" t="n"/>
      <c r="BZ167" s="228" t="n"/>
      <c r="CA167" s="228" t="n"/>
      <c r="CB167" s="228" t="n"/>
      <c r="CC167" s="228" t="n"/>
      <c r="CD167" s="228" t="n"/>
      <c r="CE167" s="228" t="n"/>
      <c r="CF167" s="228" t="n"/>
      <c r="CG167" s="228" t="n"/>
      <c r="CH167" s="228" t="n"/>
      <c r="CI167" s="228" t="n"/>
      <c r="CJ167" s="228" t="n"/>
      <c r="CK167" s="228" t="n"/>
      <c r="CL167" s="228" t="n"/>
      <c r="CM167" s="228" t="n"/>
      <c r="CN167" s="228" t="n"/>
      <c r="CO167" s="228" t="n"/>
      <c r="CP167" s="228" t="n"/>
      <c r="CQ167" s="228" t="n"/>
      <c r="CR167" s="228" t="n"/>
      <c r="CS167" s="228" t="n"/>
      <c r="CT167" s="228" t="n"/>
      <c r="CU167" s="228" t="n"/>
      <c r="CV167" s="228" t="n"/>
      <c r="CW167" s="228" t="n"/>
      <c r="CX167" s="228" t="n"/>
      <c r="CY167" s="228" t="n"/>
      <c r="CZ167" s="228" t="n"/>
      <c r="DA167" s="228" t="n"/>
      <c r="DB167" s="228" t="n"/>
      <c r="DC167" s="228" t="n"/>
    </row>
    <row r="168" s="16">
      <c r="A168" s="228" t="n"/>
      <c r="B168" s="228" t="n"/>
      <c r="C168" s="228" t="n"/>
      <c r="D168" s="228" t="n"/>
      <c r="E168" s="228" t="n"/>
      <c r="F168" s="228" t="n"/>
      <c r="G168" s="228" t="n"/>
      <c r="H168" s="228" t="n"/>
      <c r="I168" s="228" t="n"/>
      <c r="J168" s="228" t="n"/>
      <c r="K168" s="228" t="n"/>
      <c r="L168" s="228" t="n"/>
      <c r="M168" s="228" t="n"/>
      <c r="N168" s="228" t="n"/>
      <c r="O168" s="228" t="n"/>
      <c r="P168" s="228" t="n"/>
      <c r="Q168" s="228" t="n"/>
      <c r="R168" s="228" t="n"/>
      <c r="S168" s="228" t="n"/>
      <c r="T168" s="228" t="n"/>
      <c r="U168" s="228" t="n"/>
      <c r="V168" s="228" t="n"/>
      <c r="W168" s="228" t="n"/>
      <c r="X168" s="228" t="n"/>
      <c r="Y168" s="228" t="n"/>
      <c r="Z168" s="228" t="n"/>
      <c r="AA168" s="228" t="n"/>
      <c r="AB168" s="228" t="n"/>
      <c r="AC168" s="228" t="n"/>
      <c r="AD168" s="228" t="n"/>
      <c r="AE168" s="228" t="n"/>
      <c r="AF168" s="228" t="n"/>
      <c r="AG168" s="228" t="n"/>
      <c r="AH168" s="228" t="n"/>
      <c r="AI168" s="228" t="n"/>
      <c r="AJ168" s="228" t="n"/>
      <c r="AK168" s="228" t="n"/>
      <c r="AL168" s="228" t="n"/>
      <c r="AM168" s="228" t="n"/>
      <c r="AN168" s="228" t="n"/>
      <c r="AO168" s="228" t="n"/>
      <c r="AP168" s="228" t="n"/>
      <c r="AQ168" s="228" t="n"/>
      <c r="AR168" s="228" t="n"/>
      <c r="AS168" s="228" t="n"/>
      <c r="AT168" s="228" t="n"/>
      <c r="AU168" s="228" t="n"/>
      <c r="AV168" s="228" t="n"/>
      <c r="AW168" s="228" t="n"/>
      <c r="AX168" s="228" t="n"/>
      <c r="AY168" s="228" t="n"/>
      <c r="AZ168" s="228" t="n"/>
      <c r="BA168" s="228" t="n"/>
      <c r="BB168" s="228" t="n"/>
      <c r="BC168" s="228" t="n"/>
      <c r="BD168" s="228" t="n"/>
      <c r="BE168" s="228" t="n"/>
      <c r="BF168" s="228" t="n"/>
      <c r="BG168" s="228" t="n"/>
      <c r="BH168" s="228" t="n"/>
      <c r="BI168" s="228" t="n"/>
      <c r="BJ168" s="228" t="n"/>
      <c r="BK168" s="228" t="n"/>
      <c r="BL168" s="228" t="n"/>
      <c r="BM168" s="228" t="n"/>
      <c r="BN168" s="228" t="n"/>
      <c r="BO168" s="228" t="n"/>
      <c r="BP168" s="228" t="n"/>
      <c r="BQ168" s="228" t="n"/>
      <c r="BR168" s="228" t="n"/>
      <c r="BS168" s="228" t="n"/>
      <c r="BT168" s="228" t="n"/>
      <c r="BU168" s="228" t="n"/>
      <c r="BV168" s="228" t="n"/>
      <c r="BW168" s="228" t="n"/>
      <c r="BX168" s="228" t="n"/>
      <c r="BY168" s="228" t="n"/>
      <c r="BZ168" s="228" t="n"/>
      <c r="CA168" s="228" t="n"/>
      <c r="CB168" s="228" t="n"/>
      <c r="CC168" s="228" t="n"/>
      <c r="CD168" s="228" t="n"/>
      <c r="CE168" s="228" t="n"/>
      <c r="CF168" s="228" t="n"/>
      <c r="CG168" s="228" t="n"/>
      <c r="CH168" s="228" t="n"/>
      <c r="CI168" s="228" t="n"/>
      <c r="CJ168" s="228" t="n"/>
      <c r="CK168" s="228" t="n"/>
      <c r="CL168" s="228" t="n"/>
      <c r="CM168" s="228" t="n"/>
      <c r="CN168" s="228" t="n"/>
      <c r="CO168" s="228" t="n"/>
      <c r="CP168" s="228" t="n"/>
      <c r="CQ168" s="228" t="n"/>
      <c r="CR168" s="228" t="n"/>
      <c r="CS168" s="228" t="n"/>
      <c r="CT168" s="228" t="n"/>
      <c r="CU168" s="228" t="n"/>
      <c r="CV168" s="228" t="n"/>
      <c r="CW168" s="228" t="n"/>
      <c r="CX168" s="228" t="n"/>
      <c r="CY168" s="228" t="n"/>
      <c r="CZ168" s="228" t="n"/>
      <c r="DA168" s="228" t="n"/>
      <c r="DB168" s="228" t="n"/>
      <c r="DC168" s="228" t="n"/>
    </row>
    <row r="169" s="16">
      <c r="A169" s="228" t="n"/>
      <c r="B169" s="228" t="n"/>
      <c r="C169" s="228" t="n"/>
      <c r="D169" s="228" t="n"/>
      <c r="E169" s="228" t="n"/>
      <c r="F169" s="228" t="n"/>
      <c r="G169" s="228" t="n"/>
      <c r="H169" s="228" t="n"/>
      <c r="I169" s="228" t="n"/>
      <c r="J169" s="228" t="n"/>
      <c r="K169" s="228" t="n"/>
      <c r="L169" s="228" t="n"/>
      <c r="M169" s="228" t="n"/>
      <c r="N169" s="228" t="n"/>
      <c r="O169" s="228" t="n"/>
      <c r="P169" s="228" t="n"/>
      <c r="Q169" s="228" t="n"/>
      <c r="R169" s="228" t="n"/>
      <c r="S169" s="228" t="n"/>
      <c r="T169" s="228" t="n"/>
      <c r="U169" s="228" t="n"/>
      <c r="V169" s="228" t="n"/>
      <c r="W169" s="228" t="n"/>
      <c r="X169" s="228" t="n"/>
      <c r="Y169" s="228" t="n"/>
      <c r="Z169" s="228" t="n"/>
      <c r="AA169" s="228" t="n"/>
      <c r="AB169" s="228" t="n"/>
      <c r="AC169" s="228" t="n"/>
      <c r="AD169" s="228" t="n"/>
      <c r="AE169" s="228" t="n"/>
      <c r="AF169" s="228" t="n"/>
      <c r="AG169" s="228" t="n"/>
      <c r="AH169" s="228" t="n"/>
      <c r="AI169" s="228" t="n"/>
      <c r="AJ169" s="228" t="n"/>
      <c r="AK169" s="228" t="n"/>
      <c r="AL169" s="228" t="n"/>
      <c r="AM169" s="228" t="n"/>
      <c r="AN169" s="228" t="n"/>
      <c r="AO169" s="228" t="n"/>
      <c r="AP169" s="228" t="n"/>
      <c r="AQ169" s="228" t="n"/>
      <c r="AR169" s="228" t="n"/>
      <c r="AS169" s="228" t="n"/>
      <c r="AT169" s="228" t="n"/>
      <c r="AU169" s="228" t="n"/>
      <c r="AV169" s="228" t="n"/>
      <c r="AW169" s="228" t="n"/>
      <c r="AX169" s="228" t="n"/>
      <c r="AY169" s="228" t="n"/>
      <c r="AZ169" s="228" t="n"/>
      <c r="BA169" s="228" t="n"/>
      <c r="BB169" s="228" t="n"/>
      <c r="BC169" s="228" t="n"/>
      <c r="BD169" s="228" t="n"/>
      <c r="BE169" s="228" t="n"/>
      <c r="BF169" s="228" t="n"/>
      <c r="BG169" s="228" t="n"/>
      <c r="BH169" s="228" t="n"/>
      <c r="BI169" s="228" t="n"/>
      <c r="BJ169" s="228" t="n"/>
      <c r="BK169" s="228" t="n"/>
      <c r="BL169" s="228" t="n"/>
      <c r="BM169" s="228" t="n"/>
      <c r="BN169" s="228" t="n"/>
      <c r="BO169" s="228" t="n"/>
      <c r="BP169" s="228" t="n"/>
      <c r="BQ169" s="228" t="n"/>
      <c r="BR169" s="228" t="n"/>
      <c r="BS169" s="228" t="n"/>
      <c r="BT169" s="228" t="n"/>
      <c r="BU169" s="228" t="n"/>
      <c r="BV169" s="228" t="n"/>
      <c r="BW169" s="228" t="n"/>
      <c r="BX169" s="228" t="n"/>
      <c r="BY169" s="228" t="n"/>
      <c r="BZ169" s="228" t="n"/>
      <c r="CA169" s="228" t="n"/>
      <c r="CB169" s="228" t="n"/>
      <c r="CC169" s="228" t="n"/>
      <c r="CD169" s="228" t="n"/>
      <c r="CE169" s="228" t="n"/>
      <c r="CF169" s="228" t="n"/>
      <c r="CG169" s="228" t="n"/>
      <c r="CH169" s="228" t="n"/>
      <c r="CI169" s="228" t="n"/>
      <c r="CJ169" s="228" t="n"/>
      <c r="CK169" s="228" t="n"/>
      <c r="CL169" s="228" t="n"/>
      <c r="CM169" s="228" t="n"/>
      <c r="CN169" s="228" t="n"/>
      <c r="CO169" s="228" t="n"/>
      <c r="CP169" s="228" t="n"/>
      <c r="CQ169" s="228" t="n"/>
      <c r="CR169" s="228" t="n"/>
      <c r="CS169" s="228" t="n"/>
      <c r="CT169" s="228" t="n"/>
      <c r="CU169" s="228" t="n"/>
      <c r="CV169" s="228" t="n"/>
      <c r="CW169" s="228" t="n"/>
      <c r="CX169" s="228" t="n"/>
      <c r="CY169" s="228" t="n"/>
      <c r="CZ169" s="228" t="n"/>
      <c r="DA169" s="228" t="n"/>
      <c r="DB169" s="228" t="n"/>
      <c r="DC169" s="228" t="n"/>
    </row>
    <row r="170" s="16">
      <c r="A170" s="228" t="n"/>
      <c r="B170" s="228" t="n"/>
      <c r="C170" s="228" t="n"/>
      <c r="D170" s="228" t="n"/>
      <c r="E170" s="228" t="n"/>
      <c r="F170" s="228" t="n"/>
      <c r="G170" s="228" t="n"/>
      <c r="H170" s="228" t="n"/>
      <c r="I170" s="228" t="n"/>
      <c r="J170" s="228" t="n"/>
      <c r="K170" s="228" t="n"/>
      <c r="L170" s="228" t="n"/>
      <c r="M170" s="228" t="n"/>
      <c r="N170" s="228" t="n"/>
      <c r="O170" s="228" t="n"/>
      <c r="P170" s="228" t="n"/>
      <c r="Q170" s="228" t="n"/>
      <c r="R170" s="228" t="n"/>
      <c r="S170" s="228" t="n"/>
      <c r="T170" s="228" t="n"/>
      <c r="U170" s="228" t="n"/>
      <c r="V170" s="228" t="n"/>
      <c r="W170" s="228" t="n"/>
      <c r="X170" s="228" t="n"/>
      <c r="Y170" s="228" t="n"/>
      <c r="Z170" s="228" t="n"/>
      <c r="AA170" s="228" t="n"/>
      <c r="AB170" s="228" t="n"/>
      <c r="AC170" s="228" t="n"/>
      <c r="AD170" s="228" t="n"/>
      <c r="AE170" s="228" t="n"/>
      <c r="AF170" s="228" t="n"/>
      <c r="AG170" s="228" t="n"/>
      <c r="AH170" s="228" t="n"/>
      <c r="AI170" s="228" t="n"/>
      <c r="AJ170" s="228" t="n"/>
      <c r="AK170" s="228" t="n"/>
      <c r="AL170" s="228" t="n"/>
      <c r="AM170" s="228" t="n"/>
      <c r="AN170" s="228" t="n"/>
      <c r="AO170" s="228" t="n"/>
      <c r="AP170" s="228" t="n"/>
      <c r="AQ170" s="228" t="n"/>
      <c r="AR170" s="228" t="n"/>
      <c r="AS170" s="228" t="n"/>
      <c r="AT170" s="228" t="n"/>
      <c r="AU170" s="228" t="n"/>
      <c r="AV170" s="228" t="n"/>
      <c r="AW170" s="228" t="n"/>
      <c r="AX170" s="228" t="n"/>
      <c r="AY170" s="228" t="n"/>
      <c r="AZ170" s="228" t="n"/>
      <c r="BA170" s="228" t="n"/>
      <c r="BB170" s="228" t="n"/>
      <c r="BC170" s="228" t="n"/>
      <c r="BD170" s="228" t="n"/>
      <c r="BE170" s="228" t="n"/>
      <c r="BF170" s="228" t="n"/>
      <c r="BG170" s="228" t="n"/>
      <c r="BH170" s="228" t="n"/>
      <c r="BI170" s="228" t="n"/>
      <c r="BJ170" s="228" t="n"/>
      <c r="BK170" s="228" t="n"/>
      <c r="BL170" s="228" t="n"/>
      <c r="BM170" s="228" t="n"/>
      <c r="BN170" s="228" t="n"/>
      <c r="BO170" s="228" t="n"/>
      <c r="BP170" s="228" t="n"/>
      <c r="BQ170" s="228" t="n"/>
      <c r="BR170" s="228" t="n"/>
      <c r="BS170" s="228" t="n"/>
      <c r="BT170" s="228" t="n"/>
      <c r="BU170" s="228" t="n"/>
      <c r="BV170" s="228" t="n"/>
      <c r="BW170" s="228" t="n"/>
      <c r="BX170" s="228" t="n"/>
      <c r="BY170" s="228" t="n"/>
      <c r="BZ170" s="228" t="n"/>
      <c r="CA170" s="228" t="n"/>
      <c r="CB170" s="228" t="n"/>
      <c r="CC170" s="228" t="n"/>
      <c r="CD170" s="228" t="n"/>
      <c r="CE170" s="228" t="n"/>
      <c r="CF170" s="228" t="n"/>
      <c r="CG170" s="228" t="n"/>
      <c r="CH170" s="228" t="n"/>
      <c r="CI170" s="228" t="n"/>
      <c r="CJ170" s="228" t="n"/>
      <c r="CK170" s="228" t="n"/>
      <c r="CL170" s="228" t="n"/>
      <c r="CM170" s="228" t="n"/>
      <c r="CN170" s="228" t="n"/>
      <c r="CO170" s="228" t="n"/>
      <c r="CP170" s="228" t="n"/>
      <c r="CQ170" s="228" t="n"/>
      <c r="CR170" s="228" t="n"/>
      <c r="CS170" s="228" t="n"/>
      <c r="CT170" s="228" t="n"/>
      <c r="CU170" s="228" t="n"/>
      <c r="CV170" s="228" t="n"/>
      <c r="CW170" s="228" t="n"/>
      <c r="CX170" s="228" t="n"/>
      <c r="CY170" s="228" t="n"/>
      <c r="CZ170" s="228" t="n"/>
      <c r="DA170" s="228" t="n"/>
      <c r="DB170" s="228" t="n"/>
      <c r="DC170" s="228" t="n"/>
    </row>
    <row r="171" s="16">
      <c r="A171" s="228" t="n"/>
      <c r="B171" s="228" t="n"/>
      <c r="C171" s="228" t="n"/>
      <c r="D171" s="228" t="n"/>
      <c r="E171" s="228" t="n"/>
      <c r="F171" s="228" t="n"/>
      <c r="G171" s="228" t="n"/>
      <c r="H171" s="228" t="n"/>
      <c r="I171" s="228" t="n"/>
      <c r="J171" s="228" t="n"/>
      <c r="K171" s="228" t="n"/>
      <c r="L171" s="228" t="n"/>
      <c r="M171" s="228" t="n"/>
      <c r="N171" s="228" t="n"/>
      <c r="O171" s="228" t="n"/>
      <c r="P171" s="228" t="n"/>
      <c r="Q171" s="228" t="n"/>
      <c r="R171" s="228" t="n"/>
      <c r="S171" s="228" t="n"/>
      <c r="T171" s="228" t="n"/>
      <c r="U171" s="228" t="n"/>
      <c r="V171" s="228" t="n"/>
      <c r="W171" s="228" t="n"/>
      <c r="X171" s="228" t="n"/>
      <c r="Y171" s="228" t="n"/>
      <c r="Z171" s="228" t="n"/>
      <c r="AA171" s="228" t="n"/>
      <c r="AB171" s="228" t="n"/>
      <c r="AC171" s="228" t="n"/>
      <c r="AD171" s="228" t="n"/>
      <c r="AE171" s="228" t="n"/>
      <c r="AF171" s="228" t="n"/>
      <c r="AG171" s="228" t="n"/>
      <c r="AH171" s="228" t="n"/>
      <c r="AI171" s="228" t="n"/>
      <c r="AJ171" s="228" t="n"/>
      <c r="AK171" s="228" t="n"/>
      <c r="AL171" s="228" t="n"/>
      <c r="AM171" s="228" t="n"/>
      <c r="AN171" s="228" t="n"/>
      <c r="AO171" s="228" t="n"/>
      <c r="AP171" s="228" t="n"/>
      <c r="AQ171" s="228" t="n"/>
      <c r="AR171" s="228" t="n"/>
      <c r="AS171" s="228" t="n"/>
      <c r="AT171" s="228" t="n"/>
      <c r="AU171" s="228" t="n"/>
      <c r="AV171" s="228" t="n"/>
      <c r="AW171" s="228" t="n"/>
      <c r="AX171" s="228" t="n"/>
      <c r="AY171" s="228" t="n"/>
      <c r="AZ171" s="228" t="n"/>
      <c r="BA171" s="228" t="n"/>
      <c r="BB171" s="228" t="n"/>
      <c r="BC171" s="228" t="n"/>
      <c r="BD171" s="228" t="n"/>
      <c r="BE171" s="228" t="n"/>
      <c r="BF171" s="228" t="n"/>
      <c r="BG171" s="228" t="n"/>
      <c r="BH171" s="228" t="n"/>
      <c r="BI171" s="228" t="n"/>
      <c r="BJ171" s="228" t="n"/>
      <c r="BK171" s="228" t="n"/>
      <c r="BL171" s="228" t="n"/>
      <c r="BM171" s="228" t="n"/>
      <c r="BN171" s="228" t="n"/>
      <c r="BO171" s="228" t="n"/>
      <c r="BP171" s="228" t="n"/>
      <c r="BQ171" s="228" t="n"/>
      <c r="BR171" s="228" t="n"/>
      <c r="BS171" s="228" t="n"/>
      <c r="BT171" s="228" t="n"/>
      <c r="BU171" s="228" t="n"/>
      <c r="BV171" s="228" t="n"/>
      <c r="BW171" s="228" t="n"/>
      <c r="BX171" s="228" t="n"/>
      <c r="BY171" s="228" t="n"/>
      <c r="BZ171" s="228" t="n"/>
      <c r="CA171" s="228" t="n"/>
      <c r="CB171" s="228" t="n"/>
      <c r="CC171" s="228" t="n"/>
      <c r="CD171" s="228" t="n"/>
      <c r="CE171" s="228" t="n"/>
      <c r="CF171" s="228" t="n"/>
      <c r="CG171" s="228" t="n"/>
      <c r="CH171" s="228" t="n"/>
      <c r="CI171" s="228" t="n"/>
      <c r="CJ171" s="228" t="n"/>
      <c r="CK171" s="228" t="n"/>
      <c r="CL171" s="228" t="n"/>
      <c r="CM171" s="228" t="n"/>
      <c r="CN171" s="228" t="n"/>
      <c r="CO171" s="228" t="n"/>
      <c r="CP171" s="228" t="n"/>
      <c r="CQ171" s="228" t="n"/>
      <c r="CR171" s="228" t="n"/>
      <c r="CS171" s="228" t="n"/>
      <c r="CT171" s="228" t="n"/>
      <c r="CU171" s="228" t="n"/>
      <c r="CV171" s="228" t="n"/>
      <c r="CW171" s="228" t="n"/>
      <c r="CX171" s="228" t="n"/>
      <c r="CY171" s="228" t="n"/>
      <c r="CZ171" s="228" t="n"/>
      <c r="DA171" s="228" t="n"/>
      <c r="DB171" s="228" t="n"/>
      <c r="DC171" s="228" t="n"/>
    </row>
    <row r="172" s="16">
      <c r="A172" s="228" t="n"/>
      <c r="B172" s="228" t="n"/>
      <c r="C172" s="228" t="n"/>
      <c r="D172" s="228" t="n"/>
      <c r="E172" s="228" t="n"/>
      <c r="F172" s="228" t="n"/>
      <c r="G172" s="228" t="n"/>
      <c r="H172" s="228" t="n"/>
      <c r="I172" s="228" t="n"/>
      <c r="J172" s="228" t="n"/>
      <c r="K172" s="228" t="n"/>
      <c r="L172" s="228" t="n"/>
      <c r="M172" s="228" t="n"/>
      <c r="N172" s="228" t="n"/>
      <c r="O172" s="228" t="n"/>
      <c r="P172" s="228" t="n"/>
      <c r="Q172" s="228" t="n"/>
      <c r="R172" s="228" t="n"/>
      <c r="S172" s="228" t="n"/>
      <c r="T172" s="228" t="n"/>
      <c r="U172" s="228" t="n"/>
      <c r="V172" s="228" t="n"/>
      <c r="W172" s="228" t="n"/>
      <c r="X172" s="228" t="n"/>
      <c r="Y172" s="228" t="n"/>
      <c r="Z172" s="228" t="n"/>
      <c r="AA172" s="228" t="n"/>
      <c r="AB172" s="228" t="n"/>
      <c r="AC172" s="228" t="n"/>
      <c r="AD172" s="228" t="n"/>
      <c r="AE172" s="228" t="n"/>
      <c r="AF172" s="228" t="n"/>
      <c r="AG172" s="228" t="n"/>
      <c r="AH172" s="228" t="n"/>
      <c r="AI172" s="228" t="n"/>
      <c r="AJ172" s="228" t="n"/>
      <c r="AK172" s="228" t="n"/>
      <c r="AL172" s="228" t="n"/>
      <c r="AM172" s="228" t="n"/>
      <c r="AN172" s="228" t="n"/>
      <c r="AO172" s="228" t="n"/>
      <c r="AP172" s="228" t="n"/>
      <c r="AQ172" s="228" t="n"/>
      <c r="AR172" s="228" t="n"/>
      <c r="AS172" s="228" t="n"/>
      <c r="AT172" s="228" t="n"/>
      <c r="AU172" s="228" t="n"/>
      <c r="AV172" s="228" t="n"/>
      <c r="AW172" s="228" t="n"/>
      <c r="AX172" s="228" t="n"/>
      <c r="AY172" s="228" t="n"/>
      <c r="AZ172" s="228" t="n"/>
      <c r="BA172" s="228" t="n"/>
      <c r="BB172" s="228" t="n"/>
      <c r="BC172" s="228" t="n"/>
      <c r="BD172" s="228" t="n"/>
      <c r="BE172" s="228" t="n"/>
      <c r="BF172" s="228" t="n"/>
      <c r="BG172" s="228" t="n"/>
      <c r="BH172" s="228" t="n"/>
      <c r="BI172" s="228" t="n"/>
      <c r="BJ172" s="228" t="n"/>
      <c r="BK172" s="228" t="n"/>
      <c r="BL172" s="228" t="n"/>
      <c r="BM172" s="228" t="n"/>
      <c r="BN172" s="228" t="n"/>
      <c r="BO172" s="228" t="n"/>
      <c r="BP172" s="228" t="n"/>
      <c r="BQ172" s="228" t="n"/>
      <c r="BR172" s="228" t="n"/>
      <c r="BS172" s="228" t="n"/>
      <c r="BT172" s="228" t="n"/>
      <c r="BU172" s="228" t="n"/>
      <c r="BV172" s="228" t="n"/>
      <c r="BW172" s="228" t="n"/>
      <c r="BX172" s="228" t="n"/>
      <c r="BY172" s="228" t="n"/>
      <c r="BZ172" s="228" t="n"/>
      <c r="CA172" s="228" t="n"/>
      <c r="CB172" s="228" t="n"/>
      <c r="CC172" s="228" t="n"/>
      <c r="CD172" s="228" t="n"/>
      <c r="CE172" s="228" t="n"/>
      <c r="CF172" s="228" t="n"/>
      <c r="CG172" s="228" t="n"/>
      <c r="CH172" s="228" t="n"/>
      <c r="CI172" s="228" t="n"/>
      <c r="CJ172" s="228" t="n"/>
      <c r="CK172" s="228" t="n"/>
      <c r="CL172" s="228" t="n"/>
      <c r="CM172" s="228" t="n"/>
      <c r="CN172" s="228" t="n"/>
      <c r="CO172" s="228" t="n"/>
      <c r="CP172" s="228" t="n"/>
      <c r="CQ172" s="228" t="n"/>
      <c r="CR172" s="228" t="n"/>
      <c r="CS172" s="228" t="n"/>
      <c r="CT172" s="228" t="n"/>
      <c r="CU172" s="228" t="n"/>
      <c r="CV172" s="228" t="n"/>
      <c r="CW172" s="228" t="n"/>
      <c r="CX172" s="228" t="n"/>
      <c r="CY172" s="228" t="n"/>
      <c r="CZ172" s="228" t="n"/>
      <c r="DA172" s="228" t="n"/>
      <c r="DB172" s="228" t="n"/>
      <c r="DC172" s="228" t="n"/>
    </row>
    <row r="173" s="16">
      <c r="A173" s="228" t="n"/>
      <c r="B173" s="228" t="n"/>
      <c r="C173" s="228" t="n"/>
      <c r="D173" s="228" t="n"/>
      <c r="E173" s="228" t="n"/>
      <c r="F173" s="228" t="n"/>
      <c r="G173" s="228" t="n"/>
      <c r="H173" s="228" t="n"/>
      <c r="I173" s="228" t="n"/>
      <c r="J173" s="228" t="n"/>
      <c r="K173" s="228" t="n"/>
      <c r="L173" s="228" t="n"/>
      <c r="M173" s="228" t="n"/>
      <c r="N173" s="228" t="n"/>
      <c r="O173" s="228" t="n"/>
      <c r="P173" s="228" t="n"/>
      <c r="Q173" s="228" t="n"/>
      <c r="R173" s="228" t="n"/>
      <c r="S173" s="228" t="n"/>
      <c r="T173" s="228" t="n"/>
      <c r="U173" s="228" t="n"/>
      <c r="V173" s="228" t="n"/>
      <c r="W173" s="228" t="n"/>
      <c r="X173" s="228" t="n"/>
      <c r="Y173" s="228" t="n"/>
      <c r="Z173" s="228" t="n"/>
      <c r="AA173" s="228" t="n"/>
      <c r="AB173" s="228" t="n"/>
      <c r="AC173" s="228" t="n"/>
      <c r="AD173" s="228" t="n"/>
      <c r="AE173" s="228" t="n"/>
      <c r="AF173" s="228" t="n"/>
      <c r="AG173" s="228" t="n"/>
      <c r="AH173" s="228" t="n"/>
      <c r="AI173" s="228" t="n"/>
      <c r="AJ173" s="228" t="n"/>
      <c r="AK173" s="228" t="n"/>
      <c r="AL173" s="228" t="n"/>
      <c r="AM173" s="228" t="n"/>
      <c r="AN173" s="228" t="n"/>
      <c r="AO173" s="228" t="n"/>
      <c r="AP173" s="228" t="n"/>
      <c r="AQ173" s="228" t="n"/>
      <c r="AR173" s="228" t="n"/>
      <c r="AS173" s="228" t="n"/>
      <c r="AT173" s="228" t="n"/>
      <c r="AU173" s="228" t="n"/>
      <c r="AV173" s="228" t="n"/>
      <c r="AW173" s="228" t="n"/>
      <c r="AX173" s="228" t="n"/>
      <c r="AY173" s="228" t="n"/>
      <c r="AZ173" s="228" t="n"/>
      <c r="BA173" s="228" t="n"/>
      <c r="BB173" s="228" t="n"/>
      <c r="BC173" s="228" t="n"/>
      <c r="BD173" s="228" t="n"/>
      <c r="BE173" s="228" t="n"/>
      <c r="BF173" s="228" t="n"/>
      <c r="BG173" s="228" t="n"/>
      <c r="BH173" s="228" t="n"/>
      <c r="BI173" s="228" t="n"/>
      <c r="BJ173" s="228" t="n"/>
      <c r="BK173" s="228" t="n"/>
      <c r="BL173" s="228" t="n"/>
      <c r="BM173" s="228" t="n"/>
      <c r="BN173" s="228" t="n"/>
      <c r="BO173" s="228" t="n"/>
      <c r="BP173" s="228" t="n"/>
      <c r="BQ173" s="228" t="n"/>
      <c r="BR173" s="228" t="n"/>
      <c r="BS173" s="228" t="n"/>
      <c r="BT173" s="228" t="n"/>
      <c r="BU173" s="228" t="n"/>
      <c r="BV173" s="228" t="n"/>
      <c r="BW173" s="228" t="n"/>
      <c r="BX173" s="228" t="n"/>
      <c r="BY173" s="228" t="n"/>
      <c r="BZ173" s="228" t="n"/>
      <c r="CA173" s="228" t="n"/>
      <c r="CB173" s="228" t="n"/>
      <c r="CC173" s="228" t="n"/>
      <c r="CD173" s="228" t="n"/>
      <c r="CE173" s="228" t="n"/>
      <c r="CF173" s="228" t="n"/>
      <c r="CG173" s="228" t="n"/>
      <c r="CH173" s="228" t="n"/>
      <c r="CI173" s="228" t="n"/>
      <c r="CJ173" s="228" t="n"/>
      <c r="CK173" s="228" t="n"/>
      <c r="CL173" s="228" t="n"/>
      <c r="CM173" s="228" t="n"/>
      <c r="CN173" s="228" t="n"/>
      <c r="CO173" s="228" t="n"/>
      <c r="CP173" s="228" t="n"/>
      <c r="CQ173" s="228" t="n"/>
      <c r="CR173" s="228" t="n"/>
      <c r="CS173" s="228" t="n"/>
      <c r="CT173" s="228" t="n"/>
      <c r="CU173" s="228" t="n"/>
      <c r="CV173" s="228" t="n"/>
      <c r="CW173" s="228" t="n"/>
      <c r="CX173" s="228" t="n"/>
      <c r="CY173" s="228" t="n"/>
      <c r="CZ173" s="228" t="n"/>
      <c r="DA173" s="228" t="n"/>
      <c r="DB173" s="228" t="n"/>
      <c r="DC173" s="228" t="n"/>
    </row>
    <row r="174" s="16">
      <c r="A174" s="228" t="n"/>
      <c r="B174" s="228" t="n"/>
      <c r="C174" s="228" t="n"/>
      <c r="D174" s="228" t="n"/>
      <c r="E174" s="228" t="n"/>
      <c r="F174" s="228" t="n"/>
      <c r="G174" s="228" t="n"/>
      <c r="H174" s="228" t="n"/>
      <c r="I174" s="228" t="n"/>
      <c r="J174" s="228" t="n"/>
      <c r="K174" s="228" t="n"/>
      <c r="L174" s="228" t="n"/>
      <c r="M174" s="228" t="n"/>
      <c r="N174" s="228" t="n"/>
      <c r="O174" s="228" t="n"/>
      <c r="P174" s="228" t="n"/>
      <c r="Q174" s="228" t="n"/>
      <c r="R174" s="228" t="n"/>
      <c r="S174" s="228" t="n"/>
      <c r="T174" s="228" t="n"/>
      <c r="U174" s="228" t="n"/>
      <c r="V174" s="228" t="n"/>
      <c r="W174" s="228" t="n"/>
      <c r="X174" s="228" t="n"/>
      <c r="Y174" s="228" t="n"/>
      <c r="Z174" s="228" t="n"/>
      <c r="AA174" s="228" t="n"/>
      <c r="AB174" s="228" t="n"/>
      <c r="AC174" s="228" t="n"/>
      <c r="AD174" s="228" t="n"/>
      <c r="AE174" s="228" t="n"/>
      <c r="AF174" s="228" t="n"/>
      <c r="AG174" s="228" t="n"/>
      <c r="AH174" s="228" t="n"/>
      <c r="AI174" s="228" t="n"/>
      <c r="AJ174" s="228" t="n"/>
      <c r="AK174" s="228" t="n"/>
      <c r="AL174" s="228" t="n"/>
      <c r="AM174" s="228" t="n"/>
      <c r="AN174" s="228" t="n"/>
      <c r="AO174" s="228" t="n"/>
      <c r="AP174" s="228" t="n"/>
      <c r="AQ174" s="228" t="n"/>
      <c r="AR174" s="228" t="n"/>
      <c r="AS174" s="228" t="n"/>
      <c r="AT174" s="228" t="n"/>
      <c r="AU174" s="228" t="n"/>
      <c r="AV174" s="228" t="n"/>
      <c r="AW174" s="228" t="n"/>
      <c r="AX174" s="228" t="n"/>
      <c r="AY174" s="228" t="n"/>
      <c r="AZ174" s="228" t="n"/>
      <c r="BA174" s="228" t="n"/>
      <c r="BB174" s="228" t="n"/>
      <c r="BC174" s="228" t="n"/>
      <c r="BD174" s="228" t="n"/>
      <c r="BE174" s="228" t="n"/>
      <c r="BF174" s="228" t="n"/>
      <c r="BG174" s="228" t="n"/>
      <c r="BH174" s="228" t="n"/>
      <c r="BI174" s="228" t="n"/>
      <c r="BJ174" s="228" t="n"/>
      <c r="BK174" s="228" t="n"/>
      <c r="BL174" s="228" t="n"/>
      <c r="BM174" s="228" t="n"/>
      <c r="BN174" s="228" t="n"/>
      <c r="BO174" s="228" t="n"/>
      <c r="BP174" s="228" t="n"/>
      <c r="BQ174" s="228" t="n"/>
      <c r="BR174" s="228" t="n"/>
      <c r="BS174" s="228" t="n"/>
      <c r="BT174" s="228" t="n"/>
      <c r="BU174" s="228" t="n"/>
      <c r="BV174" s="228" t="n"/>
      <c r="BW174" s="228" t="n"/>
      <c r="BX174" s="228" t="n"/>
      <c r="BY174" s="228" t="n"/>
      <c r="BZ174" s="228" t="n"/>
      <c r="CA174" s="228" t="n"/>
      <c r="CB174" s="228" t="n"/>
      <c r="CC174" s="228" t="n"/>
      <c r="CD174" s="228" t="n"/>
      <c r="CE174" s="228" t="n"/>
      <c r="CF174" s="228" t="n"/>
      <c r="CG174" s="228" t="n"/>
      <c r="CH174" s="228" t="n"/>
      <c r="CI174" s="228" t="n"/>
      <c r="CJ174" s="228" t="n"/>
      <c r="CK174" s="228" t="n"/>
      <c r="CL174" s="228" t="n"/>
      <c r="CM174" s="228" t="n"/>
      <c r="CN174" s="228" t="n"/>
      <c r="CO174" s="228" t="n"/>
      <c r="CP174" s="228" t="n"/>
      <c r="CQ174" s="228" t="n"/>
      <c r="CR174" s="228" t="n"/>
      <c r="CS174" s="228" t="n"/>
      <c r="CT174" s="228" t="n"/>
      <c r="CU174" s="228" t="n"/>
      <c r="CV174" s="228" t="n"/>
      <c r="CW174" s="228" t="n"/>
      <c r="CX174" s="228" t="n"/>
      <c r="CY174" s="228" t="n"/>
      <c r="CZ174" s="228" t="n"/>
      <c r="DA174" s="228" t="n"/>
      <c r="DB174" s="228" t="n"/>
      <c r="DC174" s="228" t="n"/>
    </row>
    <row r="175" s="16">
      <c r="A175" s="228" t="n"/>
      <c r="B175" s="228" t="n"/>
      <c r="C175" s="228" t="n"/>
      <c r="D175" s="228" t="n"/>
      <c r="E175" s="228" t="n"/>
      <c r="F175" s="228" t="n"/>
      <c r="G175" s="228" t="n"/>
      <c r="H175" s="228" t="n"/>
      <c r="I175" s="228" t="n"/>
      <c r="J175" s="228" t="n"/>
      <c r="K175" s="228" t="n"/>
      <c r="L175" s="228" t="n"/>
      <c r="M175" s="228" t="n"/>
      <c r="N175" s="228" t="n"/>
      <c r="O175" s="228" t="n"/>
      <c r="P175" s="228" t="n"/>
      <c r="Q175" s="228" t="n"/>
      <c r="R175" s="228" t="n"/>
      <c r="S175" s="228" t="n"/>
      <c r="T175" s="228" t="n"/>
      <c r="U175" s="228" t="n"/>
      <c r="V175" s="228" t="n"/>
      <c r="W175" s="228" t="n"/>
      <c r="X175" s="228" t="n"/>
      <c r="Y175" s="228" t="n"/>
      <c r="Z175" s="228" t="n"/>
      <c r="AA175" s="228" t="n"/>
      <c r="AB175" s="228" t="n"/>
      <c r="AC175" s="228" t="n"/>
      <c r="AD175" s="228" t="n"/>
      <c r="AE175" s="228" t="n"/>
      <c r="AF175" s="228" t="n"/>
      <c r="AG175" s="228" t="n"/>
      <c r="AH175" s="228" t="n"/>
      <c r="AI175" s="228" t="n"/>
      <c r="AJ175" s="228" t="n"/>
      <c r="AK175" s="228" t="n"/>
      <c r="AL175" s="228" t="n"/>
      <c r="AM175" s="228" t="n"/>
      <c r="AN175" s="228" t="n"/>
      <c r="AO175" s="228" t="n"/>
      <c r="AP175" s="228" t="n"/>
      <c r="AQ175" s="228" t="n"/>
      <c r="AR175" s="228" t="n"/>
      <c r="AS175" s="228" t="n"/>
      <c r="AT175" s="228" t="n"/>
      <c r="AU175" s="228" t="n"/>
      <c r="AV175" s="228" t="n"/>
      <c r="AW175" s="228" t="n"/>
      <c r="AX175" s="228" t="n"/>
      <c r="AY175" s="228" t="n"/>
      <c r="AZ175" s="228" t="n"/>
      <c r="BA175" s="228" t="n"/>
      <c r="BB175" s="228" t="n"/>
      <c r="BC175" s="228" t="n"/>
      <c r="BD175" s="228" t="n"/>
      <c r="BE175" s="228" t="n"/>
      <c r="BF175" s="228" t="n"/>
      <c r="BG175" s="228" t="n"/>
      <c r="BH175" s="228" t="n"/>
      <c r="BI175" s="228" t="n"/>
      <c r="BJ175" s="228" t="n"/>
      <c r="BK175" s="228" t="n"/>
      <c r="BL175" s="228" t="n"/>
      <c r="BM175" s="228" t="n"/>
      <c r="BN175" s="228" t="n"/>
      <c r="BO175" s="228" t="n"/>
      <c r="BP175" s="228" t="n"/>
      <c r="BQ175" s="228" t="n"/>
      <c r="BR175" s="228" t="n"/>
      <c r="BS175" s="228" t="n"/>
      <c r="BT175" s="228" t="n"/>
      <c r="BU175" s="228" t="n"/>
      <c r="BV175" s="228" t="n"/>
      <c r="BW175" s="228" t="n"/>
      <c r="BX175" s="228" t="n"/>
      <c r="BY175" s="228" t="n"/>
      <c r="BZ175" s="228" t="n"/>
      <c r="CA175" s="228" t="n"/>
      <c r="CB175" s="228" t="n"/>
      <c r="CC175" s="228" t="n"/>
      <c r="CD175" s="228" t="n"/>
      <c r="CE175" s="228" t="n"/>
      <c r="CF175" s="228" t="n"/>
      <c r="CG175" s="228" t="n"/>
      <c r="CH175" s="228" t="n"/>
      <c r="CI175" s="228" t="n"/>
      <c r="CJ175" s="228" t="n"/>
      <c r="CK175" s="228" t="n"/>
      <c r="CL175" s="228" t="n"/>
      <c r="CM175" s="228" t="n"/>
      <c r="CN175" s="228" t="n"/>
      <c r="CO175" s="228" t="n"/>
      <c r="CP175" s="228" t="n"/>
      <c r="CQ175" s="228" t="n"/>
      <c r="CR175" s="228" t="n"/>
      <c r="CS175" s="228" t="n"/>
      <c r="CT175" s="228" t="n"/>
      <c r="CU175" s="228" t="n"/>
      <c r="CV175" s="228" t="n"/>
      <c r="CW175" s="228" t="n"/>
      <c r="CX175" s="228" t="n"/>
      <c r="CY175" s="228" t="n"/>
      <c r="CZ175" s="228" t="n"/>
      <c r="DA175" s="228" t="n"/>
      <c r="DB175" s="228" t="n"/>
      <c r="DC175" s="228" t="n"/>
    </row>
    <row r="176" s="16">
      <c r="A176" s="228" t="n"/>
      <c r="B176" s="228" t="n"/>
      <c r="C176" s="228" t="n"/>
      <c r="D176" s="228" t="n"/>
      <c r="E176" s="228" t="n"/>
      <c r="F176" s="228" t="n"/>
      <c r="G176" s="228" t="n"/>
      <c r="H176" s="228" t="n"/>
      <c r="I176" s="228" t="n"/>
      <c r="J176" s="228" t="n"/>
      <c r="K176" s="228" t="n"/>
      <c r="L176" s="228" t="n"/>
      <c r="M176" s="228" t="n"/>
      <c r="N176" s="228" t="n"/>
      <c r="O176" s="228" t="n"/>
      <c r="P176" s="228" t="n"/>
      <c r="Q176" s="228" t="n"/>
      <c r="R176" s="228" t="n"/>
      <c r="S176" s="228" t="n"/>
      <c r="T176" s="228" t="n"/>
      <c r="U176" s="228" t="n"/>
      <c r="V176" s="228" t="n"/>
      <c r="W176" s="228" t="n"/>
      <c r="X176" s="228" t="n"/>
      <c r="Y176" s="228" t="n"/>
      <c r="Z176" s="228" t="n"/>
      <c r="AA176" s="228" t="n"/>
      <c r="AB176" s="228" t="n"/>
      <c r="AC176" s="228" t="n"/>
      <c r="AD176" s="228" t="n"/>
      <c r="AE176" s="228" t="n"/>
      <c r="AF176" s="228" t="n"/>
      <c r="AG176" s="228" t="n"/>
      <c r="AH176" s="228" t="n"/>
      <c r="AI176" s="228" t="n"/>
      <c r="AJ176" s="228" t="n"/>
      <c r="AK176" s="228" t="n"/>
      <c r="AL176" s="228" t="n"/>
      <c r="AM176" s="228" t="n"/>
      <c r="AN176" s="228" t="n"/>
      <c r="AO176" s="228" t="n"/>
      <c r="AP176" s="228" t="n"/>
      <c r="AQ176" s="228" t="n"/>
      <c r="AR176" s="228" t="n"/>
      <c r="AS176" s="228" t="n"/>
      <c r="AT176" s="228" t="n"/>
      <c r="AU176" s="228" t="n"/>
      <c r="AV176" s="228" t="n"/>
      <c r="AW176" s="228" t="n"/>
      <c r="AX176" s="228" t="n"/>
      <c r="AY176" s="228" t="n"/>
      <c r="AZ176" s="228" t="n"/>
      <c r="BA176" s="228" t="n"/>
      <c r="BB176" s="228" t="n"/>
      <c r="BC176" s="228" t="n"/>
      <c r="BD176" s="228" t="n"/>
      <c r="BE176" s="228" t="n"/>
      <c r="BF176" s="228" t="n"/>
      <c r="BG176" s="228" t="n"/>
      <c r="BH176" s="228" t="n"/>
      <c r="BI176" s="228" t="n"/>
      <c r="BJ176" s="228" t="n"/>
      <c r="BK176" s="228" t="n"/>
      <c r="BL176" s="228" t="n"/>
      <c r="BM176" s="228" t="n"/>
      <c r="BN176" s="228" t="n"/>
      <c r="BO176" s="228" t="n"/>
      <c r="BP176" s="228" t="n"/>
      <c r="BQ176" s="228" t="n"/>
      <c r="BR176" s="228" t="n"/>
      <c r="BS176" s="228" t="n"/>
      <c r="BT176" s="228" t="n"/>
      <c r="BU176" s="228" t="n"/>
      <c r="BV176" s="228" t="n"/>
      <c r="BW176" s="228" t="n"/>
      <c r="BX176" s="228" t="n"/>
      <c r="BY176" s="228" t="n"/>
      <c r="BZ176" s="228" t="n"/>
      <c r="CA176" s="228" t="n"/>
      <c r="CB176" s="228" t="n"/>
      <c r="CC176" s="228" t="n"/>
      <c r="CD176" s="228" t="n"/>
      <c r="CE176" s="228" t="n"/>
      <c r="CF176" s="228" t="n"/>
      <c r="CG176" s="228" t="n"/>
      <c r="CH176" s="228" t="n"/>
      <c r="CI176" s="228" t="n"/>
      <c r="CJ176" s="228" t="n"/>
      <c r="CK176" s="228" t="n"/>
      <c r="CL176" s="228" t="n"/>
      <c r="CM176" s="228" t="n"/>
      <c r="CN176" s="228" t="n"/>
      <c r="CO176" s="228" t="n"/>
      <c r="CP176" s="228" t="n"/>
      <c r="CQ176" s="228" t="n"/>
      <c r="CR176" s="228" t="n"/>
      <c r="CS176" s="228" t="n"/>
      <c r="CT176" s="228" t="n"/>
      <c r="CU176" s="228" t="n"/>
      <c r="CV176" s="228" t="n"/>
      <c r="CW176" s="228" t="n"/>
      <c r="CX176" s="228" t="n"/>
      <c r="CY176" s="228" t="n"/>
      <c r="CZ176" s="228" t="n"/>
      <c r="DA176" s="228" t="n"/>
      <c r="DB176" s="228" t="n"/>
      <c r="DC176" s="228" t="n"/>
    </row>
    <row r="177" s="16">
      <c r="A177" s="228" t="n"/>
      <c r="B177" s="228" t="n"/>
      <c r="C177" s="228" t="n"/>
      <c r="D177" s="228" t="n"/>
      <c r="E177" s="228" t="n"/>
      <c r="F177" s="228" t="n"/>
      <c r="G177" s="228" t="n"/>
      <c r="H177" s="228" t="n"/>
      <c r="I177" s="228" t="n"/>
      <c r="J177" s="228" t="n"/>
      <c r="K177" s="228" t="n"/>
      <c r="L177" s="228" t="n"/>
      <c r="M177" s="228" t="n"/>
      <c r="N177" s="228" t="n"/>
      <c r="O177" s="228" t="n"/>
      <c r="P177" s="228" t="n"/>
      <c r="Q177" s="228" t="n"/>
      <c r="R177" s="228" t="n"/>
      <c r="S177" s="228" t="n"/>
      <c r="T177" s="228" t="n"/>
      <c r="U177" s="228" t="n"/>
      <c r="V177" s="228" t="n"/>
      <c r="W177" s="228" t="n"/>
      <c r="X177" s="228" t="n"/>
      <c r="Y177" s="228" t="n"/>
      <c r="Z177" s="228" t="n"/>
      <c r="AA177" s="228" t="n"/>
      <c r="AB177" s="228" t="n"/>
      <c r="AC177" s="228" t="n"/>
      <c r="AD177" s="228" t="n"/>
      <c r="AE177" s="228" t="n"/>
      <c r="AF177" s="228" t="n"/>
      <c r="AG177" s="228" t="n"/>
      <c r="AH177" s="228" t="n"/>
      <c r="AI177" s="228" t="n"/>
      <c r="AJ177" s="228" t="n"/>
      <c r="AK177" s="228" t="n"/>
      <c r="AL177" s="228" t="n"/>
      <c r="AM177" s="228" t="n"/>
      <c r="AN177" s="228" t="n"/>
      <c r="AO177" s="228" t="n"/>
      <c r="AP177" s="228" t="n"/>
      <c r="AQ177" s="228" t="n"/>
      <c r="AR177" s="228" t="n"/>
      <c r="AS177" s="228" t="n"/>
      <c r="AT177" s="228" t="n"/>
      <c r="AU177" s="228" t="n"/>
      <c r="AV177" s="228" t="n"/>
      <c r="AW177" s="228" t="n"/>
      <c r="AX177" s="228" t="n"/>
      <c r="AY177" s="228" t="n"/>
      <c r="AZ177" s="228" t="n"/>
      <c r="BA177" s="228" t="n"/>
      <c r="BB177" s="228" t="n"/>
      <c r="BC177" s="228" t="n"/>
      <c r="BD177" s="228" t="n"/>
      <c r="BE177" s="228" t="n"/>
      <c r="BF177" s="228" t="n"/>
      <c r="BG177" s="228" t="n"/>
      <c r="BH177" s="228" t="n"/>
      <c r="BI177" s="228" t="n"/>
      <c r="BJ177" s="228" t="n"/>
      <c r="BK177" s="228" t="n"/>
      <c r="BL177" s="228" t="n"/>
      <c r="BM177" s="228" t="n"/>
      <c r="BN177" s="228" t="n"/>
      <c r="BO177" s="228" t="n"/>
      <c r="BP177" s="228" t="n"/>
      <c r="BQ177" s="228" t="n"/>
      <c r="BR177" s="228" t="n"/>
      <c r="BS177" s="228" t="n"/>
      <c r="BT177" s="228" t="n"/>
      <c r="BU177" s="228" t="n"/>
      <c r="BV177" s="228" t="n"/>
      <c r="BW177" s="228" t="n"/>
      <c r="BX177" s="228" t="n"/>
      <c r="BY177" s="228" t="n"/>
      <c r="BZ177" s="228" t="n"/>
      <c r="CA177" s="228" t="n"/>
      <c r="CB177" s="228" t="n"/>
      <c r="CC177" s="228" t="n"/>
      <c r="CD177" s="228" t="n"/>
      <c r="CE177" s="228" t="n"/>
      <c r="CF177" s="228" t="n"/>
      <c r="CG177" s="228" t="n"/>
      <c r="CH177" s="228" t="n"/>
      <c r="CI177" s="228" t="n"/>
      <c r="CJ177" s="228" t="n"/>
      <c r="CK177" s="228" t="n"/>
      <c r="CL177" s="228" t="n"/>
      <c r="CM177" s="228" t="n"/>
      <c r="CN177" s="228" t="n"/>
      <c r="CO177" s="228" t="n"/>
      <c r="CP177" s="228" t="n"/>
      <c r="CQ177" s="228" t="n"/>
      <c r="CR177" s="228" t="n"/>
      <c r="CS177" s="228" t="n"/>
      <c r="CT177" s="228" t="n"/>
      <c r="CU177" s="228" t="n"/>
      <c r="CV177" s="228" t="n"/>
      <c r="CW177" s="228" t="n"/>
      <c r="CX177" s="228" t="n"/>
      <c r="CY177" s="228" t="n"/>
      <c r="CZ177" s="228" t="n"/>
      <c r="DA177" s="228" t="n"/>
      <c r="DB177" s="228" t="n"/>
      <c r="DC177" s="228" t="n"/>
    </row>
    <row r="178" s="16">
      <c r="A178" s="228" t="n"/>
      <c r="B178" s="228" t="n"/>
      <c r="C178" s="228" t="n"/>
      <c r="D178" s="228" t="n"/>
      <c r="E178" s="228" t="n"/>
      <c r="F178" s="228" t="n"/>
      <c r="G178" s="228" t="n"/>
      <c r="H178" s="228" t="n"/>
      <c r="I178" s="228" t="n"/>
      <c r="J178" s="228" t="n"/>
      <c r="K178" s="228" t="n"/>
      <c r="L178" s="228" t="n"/>
      <c r="M178" s="228" t="n"/>
      <c r="N178" s="228" t="n"/>
      <c r="O178" s="228" t="n"/>
      <c r="P178" s="228" t="n"/>
      <c r="Q178" s="228" t="n"/>
      <c r="R178" s="228" t="n"/>
      <c r="S178" s="228" t="n"/>
      <c r="T178" s="228" t="n"/>
      <c r="U178" s="228" t="n"/>
      <c r="V178" s="228" t="n"/>
      <c r="W178" s="228" t="n"/>
      <c r="X178" s="228" t="n"/>
      <c r="Y178" s="228" t="n"/>
      <c r="Z178" s="228" t="n"/>
      <c r="AA178" s="228" t="n"/>
      <c r="AB178" s="228" t="n"/>
      <c r="AC178" s="228" t="n"/>
      <c r="AD178" s="228" t="n"/>
      <c r="AE178" s="228" t="n"/>
      <c r="AF178" s="228" t="n"/>
      <c r="AG178" s="228" t="n"/>
      <c r="AH178" s="228" t="n"/>
      <c r="AI178" s="228" t="n"/>
      <c r="AJ178" s="228" t="n"/>
      <c r="AK178" s="228" t="n"/>
      <c r="AL178" s="228" t="n"/>
      <c r="AM178" s="228" t="n"/>
      <c r="AN178" s="228" t="n"/>
      <c r="AO178" s="228" t="n"/>
      <c r="AP178" s="228" t="n"/>
      <c r="AQ178" s="228" t="n"/>
      <c r="AR178" s="228" t="n"/>
      <c r="AS178" s="228" t="n"/>
      <c r="AT178" s="228" t="n"/>
      <c r="AU178" s="228" t="n"/>
      <c r="AV178" s="228" t="n"/>
      <c r="AW178" s="228" t="n"/>
      <c r="AX178" s="228" t="n"/>
      <c r="AY178" s="228" t="n"/>
      <c r="AZ178" s="228" t="n"/>
      <c r="BA178" s="228" t="n"/>
      <c r="BB178" s="228" t="n"/>
      <c r="BC178" s="228" t="n"/>
      <c r="BD178" s="228" t="n"/>
      <c r="BE178" s="228" t="n"/>
      <c r="BF178" s="228" t="n"/>
      <c r="BG178" s="228" t="n"/>
      <c r="BH178" s="228" t="n"/>
      <c r="BI178" s="228" t="n"/>
      <c r="BJ178" s="228" t="n"/>
      <c r="BK178" s="228" t="n"/>
      <c r="BL178" s="228" t="n"/>
      <c r="BM178" s="228" t="n"/>
      <c r="BN178" s="228" t="n"/>
      <c r="BO178" s="228" t="n"/>
      <c r="BP178" s="228" t="n"/>
      <c r="BQ178" s="228" t="n"/>
      <c r="BR178" s="228" t="n"/>
      <c r="BS178" s="228" t="n"/>
      <c r="BT178" s="228" t="n"/>
      <c r="BU178" s="228" t="n"/>
      <c r="BV178" s="228" t="n"/>
      <c r="BW178" s="228" t="n"/>
      <c r="BX178" s="228" t="n"/>
      <c r="BY178" s="228" t="n"/>
      <c r="BZ178" s="228" t="n"/>
      <c r="CA178" s="228" t="n"/>
      <c r="CB178" s="228" t="n"/>
      <c r="CC178" s="228" t="n"/>
      <c r="CD178" s="228" t="n"/>
      <c r="CE178" s="228" t="n"/>
      <c r="CF178" s="228" t="n"/>
      <c r="CG178" s="228" t="n"/>
      <c r="CH178" s="228" t="n"/>
      <c r="CI178" s="228" t="n"/>
      <c r="CJ178" s="228" t="n"/>
      <c r="CK178" s="228" t="n"/>
      <c r="CL178" s="228" t="n"/>
      <c r="CM178" s="228" t="n"/>
      <c r="CN178" s="228" t="n"/>
      <c r="CO178" s="228" t="n"/>
      <c r="CP178" s="228" t="n"/>
      <c r="CQ178" s="228" t="n"/>
      <c r="CR178" s="228" t="n"/>
      <c r="CS178" s="228" t="n"/>
      <c r="CT178" s="228" t="n"/>
      <c r="CU178" s="228" t="n"/>
      <c r="CV178" s="228" t="n"/>
      <c r="CW178" s="228" t="n"/>
      <c r="CX178" s="228" t="n"/>
      <c r="CY178" s="228" t="n"/>
      <c r="CZ178" s="228" t="n"/>
      <c r="DA178" s="228" t="n"/>
      <c r="DB178" s="228" t="n"/>
      <c r="DC178" s="228" t="n"/>
    </row>
    <row r="179" s="16">
      <c r="A179" s="228" t="n"/>
      <c r="B179" s="228" t="n"/>
      <c r="C179" s="228" t="n"/>
      <c r="D179" s="228" t="n"/>
      <c r="E179" s="228" t="n"/>
      <c r="F179" s="228" t="n"/>
      <c r="G179" s="228" t="n"/>
      <c r="H179" s="228" t="n"/>
      <c r="I179" s="228" t="n"/>
      <c r="J179" s="228" t="n"/>
      <c r="K179" s="228" t="n"/>
      <c r="L179" s="228" t="n"/>
      <c r="M179" s="228" t="n"/>
      <c r="N179" s="228" t="n"/>
      <c r="O179" s="228" t="n"/>
      <c r="P179" s="228" t="n"/>
      <c r="Q179" s="228" t="n"/>
      <c r="R179" s="228" t="n"/>
      <c r="S179" s="228" t="n"/>
      <c r="T179" s="228" t="n"/>
      <c r="U179" s="228" t="n"/>
      <c r="V179" s="228" t="n"/>
      <c r="W179" s="228" t="n"/>
      <c r="X179" s="228" t="n"/>
      <c r="Y179" s="228" t="n"/>
      <c r="Z179" s="228" t="n"/>
      <c r="AA179" s="228" t="n"/>
      <c r="AB179" s="228" t="n"/>
      <c r="AC179" s="228" t="n"/>
      <c r="AD179" s="228" t="n"/>
      <c r="AE179" s="228" t="n"/>
      <c r="AF179" s="228" t="n"/>
      <c r="AG179" s="228" t="n"/>
      <c r="AH179" s="228" t="n"/>
      <c r="AI179" s="228" t="n"/>
      <c r="AJ179" s="228" t="n"/>
      <c r="AK179" s="228" t="n"/>
      <c r="AL179" s="228" t="n"/>
      <c r="AM179" s="228" t="n"/>
      <c r="AN179" s="228" t="n"/>
      <c r="AO179" s="228" t="n"/>
      <c r="AP179" s="228" t="n"/>
      <c r="AQ179" s="228" t="n"/>
      <c r="AR179" s="228" t="n"/>
      <c r="AS179" s="228" t="n"/>
      <c r="AT179" s="228" t="n"/>
      <c r="AU179" s="228" t="n"/>
      <c r="AV179" s="228" t="n"/>
      <c r="AW179" s="228" t="n"/>
      <c r="AX179" s="228" t="n"/>
      <c r="AY179" s="228" t="n"/>
      <c r="AZ179" s="228" t="n"/>
      <c r="BA179" s="228" t="n"/>
      <c r="BB179" s="228" t="n"/>
      <c r="BC179" s="228" t="n"/>
      <c r="BD179" s="228" t="n"/>
      <c r="BE179" s="228" t="n"/>
      <c r="BF179" s="228" t="n"/>
      <c r="BG179" s="228" t="n"/>
      <c r="BH179" s="228" t="n"/>
      <c r="BI179" s="228" t="n"/>
      <c r="BJ179" s="228" t="n"/>
      <c r="BK179" s="228" t="n"/>
      <c r="BL179" s="228" t="n"/>
      <c r="BM179" s="228" t="n"/>
      <c r="BN179" s="228" t="n"/>
      <c r="BO179" s="228" t="n"/>
      <c r="BP179" s="228" t="n"/>
      <c r="BQ179" s="228" t="n"/>
      <c r="BR179" s="228" t="n"/>
      <c r="BS179" s="228" t="n"/>
      <c r="BT179" s="228" t="n"/>
      <c r="BU179" s="228" t="n"/>
      <c r="BV179" s="228" t="n"/>
      <c r="BW179" s="228" t="n"/>
      <c r="BX179" s="228" t="n"/>
      <c r="BY179" s="228" t="n"/>
      <c r="BZ179" s="228" t="n"/>
      <c r="CA179" s="228" t="n"/>
      <c r="CB179" s="228" t="n"/>
      <c r="CC179" s="228" t="n"/>
      <c r="CD179" s="228" t="n"/>
      <c r="CE179" s="228" t="n"/>
      <c r="CF179" s="228" t="n"/>
      <c r="CG179" s="228" t="n"/>
      <c r="CH179" s="228" t="n"/>
      <c r="CI179" s="228" t="n"/>
      <c r="CJ179" s="228" t="n"/>
      <c r="CK179" s="228" t="n"/>
      <c r="CL179" s="228" t="n"/>
      <c r="CM179" s="228" t="n"/>
      <c r="CN179" s="228" t="n"/>
      <c r="CO179" s="228" t="n"/>
      <c r="CP179" s="228" t="n"/>
      <c r="CQ179" s="228" t="n"/>
      <c r="CR179" s="228" t="n"/>
      <c r="CS179" s="228" t="n"/>
      <c r="CT179" s="228" t="n"/>
      <c r="CU179" s="228" t="n"/>
      <c r="CV179" s="228" t="n"/>
      <c r="CW179" s="228" t="n"/>
      <c r="CX179" s="228" t="n"/>
      <c r="CY179" s="228" t="n"/>
      <c r="CZ179" s="228" t="n"/>
      <c r="DA179" s="228" t="n"/>
      <c r="DB179" s="228" t="n"/>
      <c r="DC179" s="228" t="n"/>
    </row>
    <row r="180" s="16">
      <c r="A180" s="228" t="n"/>
      <c r="B180" s="228" t="n"/>
      <c r="C180" s="228" t="n"/>
      <c r="D180" s="228" t="n"/>
      <c r="E180" s="228" t="n"/>
      <c r="F180" s="228" t="n"/>
      <c r="G180" s="228" t="n"/>
      <c r="H180" s="228" t="n"/>
      <c r="I180" s="228" t="n"/>
      <c r="J180" s="228" t="n"/>
      <c r="K180" s="228" t="n"/>
      <c r="L180" s="228" t="n"/>
      <c r="M180" s="228" t="n"/>
      <c r="N180" s="228" t="n"/>
      <c r="O180" s="228" t="n"/>
      <c r="P180" s="228" t="n"/>
      <c r="Q180" s="228" t="n"/>
      <c r="R180" s="228" t="n"/>
      <c r="S180" s="228" t="n"/>
      <c r="T180" s="228" t="n"/>
      <c r="U180" s="228" t="n"/>
      <c r="V180" s="228" t="n"/>
      <c r="W180" s="228" t="n"/>
      <c r="X180" s="228" t="n"/>
      <c r="Y180" s="228" t="n"/>
      <c r="Z180" s="228" t="n"/>
      <c r="AA180" s="228" t="n"/>
      <c r="AB180" s="228" t="n"/>
      <c r="AC180" s="228" t="n"/>
      <c r="AD180" s="228" t="n"/>
      <c r="AE180" s="228" t="n"/>
      <c r="AF180" s="228" t="n"/>
      <c r="AG180" s="228" t="n"/>
      <c r="AH180" s="228" t="n"/>
      <c r="AI180" s="228" t="n"/>
      <c r="AJ180" s="228" t="n"/>
      <c r="AK180" s="228" t="n"/>
      <c r="AL180" s="228" t="n"/>
      <c r="AM180" s="228" t="n"/>
      <c r="AN180" s="228" t="n"/>
      <c r="AO180" s="228" t="n"/>
      <c r="AP180" s="228" t="n"/>
      <c r="AQ180" s="228" t="n"/>
      <c r="AR180" s="228" t="n"/>
      <c r="AS180" s="228" t="n"/>
      <c r="AT180" s="228" t="n"/>
      <c r="AU180" s="228" t="n"/>
      <c r="AV180" s="228" t="n"/>
      <c r="AW180" s="228" t="n"/>
      <c r="AX180" s="228" t="n"/>
      <c r="AY180" s="228" t="n"/>
      <c r="AZ180" s="228" t="n"/>
      <c r="BA180" s="228" t="n"/>
      <c r="BB180" s="228" t="n"/>
      <c r="BC180" s="228" t="n"/>
      <c r="BD180" s="228" t="n"/>
      <c r="BE180" s="228" t="n"/>
      <c r="BF180" s="228" t="n"/>
      <c r="BG180" s="228" t="n"/>
      <c r="BH180" s="228" t="n"/>
      <c r="BI180" s="228" t="n"/>
      <c r="BJ180" s="228" t="n"/>
      <c r="BK180" s="228" t="n"/>
      <c r="BL180" s="228" t="n"/>
      <c r="BM180" s="228" t="n"/>
      <c r="BN180" s="228" t="n"/>
      <c r="BO180" s="228" t="n"/>
      <c r="BP180" s="228" t="n"/>
      <c r="BQ180" s="228" t="n"/>
      <c r="BR180" s="228" t="n"/>
      <c r="BS180" s="228" t="n"/>
      <c r="BT180" s="228" t="n"/>
      <c r="BU180" s="228" t="n"/>
      <c r="BV180" s="228" t="n"/>
      <c r="BW180" s="228" t="n"/>
      <c r="BX180" s="228" t="n"/>
      <c r="BY180" s="228" t="n"/>
      <c r="BZ180" s="228" t="n"/>
      <c r="CA180" s="228" t="n"/>
      <c r="CB180" s="228" t="n"/>
      <c r="CC180" s="228" t="n"/>
      <c r="CD180" s="228" t="n"/>
      <c r="CE180" s="228" t="n"/>
      <c r="CF180" s="228" t="n"/>
      <c r="CG180" s="228" t="n"/>
      <c r="CH180" s="228" t="n"/>
      <c r="CI180" s="228" t="n"/>
      <c r="CJ180" s="228" t="n"/>
      <c r="CK180" s="228" t="n"/>
      <c r="CL180" s="228" t="n"/>
      <c r="CM180" s="228" t="n"/>
      <c r="CN180" s="228" t="n"/>
      <c r="CO180" s="228" t="n"/>
      <c r="CP180" s="228" t="n"/>
      <c r="CQ180" s="228" t="n"/>
      <c r="CR180" s="228" t="n"/>
      <c r="CS180" s="228" t="n"/>
      <c r="CT180" s="228" t="n"/>
      <c r="CU180" s="228" t="n"/>
      <c r="CV180" s="228" t="n"/>
      <c r="CW180" s="228" t="n"/>
      <c r="CX180" s="228" t="n"/>
      <c r="CY180" s="228" t="n"/>
      <c r="CZ180" s="228" t="n"/>
      <c r="DA180" s="228" t="n"/>
      <c r="DB180" s="228" t="n"/>
      <c r="DC180" s="228" t="n"/>
    </row>
    <row r="181" s="16">
      <c r="A181" s="228" t="n"/>
      <c r="B181" s="228" t="n"/>
      <c r="C181" s="228" t="n"/>
      <c r="D181" s="228" t="n"/>
      <c r="E181" s="228" t="n"/>
      <c r="F181" s="228" t="n"/>
      <c r="G181" s="228" t="n"/>
      <c r="H181" s="228" t="n"/>
      <c r="I181" s="228" t="n"/>
      <c r="J181" s="228" t="n"/>
      <c r="K181" s="228" t="n"/>
      <c r="L181" s="228" t="n"/>
      <c r="M181" s="228" t="n"/>
      <c r="N181" s="228" t="n"/>
      <c r="O181" s="228" t="n"/>
      <c r="P181" s="228" t="n"/>
      <c r="Q181" s="228" t="n"/>
      <c r="R181" s="228" t="n"/>
      <c r="S181" s="228" t="n"/>
      <c r="T181" s="228" t="n"/>
      <c r="U181" s="228" t="n"/>
      <c r="V181" s="228" t="n"/>
      <c r="W181" s="228" t="n"/>
      <c r="X181" s="228" t="n"/>
      <c r="Y181" s="228" t="n"/>
      <c r="Z181" s="228" t="n"/>
      <c r="AA181" s="228" t="n"/>
      <c r="AB181" s="228" t="n"/>
      <c r="AC181" s="228" t="n"/>
      <c r="AD181" s="228" t="n"/>
      <c r="AE181" s="228" t="n"/>
      <c r="AF181" s="228" t="n"/>
      <c r="AG181" s="228" t="n"/>
      <c r="AH181" s="228" t="n"/>
      <c r="AI181" s="228" t="n"/>
      <c r="AJ181" s="228" t="n"/>
      <c r="AK181" s="228" t="n"/>
      <c r="AL181" s="228" t="n"/>
      <c r="AM181" s="228" t="n"/>
      <c r="AN181" s="228" t="n"/>
      <c r="AO181" s="228" t="n"/>
      <c r="AP181" s="228" t="n"/>
      <c r="AQ181" s="228" t="n"/>
      <c r="AR181" s="228" t="n"/>
      <c r="AS181" s="228" t="n"/>
      <c r="AT181" s="228" t="n"/>
      <c r="AU181" s="228" t="n"/>
      <c r="AV181" s="228" t="n"/>
      <c r="AW181" s="228" t="n"/>
      <c r="AX181" s="228" t="n"/>
      <c r="AY181" s="228" t="n"/>
      <c r="AZ181" s="228" t="n"/>
      <c r="BA181" s="228" t="n"/>
      <c r="BB181" s="228" t="n"/>
      <c r="BC181" s="228" t="n"/>
      <c r="BD181" s="228" t="n"/>
      <c r="BE181" s="228" t="n"/>
      <c r="BF181" s="228" t="n"/>
      <c r="BG181" s="228" t="n"/>
      <c r="BH181" s="228" t="n"/>
      <c r="BI181" s="228" t="n"/>
      <c r="BJ181" s="228" t="n"/>
      <c r="BK181" s="228" t="n"/>
      <c r="BL181" s="228" t="n"/>
      <c r="BM181" s="228" t="n"/>
      <c r="BN181" s="228" t="n"/>
      <c r="BO181" s="228" t="n"/>
      <c r="BP181" s="228" t="n"/>
      <c r="BQ181" s="228" t="n"/>
      <c r="BR181" s="228" t="n"/>
      <c r="BS181" s="228" t="n"/>
      <c r="BT181" s="228" t="n"/>
      <c r="BU181" s="228" t="n"/>
      <c r="BV181" s="228" t="n"/>
      <c r="BW181" s="228" t="n"/>
      <c r="BX181" s="228" t="n"/>
      <c r="BY181" s="228" t="n"/>
      <c r="BZ181" s="228" t="n"/>
      <c r="CA181" s="228" t="n"/>
      <c r="CB181" s="228" t="n"/>
      <c r="CC181" s="228" t="n"/>
      <c r="CD181" s="228" t="n"/>
      <c r="CE181" s="228" t="n"/>
      <c r="CF181" s="228" t="n"/>
      <c r="CG181" s="228" t="n"/>
      <c r="CH181" s="228" t="n"/>
      <c r="CI181" s="228" t="n"/>
      <c r="CJ181" s="228" t="n"/>
      <c r="CK181" s="228" t="n"/>
      <c r="CL181" s="228" t="n"/>
      <c r="CM181" s="228" t="n"/>
      <c r="CN181" s="228" t="n"/>
      <c r="CO181" s="228" t="n"/>
      <c r="CP181" s="228" t="n"/>
      <c r="CQ181" s="228" t="n"/>
      <c r="CR181" s="228" t="n"/>
      <c r="CS181" s="228" t="n"/>
      <c r="CT181" s="228" t="n"/>
      <c r="CU181" s="228" t="n"/>
      <c r="CV181" s="228" t="n"/>
      <c r="CW181" s="228" t="n"/>
      <c r="CX181" s="228" t="n"/>
      <c r="CY181" s="228" t="n"/>
      <c r="CZ181" s="228" t="n"/>
      <c r="DA181" s="228" t="n"/>
      <c r="DB181" s="228" t="n"/>
      <c r="DC181" s="228" t="n"/>
    </row>
    <row r="182" s="16">
      <c r="A182" s="228" t="n"/>
      <c r="B182" s="228" t="n"/>
      <c r="C182" s="228" t="n"/>
      <c r="D182" s="228" t="n"/>
      <c r="E182" s="228" t="n"/>
      <c r="F182" s="228" t="n"/>
      <c r="G182" s="228" t="n"/>
      <c r="H182" s="228" t="n"/>
      <c r="I182" s="228" t="n"/>
      <c r="J182" s="228" t="n"/>
      <c r="K182" s="228" t="n"/>
      <c r="L182" s="228" t="n"/>
      <c r="M182" s="228" t="n"/>
      <c r="N182" s="228" t="n"/>
      <c r="O182" s="228" t="n"/>
      <c r="P182" s="228" t="n"/>
      <c r="Q182" s="228" t="n"/>
      <c r="R182" s="228" t="n"/>
      <c r="S182" s="228" t="n"/>
      <c r="T182" s="228" t="n"/>
      <c r="U182" s="228" t="n"/>
      <c r="V182" s="228" t="n"/>
      <c r="W182" s="228" t="n"/>
      <c r="X182" s="228" t="n"/>
      <c r="Y182" s="228" t="n"/>
      <c r="Z182" s="228" t="n"/>
      <c r="AA182" s="228" t="n"/>
      <c r="AB182" s="228" t="n"/>
      <c r="AC182" s="228" t="n"/>
      <c r="AD182" s="228" t="n"/>
      <c r="AE182" s="228" t="n"/>
      <c r="AF182" s="228" t="n"/>
      <c r="AG182" s="228" t="n"/>
      <c r="AH182" s="228" t="n"/>
      <c r="AI182" s="228" t="n"/>
      <c r="AJ182" s="228" t="n"/>
      <c r="AK182" s="228" t="n"/>
      <c r="AL182" s="228" t="n"/>
      <c r="AM182" s="228" t="n"/>
      <c r="AN182" s="228" t="n"/>
      <c r="AO182" s="228" t="n"/>
      <c r="AP182" s="228" t="n"/>
      <c r="AQ182" s="228" t="n"/>
      <c r="AR182" s="228" t="n"/>
      <c r="AS182" s="228" t="n"/>
      <c r="AT182" s="228" t="n"/>
      <c r="AU182" s="228" t="n"/>
      <c r="AV182" s="228" t="n"/>
      <c r="AW182" s="228" t="n"/>
      <c r="AX182" s="228" t="n"/>
      <c r="AY182" s="228" t="n"/>
      <c r="AZ182" s="228" t="n"/>
      <c r="BA182" s="228" t="n"/>
      <c r="BB182" s="228" t="n"/>
      <c r="BC182" s="228" t="n"/>
      <c r="BD182" s="228" t="n"/>
      <c r="BE182" s="228" t="n"/>
      <c r="BF182" s="228" t="n"/>
      <c r="BG182" s="228" t="n"/>
      <c r="BH182" s="228" t="n"/>
      <c r="BI182" s="228" t="n"/>
      <c r="BJ182" s="228" t="n"/>
      <c r="BK182" s="228" t="n"/>
      <c r="BL182" s="228" t="n"/>
      <c r="BM182" s="228" t="n"/>
      <c r="BN182" s="228" t="n"/>
      <c r="BO182" s="228" t="n"/>
      <c r="BP182" s="228" t="n"/>
      <c r="BQ182" s="228" t="n"/>
      <c r="BR182" s="228" t="n"/>
      <c r="BS182" s="228" t="n"/>
      <c r="BT182" s="228" t="n"/>
      <c r="BU182" s="228" t="n"/>
      <c r="BV182" s="228" t="n"/>
      <c r="BW182" s="228" t="n"/>
      <c r="BX182" s="228" t="n"/>
      <c r="BY182" s="228" t="n"/>
      <c r="BZ182" s="228" t="n"/>
      <c r="CA182" s="228" t="n"/>
      <c r="CB182" s="228" t="n"/>
      <c r="CC182" s="228" t="n"/>
      <c r="CD182" s="228" t="n"/>
      <c r="CE182" s="228" t="n"/>
      <c r="CF182" s="228" t="n"/>
      <c r="CG182" s="228" t="n"/>
      <c r="CH182" s="228" t="n"/>
      <c r="CI182" s="228" t="n"/>
      <c r="CJ182" s="228" t="n"/>
      <c r="CK182" s="228" t="n"/>
      <c r="CL182" s="228" t="n"/>
      <c r="CM182" s="228" t="n"/>
      <c r="CN182" s="228" t="n"/>
      <c r="CO182" s="228" t="n"/>
      <c r="CP182" s="228" t="n"/>
      <c r="CQ182" s="228" t="n"/>
      <c r="CR182" s="228" t="n"/>
      <c r="CS182" s="228" t="n"/>
      <c r="CT182" s="228" t="n"/>
      <c r="CU182" s="228" t="n"/>
      <c r="CV182" s="228" t="n"/>
      <c r="CW182" s="228" t="n"/>
      <c r="CX182" s="228" t="n"/>
      <c r="CY182" s="228" t="n"/>
      <c r="CZ182" s="228" t="n"/>
      <c r="DA182" s="228" t="n"/>
      <c r="DB182" s="228" t="n"/>
      <c r="DC182" s="228" t="n"/>
    </row>
    <row r="183" s="16">
      <c r="A183" s="228" t="n"/>
      <c r="B183" s="228" t="n"/>
      <c r="C183" s="228" t="n"/>
      <c r="D183" s="228" t="n"/>
      <c r="E183" s="228" t="n"/>
      <c r="F183" s="228" t="n"/>
      <c r="G183" s="228" t="n"/>
      <c r="H183" s="228" t="n"/>
      <c r="I183" s="228" t="n"/>
      <c r="J183" s="228" t="n"/>
      <c r="K183" s="228" t="n"/>
      <c r="L183" s="228" t="n"/>
      <c r="M183" s="228" t="n"/>
      <c r="N183" s="228" t="n"/>
      <c r="O183" s="228" t="n"/>
      <c r="P183" s="228" t="n"/>
      <c r="Q183" s="228" t="n"/>
      <c r="R183" s="228" t="n"/>
      <c r="S183" s="228" t="n"/>
      <c r="T183" s="228" t="n"/>
      <c r="U183" s="228" t="n"/>
      <c r="V183" s="228" t="n"/>
      <c r="W183" s="228" t="n"/>
      <c r="X183" s="228" t="n"/>
      <c r="Y183" s="228" t="n"/>
      <c r="Z183" s="228" t="n"/>
      <c r="AA183" s="228" t="n"/>
      <c r="AB183" s="228" t="n"/>
      <c r="AC183" s="228" t="n"/>
      <c r="AD183" s="228" t="n"/>
      <c r="AE183" s="228" t="n"/>
      <c r="AF183" s="228" t="n"/>
      <c r="AG183" s="228" t="n"/>
      <c r="AH183" s="228" t="n"/>
      <c r="AI183" s="228" t="n"/>
      <c r="AJ183" s="228" t="n"/>
      <c r="AK183" s="228" t="n"/>
      <c r="AL183" s="228" t="n"/>
      <c r="AM183" s="228" t="n"/>
      <c r="AN183" s="228" t="n"/>
      <c r="AO183" s="228" t="n"/>
      <c r="AP183" s="228" t="n"/>
      <c r="AQ183" s="228" t="n"/>
      <c r="AR183" s="228" t="n"/>
      <c r="AS183" s="228" t="n"/>
      <c r="AT183" s="228" t="n"/>
      <c r="AU183" s="228" t="n"/>
      <c r="AV183" s="228" t="n"/>
      <c r="AW183" s="228" t="n"/>
      <c r="AX183" s="228" t="n"/>
      <c r="AY183" s="228" t="n"/>
      <c r="AZ183" s="228" t="n"/>
      <c r="BA183" s="228" t="n"/>
      <c r="BB183" s="228" t="n"/>
      <c r="BC183" s="228" t="n"/>
      <c r="BD183" s="228" t="n"/>
      <c r="BE183" s="228" t="n"/>
      <c r="BF183" s="228" t="n"/>
      <c r="BG183" s="228" t="n"/>
      <c r="BH183" s="228" t="n"/>
      <c r="BI183" s="228" t="n"/>
      <c r="BJ183" s="228" t="n"/>
      <c r="BK183" s="228" t="n"/>
      <c r="BL183" s="228" t="n"/>
      <c r="BM183" s="228" t="n"/>
      <c r="BN183" s="228" t="n"/>
      <c r="BO183" s="228" t="n"/>
      <c r="BP183" s="228" t="n"/>
      <c r="BQ183" s="228" t="n"/>
      <c r="BR183" s="228" t="n"/>
      <c r="BS183" s="228" t="n"/>
      <c r="BT183" s="228" t="n"/>
      <c r="BU183" s="228" t="n"/>
      <c r="BV183" s="228" t="n"/>
      <c r="BW183" s="228" t="n"/>
      <c r="BX183" s="228" t="n"/>
      <c r="BY183" s="228" t="n"/>
      <c r="BZ183" s="228" t="n"/>
      <c r="CA183" s="228" t="n"/>
      <c r="CB183" s="228" t="n"/>
      <c r="CC183" s="228" t="n"/>
      <c r="CD183" s="228" t="n"/>
      <c r="CE183" s="228" t="n"/>
      <c r="CF183" s="228" t="n"/>
      <c r="CG183" s="228" t="n"/>
      <c r="CH183" s="228" t="n"/>
      <c r="CI183" s="228" t="n"/>
      <c r="CJ183" s="228" t="n"/>
      <c r="CK183" s="228" t="n"/>
      <c r="CL183" s="228" t="n"/>
      <c r="CM183" s="228" t="n"/>
      <c r="CN183" s="228" t="n"/>
      <c r="CO183" s="228" t="n"/>
      <c r="CP183" s="228" t="n"/>
      <c r="CQ183" s="228" t="n"/>
      <c r="CR183" s="228" t="n"/>
      <c r="CS183" s="228" t="n"/>
      <c r="CT183" s="228" t="n"/>
      <c r="CU183" s="228" t="n"/>
      <c r="CV183" s="228" t="n"/>
      <c r="CW183" s="228" t="n"/>
      <c r="CX183" s="228" t="n"/>
      <c r="CY183" s="228" t="n"/>
      <c r="CZ183" s="228" t="n"/>
      <c r="DA183" s="228" t="n"/>
      <c r="DB183" s="228" t="n"/>
      <c r="DC183" s="228" t="n"/>
    </row>
    <row r="184" s="16">
      <c r="A184" s="228" t="n"/>
      <c r="B184" s="228" t="n"/>
      <c r="C184" s="228" t="n"/>
      <c r="D184" s="228" t="n"/>
      <c r="E184" s="228" t="n"/>
      <c r="F184" s="228" t="n"/>
      <c r="G184" s="228" t="n"/>
      <c r="H184" s="228" t="n"/>
      <c r="I184" s="228" t="n"/>
      <c r="J184" s="228" t="n"/>
      <c r="K184" s="228" t="n"/>
      <c r="L184" s="228" t="n"/>
      <c r="M184" s="228" t="n"/>
      <c r="N184" s="228" t="n"/>
      <c r="O184" s="228" t="n"/>
      <c r="P184" s="228" t="n"/>
      <c r="Q184" s="228" t="n"/>
      <c r="R184" s="228" t="n"/>
      <c r="S184" s="228" t="n"/>
      <c r="T184" s="228" t="n"/>
      <c r="U184" s="228" t="n"/>
      <c r="V184" s="228" t="n"/>
      <c r="W184" s="228" t="n"/>
      <c r="X184" s="228" t="n"/>
      <c r="Y184" s="228" t="n"/>
      <c r="Z184" s="228" t="n"/>
      <c r="AA184" s="228" t="n"/>
      <c r="AB184" s="228" t="n"/>
      <c r="AC184" s="228" t="n"/>
      <c r="AD184" s="228" t="n"/>
      <c r="AE184" s="228" t="n"/>
      <c r="AF184" s="228" t="n"/>
      <c r="AG184" s="228" t="n"/>
      <c r="AH184" s="228" t="n"/>
      <c r="AI184" s="228" t="n"/>
      <c r="AJ184" s="228" t="n"/>
      <c r="AK184" s="228" t="n"/>
      <c r="AL184" s="228" t="n"/>
      <c r="AM184" s="228" t="n"/>
      <c r="AN184" s="228" t="n"/>
      <c r="AO184" s="228" t="n"/>
      <c r="AP184" s="228" t="n"/>
      <c r="AQ184" s="228" t="n"/>
      <c r="AR184" s="228" t="n"/>
      <c r="AS184" s="228" t="n"/>
      <c r="AT184" s="228" t="n"/>
      <c r="AU184" s="228" t="n"/>
      <c r="AV184" s="228" t="n"/>
      <c r="AW184" s="228" t="n"/>
      <c r="AX184" s="228" t="n"/>
      <c r="AY184" s="228" t="n"/>
      <c r="AZ184" s="228" t="n"/>
      <c r="BA184" s="228" t="n"/>
      <c r="BB184" s="228" t="n"/>
      <c r="BC184" s="228" t="n"/>
      <c r="BD184" s="228" t="n"/>
      <c r="BE184" s="228" t="n"/>
      <c r="BF184" s="228" t="n"/>
      <c r="BG184" s="228" t="n"/>
      <c r="BH184" s="228" t="n"/>
      <c r="BI184" s="228" t="n"/>
      <c r="BJ184" s="228" t="n"/>
      <c r="BK184" s="228" t="n"/>
      <c r="BL184" s="228" t="n"/>
      <c r="BM184" s="228" t="n"/>
      <c r="BN184" s="228" t="n"/>
      <c r="BO184" s="228" t="n"/>
      <c r="BP184" s="228" t="n"/>
      <c r="BQ184" s="228" t="n"/>
      <c r="BR184" s="228" t="n"/>
      <c r="BS184" s="228" t="n"/>
      <c r="BT184" s="228" t="n"/>
      <c r="BU184" s="228" t="n"/>
      <c r="BV184" s="228" t="n"/>
      <c r="BW184" s="228" t="n"/>
      <c r="BX184" s="228" t="n"/>
      <c r="BY184" s="228" t="n"/>
      <c r="BZ184" s="228" t="n"/>
      <c r="CA184" s="228" t="n"/>
      <c r="CB184" s="228" t="n"/>
      <c r="CC184" s="228" t="n"/>
      <c r="CD184" s="228" t="n"/>
      <c r="CE184" s="228" t="n"/>
      <c r="CF184" s="228" t="n"/>
      <c r="CG184" s="228" t="n"/>
      <c r="CH184" s="228" t="n"/>
      <c r="CI184" s="228" t="n"/>
      <c r="CJ184" s="228" t="n"/>
      <c r="CK184" s="228" t="n"/>
      <c r="CL184" s="228" t="n"/>
      <c r="CM184" s="228" t="n"/>
      <c r="CN184" s="228" t="n"/>
      <c r="CO184" s="228" t="n"/>
      <c r="CP184" s="228" t="n"/>
      <c r="CQ184" s="228" t="n"/>
      <c r="CR184" s="228" t="n"/>
      <c r="CS184" s="228" t="n"/>
      <c r="CT184" s="228" t="n"/>
      <c r="CU184" s="228" t="n"/>
      <c r="CV184" s="228" t="n"/>
      <c r="CW184" s="228" t="n"/>
      <c r="CX184" s="228" t="n"/>
      <c r="CY184" s="228" t="n"/>
      <c r="CZ184" s="228" t="n"/>
      <c r="DA184" s="228" t="n"/>
      <c r="DB184" s="228" t="n"/>
      <c r="DC184" s="228" t="n"/>
    </row>
    <row r="185" s="16">
      <c r="A185" s="228" t="n"/>
      <c r="B185" s="228" t="n"/>
      <c r="C185" s="228" t="n"/>
      <c r="D185" s="228" t="n"/>
      <c r="E185" s="228" t="n"/>
      <c r="F185" s="228" t="n"/>
      <c r="G185" s="228" t="n"/>
      <c r="H185" s="228" t="n"/>
      <c r="I185" s="228" t="n"/>
      <c r="J185" s="228" t="n"/>
      <c r="K185" s="228" t="n"/>
      <c r="L185" s="228" t="n"/>
      <c r="M185" s="228" t="n"/>
      <c r="N185" s="228" t="n"/>
      <c r="O185" s="228" t="n"/>
      <c r="P185" s="228" t="n"/>
      <c r="Q185" s="228" t="n"/>
      <c r="R185" s="228" t="n"/>
      <c r="S185" s="228" t="n"/>
      <c r="T185" s="228" t="n"/>
      <c r="U185" s="228" t="n"/>
      <c r="V185" s="228" t="n"/>
      <c r="W185" s="228" t="n"/>
      <c r="X185" s="228" t="n"/>
      <c r="Y185" s="228" t="n"/>
      <c r="Z185" s="228" t="n"/>
      <c r="AA185" s="228" t="n"/>
      <c r="AB185" s="228" t="n"/>
      <c r="AC185" s="228" t="n"/>
      <c r="AD185" s="228" t="n"/>
      <c r="AE185" s="228" t="n"/>
      <c r="AF185" s="228" t="n"/>
      <c r="AG185" s="228" t="n"/>
      <c r="AH185" s="228" t="n"/>
      <c r="AI185" s="228" t="n"/>
      <c r="AJ185" s="228" t="n"/>
      <c r="AK185" s="228" t="n"/>
      <c r="AL185" s="228" t="n"/>
      <c r="AM185" s="228" t="n"/>
      <c r="AN185" s="228" t="n"/>
      <c r="AO185" s="228" t="n"/>
      <c r="AP185" s="228" t="n"/>
      <c r="AQ185" s="228" t="n"/>
      <c r="AR185" s="228" t="n"/>
      <c r="AS185" s="228" t="n"/>
      <c r="AT185" s="228" t="n"/>
      <c r="AU185" s="228" t="n"/>
      <c r="AV185" s="228" t="n"/>
      <c r="AW185" s="228" t="n"/>
      <c r="AX185" s="228" t="n"/>
      <c r="AY185" s="228" t="n"/>
      <c r="AZ185" s="228" t="n"/>
      <c r="BA185" s="228" t="n"/>
      <c r="BB185" s="228" t="n"/>
      <c r="BC185" s="228" t="n"/>
      <c r="BD185" s="228" t="n"/>
      <c r="BE185" s="228" t="n"/>
      <c r="BF185" s="228" t="n"/>
      <c r="BG185" s="228" t="n"/>
      <c r="BH185" s="228" t="n"/>
      <c r="BI185" s="228" t="n"/>
      <c r="BJ185" s="228" t="n"/>
      <c r="BK185" s="228" t="n"/>
      <c r="BL185" s="228" t="n"/>
      <c r="BM185" s="228" t="n"/>
      <c r="BN185" s="228" t="n"/>
      <c r="BO185" s="228" t="n"/>
      <c r="BP185" s="228" t="n"/>
      <c r="BQ185" s="228" t="n"/>
      <c r="BR185" s="228" t="n"/>
      <c r="BS185" s="228" t="n"/>
      <c r="BT185" s="228" t="n"/>
      <c r="BU185" s="228" t="n"/>
      <c r="BV185" s="228" t="n"/>
      <c r="BW185" s="228" t="n"/>
      <c r="BX185" s="228" t="n"/>
      <c r="BY185" s="228" t="n"/>
      <c r="BZ185" s="228" t="n"/>
      <c r="CA185" s="228" t="n"/>
      <c r="CB185" s="228" t="n"/>
      <c r="CC185" s="228" t="n"/>
      <c r="CD185" s="228" t="n"/>
      <c r="CE185" s="228" t="n"/>
      <c r="CF185" s="228" t="n"/>
      <c r="CG185" s="228" t="n"/>
      <c r="CH185" s="228" t="n"/>
      <c r="CI185" s="228" t="n"/>
      <c r="CJ185" s="228" t="n"/>
      <c r="CK185" s="228" t="n"/>
      <c r="CL185" s="228" t="n"/>
      <c r="CM185" s="228" t="n"/>
      <c r="CN185" s="228" t="n"/>
      <c r="CO185" s="228" t="n"/>
      <c r="CP185" s="228" t="n"/>
      <c r="CQ185" s="228" t="n"/>
      <c r="CR185" s="228" t="n"/>
      <c r="CS185" s="228" t="n"/>
      <c r="CT185" s="228" t="n"/>
      <c r="CU185" s="228" t="n"/>
      <c r="CV185" s="228" t="n"/>
      <c r="CW185" s="228" t="n"/>
      <c r="CX185" s="228" t="n"/>
      <c r="CY185" s="228" t="n"/>
      <c r="CZ185" s="228" t="n"/>
      <c r="DA185" s="228" t="n"/>
      <c r="DB185" s="228" t="n"/>
      <c r="DC185" s="228" t="n"/>
    </row>
    <row r="186" s="16">
      <c r="A186" s="228" t="n"/>
      <c r="B186" s="228" t="n"/>
      <c r="C186" s="228" t="n"/>
      <c r="D186" s="228" t="n"/>
      <c r="E186" s="228" t="n"/>
      <c r="F186" s="228" t="n"/>
      <c r="G186" s="228" t="n"/>
      <c r="H186" s="228" t="n"/>
      <c r="I186" s="228" t="n"/>
      <c r="J186" s="228" t="n"/>
      <c r="K186" s="228" t="n"/>
      <c r="L186" s="228" t="n"/>
      <c r="M186" s="228" t="n"/>
      <c r="N186" s="228" t="n"/>
      <c r="O186" s="228" t="n"/>
      <c r="P186" s="228" t="n"/>
      <c r="Q186" s="228" t="n"/>
      <c r="R186" s="228" t="n"/>
      <c r="S186" s="228" t="n"/>
      <c r="T186" s="228" t="n"/>
      <c r="U186" s="228" t="n"/>
      <c r="V186" s="228" t="n"/>
      <c r="W186" s="228" t="n"/>
      <c r="X186" s="228" t="n"/>
      <c r="Y186" s="228" t="n"/>
      <c r="Z186" s="228" t="n"/>
      <c r="AA186" s="228" t="n"/>
      <c r="AB186" s="228" t="n"/>
      <c r="AC186" s="228" t="n"/>
      <c r="AD186" s="228" t="n"/>
      <c r="AE186" s="228" t="n"/>
      <c r="AF186" s="228" t="n"/>
      <c r="AG186" s="228" t="n"/>
      <c r="AH186" s="228" t="n"/>
      <c r="AI186" s="228" t="n"/>
      <c r="AJ186" s="228" t="n"/>
      <c r="AK186" s="228" t="n"/>
      <c r="AL186" s="228" t="n"/>
      <c r="AM186" s="228" t="n"/>
      <c r="AN186" s="228" t="n"/>
      <c r="AO186" s="228" t="n"/>
      <c r="AP186" s="228" t="n"/>
      <c r="AQ186" s="228" t="n"/>
      <c r="AR186" s="228" t="n"/>
      <c r="AS186" s="228" t="n"/>
      <c r="AT186" s="228" t="n"/>
      <c r="AU186" s="228" t="n"/>
      <c r="AV186" s="228" t="n"/>
      <c r="AW186" s="228" t="n"/>
      <c r="AX186" s="228" t="n"/>
      <c r="AY186" s="228" t="n"/>
      <c r="AZ186" s="228" t="n"/>
      <c r="BA186" s="228" t="n"/>
      <c r="BB186" s="228" t="n"/>
      <c r="BC186" s="228" t="n"/>
      <c r="BD186" s="228" t="n"/>
      <c r="BE186" s="228" t="n"/>
      <c r="BF186" s="228" t="n"/>
      <c r="BG186" s="228" t="n"/>
      <c r="BH186" s="228" t="n"/>
      <c r="BI186" s="228" t="n"/>
      <c r="BJ186" s="228" t="n"/>
      <c r="BK186" s="228" t="n"/>
      <c r="BL186" s="228" t="n"/>
      <c r="BM186" s="228" t="n"/>
      <c r="BN186" s="228" t="n"/>
      <c r="BO186" s="228" t="n"/>
      <c r="BP186" s="228" t="n"/>
      <c r="BQ186" s="228" t="n"/>
      <c r="BR186" s="228" t="n"/>
      <c r="BS186" s="228" t="n"/>
      <c r="BT186" s="228" t="n"/>
      <c r="BU186" s="228" t="n"/>
      <c r="BV186" s="228" t="n"/>
      <c r="BW186" s="228" t="n"/>
      <c r="BX186" s="228" t="n"/>
      <c r="BY186" s="228" t="n"/>
      <c r="BZ186" s="228" t="n"/>
      <c r="CA186" s="228" t="n"/>
      <c r="CB186" s="228" t="n"/>
      <c r="CC186" s="228" t="n"/>
      <c r="CD186" s="228" t="n"/>
      <c r="CE186" s="228" t="n"/>
      <c r="CF186" s="228" t="n"/>
      <c r="CG186" s="228" t="n"/>
      <c r="CH186" s="228" t="n"/>
      <c r="CI186" s="228" t="n"/>
      <c r="CJ186" s="228" t="n"/>
      <c r="CK186" s="228" t="n"/>
      <c r="CL186" s="228" t="n"/>
      <c r="CM186" s="228" t="n"/>
      <c r="CN186" s="228" t="n"/>
      <c r="CO186" s="228" t="n"/>
      <c r="CP186" s="228" t="n"/>
      <c r="CQ186" s="228" t="n"/>
      <c r="CR186" s="228" t="n"/>
      <c r="CS186" s="228" t="n"/>
      <c r="CT186" s="228" t="n"/>
      <c r="CU186" s="228" t="n"/>
      <c r="CV186" s="228" t="n"/>
      <c r="CW186" s="228" t="n"/>
      <c r="CX186" s="228" t="n"/>
      <c r="CY186" s="228" t="n"/>
      <c r="CZ186" s="228" t="n"/>
      <c r="DA186" s="228" t="n"/>
      <c r="DB186" s="228" t="n"/>
      <c r="DC186" s="228" t="n"/>
    </row>
    <row r="187" s="16">
      <c r="A187" s="228" t="n"/>
      <c r="B187" s="228" t="n"/>
      <c r="C187" s="228" t="n"/>
      <c r="D187" s="228" t="n"/>
      <c r="E187" s="228" t="n"/>
      <c r="F187" s="228" t="n"/>
      <c r="G187" s="228" t="n"/>
      <c r="H187" s="228" t="n"/>
      <c r="I187" s="228" t="n"/>
      <c r="J187" s="228" t="n"/>
      <c r="K187" s="228" t="n"/>
      <c r="L187" s="228" t="n"/>
      <c r="M187" s="228" t="n"/>
      <c r="N187" s="228" t="n"/>
      <c r="O187" s="228" t="n"/>
      <c r="P187" s="228" t="n"/>
      <c r="Q187" s="228" t="n"/>
      <c r="R187" s="228" t="n"/>
      <c r="S187" s="228" t="n"/>
      <c r="T187" s="228" t="n"/>
      <c r="U187" s="228" t="n"/>
      <c r="V187" s="228" t="n"/>
      <c r="W187" s="228" t="n"/>
      <c r="X187" s="228" t="n"/>
      <c r="Y187" s="228" t="n"/>
      <c r="Z187" s="228" t="n"/>
      <c r="AA187" s="228" t="n"/>
      <c r="AB187" s="228" t="n"/>
      <c r="AC187" s="228" t="n"/>
      <c r="AD187" s="228" t="n"/>
      <c r="AE187" s="228" t="n"/>
      <c r="AF187" s="228" t="n"/>
      <c r="AG187" s="228" t="n"/>
      <c r="AH187" s="228" t="n"/>
      <c r="AI187" s="228" t="n"/>
      <c r="AJ187" s="228" t="n"/>
      <c r="AK187" s="228" t="n"/>
      <c r="AL187" s="228" t="n"/>
      <c r="AM187" s="228" t="n"/>
      <c r="AN187" s="228" t="n"/>
      <c r="AO187" s="228" t="n"/>
      <c r="AP187" s="228" t="n"/>
      <c r="AQ187" s="228" t="n"/>
      <c r="AR187" s="228" t="n"/>
      <c r="AS187" s="228" t="n"/>
      <c r="AT187" s="228" t="n"/>
      <c r="AU187" s="228" t="n"/>
      <c r="AV187" s="228" t="n"/>
      <c r="AW187" s="228" t="n"/>
      <c r="AX187" s="228" t="n"/>
      <c r="AY187" s="228" t="n"/>
      <c r="AZ187" s="228" t="n"/>
      <c r="BA187" s="228" t="n"/>
      <c r="BB187" s="228" t="n"/>
      <c r="BC187" s="228" t="n"/>
      <c r="BD187" s="228" t="n"/>
      <c r="BE187" s="228" t="n"/>
      <c r="BF187" s="228" t="n"/>
      <c r="BG187" s="228" t="n"/>
      <c r="BH187" s="228" t="n"/>
      <c r="BI187" s="228" t="n"/>
      <c r="BJ187" s="228" t="n"/>
      <c r="BK187" s="228" t="n"/>
      <c r="BL187" s="228" t="n"/>
      <c r="BM187" s="228" t="n"/>
      <c r="BN187" s="228" t="n"/>
      <c r="BO187" s="228" t="n"/>
      <c r="BP187" s="228" t="n"/>
      <c r="BQ187" s="228" t="n"/>
      <c r="BR187" s="228" t="n"/>
      <c r="BS187" s="228" t="n"/>
      <c r="BT187" s="228" t="n"/>
      <c r="BU187" s="228" t="n"/>
      <c r="BV187" s="228" t="n"/>
      <c r="BW187" s="228" t="n"/>
      <c r="BX187" s="228" t="n"/>
      <c r="BY187" s="228" t="n"/>
      <c r="BZ187" s="228" t="n"/>
      <c r="CA187" s="228" t="n"/>
      <c r="CB187" s="228" t="n"/>
      <c r="CC187" s="228" t="n"/>
      <c r="CD187" s="228" t="n"/>
      <c r="CE187" s="228" t="n"/>
      <c r="CF187" s="228" t="n"/>
      <c r="CG187" s="228" t="n"/>
      <c r="CH187" s="228" t="n"/>
      <c r="CI187" s="228" t="n"/>
      <c r="CJ187" s="228" t="n"/>
      <c r="CK187" s="228" t="n"/>
      <c r="CL187" s="228" t="n"/>
      <c r="CM187" s="228" t="n"/>
      <c r="CN187" s="228" t="n"/>
      <c r="CO187" s="228" t="n"/>
      <c r="CP187" s="228" t="n"/>
      <c r="CQ187" s="228" t="n"/>
      <c r="CR187" s="228" t="n"/>
      <c r="CS187" s="228" t="n"/>
      <c r="CT187" s="228" t="n"/>
      <c r="CU187" s="228" t="n"/>
      <c r="CV187" s="228" t="n"/>
      <c r="CW187" s="228" t="n"/>
      <c r="CX187" s="228" t="n"/>
      <c r="CY187" s="228" t="n"/>
      <c r="CZ187" s="228" t="n"/>
      <c r="DA187" s="228" t="n"/>
      <c r="DB187" s="228" t="n"/>
      <c r="DC187" s="228" t="n"/>
    </row>
    <row r="188" s="16">
      <c r="A188" s="228" t="n"/>
      <c r="B188" s="228" t="n"/>
      <c r="C188" s="228" t="n"/>
      <c r="D188" s="228" t="n"/>
      <c r="E188" s="228" t="n"/>
      <c r="F188" s="228" t="n"/>
      <c r="G188" s="228" t="n"/>
      <c r="H188" s="228" t="n"/>
      <c r="I188" s="228" t="n"/>
      <c r="J188" s="228" t="n"/>
      <c r="K188" s="228" t="n"/>
      <c r="L188" s="228" t="n"/>
      <c r="M188" s="228" t="n"/>
      <c r="N188" s="228" t="n"/>
      <c r="O188" s="228" t="n"/>
      <c r="P188" s="228" t="n"/>
      <c r="Q188" s="228" t="n"/>
      <c r="R188" s="228" t="n"/>
      <c r="S188" s="228" t="n"/>
      <c r="T188" s="228" t="n"/>
      <c r="U188" s="228" t="n"/>
      <c r="V188" s="228" t="n"/>
      <c r="W188" s="228" t="n"/>
      <c r="X188" s="228" t="n"/>
      <c r="Y188" s="228" t="n"/>
      <c r="Z188" s="228" t="n"/>
      <c r="AA188" s="228" t="n"/>
      <c r="AB188" s="228" t="n"/>
      <c r="AC188" s="228" t="n"/>
      <c r="AD188" s="228" t="n"/>
      <c r="AE188" s="228" t="n"/>
      <c r="AF188" s="228" t="n"/>
      <c r="AG188" s="228" t="n"/>
      <c r="AH188" s="228" t="n"/>
      <c r="AI188" s="228" t="n"/>
      <c r="AJ188" s="228" t="n"/>
      <c r="AK188" s="228" t="n"/>
      <c r="AL188" s="228" t="n"/>
      <c r="AM188" s="228" t="n"/>
      <c r="AN188" s="228" t="n"/>
      <c r="AO188" s="228" t="n"/>
      <c r="AP188" s="228" t="n"/>
      <c r="AQ188" s="228" t="n"/>
      <c r="AR188" s="228" t="n"/>
      <c r="AS188" s="228" t="n"/>
      <c r="AT188" s="228" t="n"/>
      <c r="AU188" s="228" t="n"/>
      <c r="AV188" s="228" t="n"/>
      <c r="AW188" s="228" t="n"/>
      <c r="AX188" s="228" t="n"/>
      <c r="AY188" s="228" t="n"/>
      <c r="AZ188" s="228" t="n"/>
      <c r="BA188" s="228" t="n"/>
      <c r="BB188" s="228" t="n"/>
      <c r="BC188" s="228" t="n"/>
      <c r="BD188" s="228" t="n"/>
      <c r="BE188" s="228" t="n"/>
      <c r="BF188" s="228" t="n"/>
      <c r="BG188" s="228" t="n"/>
      <c r="BH188" s="228" t="n"/>
      <c r="BI188" s="228" t="n"/>
      <c r="BJ188" s="228" t="n"/>
      <c r="BK188" s="228" t="n"/>
      <c r="BL188" s="228" t="n"/>
      <c r="BM188" s="228" t="n"/>
      <c r="BN188" s="228" t="n"/>
      <c r="BO188" s="228" t="n"/>
      <c r="BP188" s="228" t="n"/>
      <c r="BQ188" s="228" t="n"/>
      <c r="BR188" s="228" t="n"/>
      <c r="BS188" s="228" t="n"/>
      <c r="BT188" s="228" t="n"/>
      <c r="BU188" s="228" t="n"/>
      <c r="BV188" s="228" t="n"/>
      <c r="BW188" s="228" t="n"/>
      <c r="BX188" s="228" t="n"/>
      <c r="BY188" s="228" t="n"/>
      <c r="BZ188" s="228" t="n"/>
      <c r="CA188" s="228" t="n"/>
      <c r="CB188" s="228" t="n"/>
      <c r="CC188" s="228" t="n"/>
      <c r="CD188" s="228" t="n"/>
      <c r="CE188" s="228" t="n"/>
      <c r="CF188" s="228" t="n"/>
      <c r="CG188" s="228" t="n"/>
      <c r="CH188" s="228" t="n"/>
      <c r="CI188" s="228" t="n"/>
      <c r="CJ188" s="228" t="n"/>
      <c r="CK188" s="228" t="n"/>
      <c r="CL188" s="228" t="n"/>
      <c r="CM188" s="228" t="n"/>
      <c r="CN188" s="228" t="n"/>
      <c r="CO188" s="228" t="n"/>
      <c r="CP188" s="228" t="n"/>
      <c r="CQ188" s="228" t="n"/>
      <c r="CR188" s="228" t="n"/>
      <c r="CS188" s="228" t="n"/>
      <c r="CT188" s="228" t="n"/>
      <c r="CU188" s="228" t="n"/>
      <c r="CV188" s="228" t="n"/>
      <c r="CW188" s="228" t="n"/>
      <c r="CX188" s="228" t="n"/>
      <c r="CY188" s="228" t="n"/>
      <c r="CZ188" s="228" t="n"/>
      <c r="DA188" s="228" t="n"/>
      <c r="DB188" s="228" t="n"/>
      <c r="DC188" s="228" t="n"/>
    </row>
    <row r="189" s="16">
      <c r="A189" s="228" t="n"/>
      <c r="B189" s="228" t="n"/>
      <c r="C189" s="228" t="n"/>
      <c r="D189" s="228" t="n"/>
      <c r="E189" s="228" t="n"/>
      <c r="F189" s="228" t="n"/>
      <c r="G189" s="228" t="n"/>
      <c r="H189" s="228" t="n"/>
      <c r="I189" s="228" t="n"/>
      <c r="J189" s="228" t="n"/>
      <c r="K189" s="228" t="n"/>
      <c r="L189" s="228" t="n"/>
      <c r="M189" s="228" t="n"/>
      <c r="N189" s="228" t="n"/>
      <c r="O189" s="228" t="n"/>
      <c r="P189" s="228" t="n"/>
      <c r="Q189" s="228" t="n"/>
      <c r="R189" s="228" t="n"/>
      <c r="S189" s="228" t="n"/>
      <c r="T189" s="228" t="n"/>
      <c r="U189" s="228" t="n"/>
      <c r="V189" s="228" t="n"/>
      <c r="W189" s="228" t="n"/>
      <c r="X189" s="228" t="n"/>
      <c r="Y189" s="228" t="n"/>
      <c r="Z189" s="228" t="n"/>
      <c r="AA189" s="228" t="n"/>
      <c r="AB189" s="228" t="n"/>
      <c r="AC189" s="228" t="n"/>
      <c r="AD189" s="228" t="n"/>
      <c r="AE189" s="228" t="n"/>
      <c r="AF189" s="228" t="n"/>
      <c r="AG189" s="228" t="n"/>
      <c r="AH189" s="228" t="n"/>
      <c r="AI189" s="228" t="n"/>
      <c r="AJ189" s="228" t="n"/>
      <c r="AK189" s="228" t="n"/>
      <c r="AL189" s="228" t="n"/>
      <c r="AM189" s="228" t="n"/>
      <c r="AN189" s="228" t="n"/>
      <c r="AO189" s="228" t="n"/>
      <c r="AP189" s="228" t="n"/>
      <c r="AQ189" s="228" t="n"/>
      <c r="AR189" s="228" t="n"/>
      <c r="AS189" s="228" t="n"/>
      <c r="AT189" s="228" t="n"/>
      <c r="AU189" s="228" t="n"/>
      <c r="AV189" s="228" t="n"/>
      <c r="AW189" s="228" t="n"/>
      <c r="AX189" s="228" t="n"/>
      <c r="AY189" s="228" t="n"/>
      <c r="AZ189" s="228" t="n"/>
      <c r="BA189" s="228" t="n"/>
      <c r="BB189" s="228" t="n"/>
      <c r="BC189" s="228" t="n"/>
      <c r="BD189" s="228" t="n"/>
      <c r="BE189" s="228" t="n"/>
      <c r="BF189" s="228" t="n"/>
      <c r="BG189" s="228" t="n"/>
      <c r="BH189" s="228" t="n"/>
      <c r="BI189" s="228" t="n"/>
      <c r="BJ189" s="228" t="n"/>
      <c r="BK189" s="228" t="n"/>
      <c r="BL189" s="228" t="n"/>
      <c r="BM189" s="228" t="n"/>
      <c r="BN189" s="228" t="n"/>
      <c r="BO189" s="228" t="n"/>
      <c r="BP189" s="228" t="n"/>
      <c r="BQ189" s="228" t="n"/>
      <c r="BR189" s="228" t="n"/>
      <c r="BS189" s="228" t="n"/>
      <c r="BT189" s="228" t="n"/>
      <c r="BU189" s="228" t="n"/>
      <c r="BV189" s="228" t="n"/>
      <c r="BW189" s="228" t="n"/>
      <c r="BX189" s="228" t="n"/>
      <c r="BY189" s="228" t="n"/>
      <c r="BZ189" s="228" t="n"/>
      <c r="CA189" s="228" t="n"/>
      <c r="CB189" s="228" t="n"/>
      <c r="CC189" s="228" t="n"/>
      <c r="CD189" s="228" t="n"/>
      <c r="CE189" s="228" t="n"/>
      <c r="CF189" s="228" t="n"/>
      <c r="CG189" s="228" t="n"/>
      <c r="CH189" s="228" t="n"/>
      <c r="CI189" s="228" t="n"/>
      <c r="CJ189" s="228" t="n"/>
      <c r="CK189" s="228" t="n"/>
      <c r="CL189" s="228" t="n"/>
      <c r="CM189" s="228" t="n"/>
      <c r="CN189" s="228" t="n"/>
      <c r="CO189" s="228" t="n"/>
      <c r="CP189" s="228" t="n"/>
      <c r="CQ189" s="228" t="n"/>
      <c r="CR189" s="228" t="n"/>
      <c r="CS189" s="228" t="n"/>
      <c r="CT189" s="228" t="n"/>
      <c r="CU189" s="228" t="n"/>
      <c r="CV189" s="228" t="n"/>
      <c r="CW189" s="228" t="n"/>
      <c r="CX189" s="228" t="n"/>
      <c r="CY189" s="228" t="n"/>
      <c r="CZ189" s="228" t="n"/>
      <c r="DA189" s="228" t="n"/>
      <c r="DB189" s="228" t="n"/>
      <c r="DC189" s="228" t="n"/>
    </row>
    <row r="190" s="16">
      <c r="A190" s="228" t="n"/>
      <c r="B190" s="228" t="n"/>
      <c r="C190" s="228" t="n"/>
      <c r="D190" s="228" t="n"/>
      <c r="E190" s="228" t="n"/>
      <c r="F190" s="228" t="n"/>
      <c r="G190" s="228" t="n"/>
      <c r="H190" s="228" t="n"/>
      <c r="I190" s="228" t="n"/>
      <c r="J190" s="228" t="n"/>
      <c r="K190" s="228" t="n"/>
      <c r="L190" s="228" t="n"/>
      <c r="M190" s="228" t="n"/>
      <c r="N190" s="228" t="n"/>
      <c r="O190" s="228" t="n"/>
      <c r="P190" s="228" t="n"/>
      <c r="Q190" s="228" t="n"/>
      <c r="R190" s="228" t="n"/>
      <c r="S190" s="228" t="n"/>
      <c r="T190" s="228" t="n"/>
      <c r="U190" s="228" t="n"/>
      <c r="V190" s="228" t="n"/>
      <c r="W190" s="228" t="n"/>
      <c r="X190" s="228" t="n"/>
      <c r="Y190" s="228" t="n"/>
      <c r="Z190" s="228" t="n"/>
      <c r="AA190" s="228" t="n"/>
      <c r="AB190" s="228" t="n"/>
      <c r="AC190" s="228" t="n"/>
      <c r="AD190" s="228" t="n"/>
      <c r="AE190" s="228" t="n"/>
      <c r="AF190" s="228" t="n"/>
      <c r="AG190" s="228" t="n"/>
      <c r="AH190" s="228" t="n"/>
      <c r="AI190" s="228" t="n"/>
      <c r="AJ190" s="228" t="n"/>
      <c r="AK190" s="228" t="n"/>
      <c r="AL190" s="228" t="n"/>
      <c r="AM190" s="228" t="n"/>
      <c r="AN190" s="228" t="n"/>
      <c r="AO190" s="228" t="n"/>
      <c r="AP190" s="228" t="n"/>
      <c r="AQ190" s="228" t="n"/>
      <c r="AR190" s="228" t="n"/>
      <c r="AS190" s="228" t="n"/>
      <c r="AT190" s="228" t="n"/>
      <c r="AU190" s="228" t="n"/>
      <c r="AV190" s="228" t="n"/>
      <c r="AW190" s="228" t="n"/>
      <c r="AX190" s="228" t="n"/>
      <c r="AY190" s="228" t="n"/>
      <c r="AZ190" s="228" t="n"/>
      <c r="BA190" s="228" t="n"/>
      <c r="BB190" s="228" t="n"/>
      <c r="BC190" s="228" t="n"/>
      <c r="BD190" s="228" t="n"/>
      <c r="BE190" s="228" t="n"/>
      <c r="BF190" s="228" t="n"/>
      <c r="BG190" s="228" t="n"/>
      <c r="BH190" s="228" t="n"/>
      <c r="BI190" s="228" t="n"/>
      <c r="BJ190" s="228" t="n"/>
      <c r="BK190" s="228" t="n"/>
      <c r="BL190" s="228" t="n"/>
      <c r="BM190" s="228" t="n"/>
      <c r="BN190" s="228" t="n"/>
      <c r="BO190" s="228" t="n"/>
      <c r="BP190" s="228" t="n"/>
      <c r="BQ190" s="228" t="n"/>
      <c r="BR190" s="228" t="n"/>
      <c r="BS190" s="228" t="n"/>
      <c r="BT190" s="228" t="n"/>
      <c r="BU190" s="228" t="n"/>
      <c r="BV190" s="228" t="n"/>
      <c r="BW190" s="228" t="n"/>
      <c r="BX190" s="228" t="n"/>
      <c r="BY190" s="228" t="n"/>
      <c r="BZ190" s="228" t="n"/>
      <c r="CA190" s="228" t="n"/>
      <c r="CB190" s="228" t="n"/>
      <c r="CC190" s="228" t="n"/>
      <c r="CD190" s="228" t="n"/>
      <c r="CE190" s="228" t="n"/>
      <c r="CF190" s="228" t="n"/>
      <c r="CG190" s="228" t="n"/>
      <c r="CH190" s="228" t="n"/>
      <c r="CI190" s="228" t="n"/>
      <c r="CJ190" s="228" t="n"/>
      <c r="CK190" s="228" t="n"/>
      <c r="CL190" s="228" t="n"/>
      <c r="CM190" s="228" t="n"/>
      <c r="CN190" s="228" t="n"/>
      <c r="CO190" s="228" t="n"/>
      <c r="CP190" s="228" t="n"/>
      <c r="CQ190" s="228" t="n"/>
      <c r="CR190" s="228" t="n"/>
      <c r="CS190" s="228" t="n"/>
      <c r="CT190" s="228" t="n"/>
      <c r="CU190" s="228" t="n"/>
      <c r="CV190" s="228" t="n"/>
      <c r="CW190" s="228" t="n"/>
      <c r="CX190" s="228" t="n"/>
      <c r="CY190" s="228" t="n"/>
      <c r="CZ190" s="228" t="n"/>
      <c r="DA190" s="228" t="n"/>
      <c r="DB190" s="228" t="n"/>
      <c r="DC190" s="228" t="n"/>
    </row>
    <row r="191" s="16">
      <c r="A191" s="228" t="n"/>
      <c r="B191" s="228" t="n"/>
      <c r="C191" s="228" t="n"/>
      <c r="D191" s="228" t="n"/>
      <c r="E191" s="228" t="n"/>
      <c r="F191" s="228" t="n"/>
      <c r="G191" s="228" t="n"/>
      <c r="H191" s="228" t="n"/>
      <c r="I191" s="228" t="n"/>
      <c r="J191" s="228" t="n"/>
      <c r="K191" s="228" t="n"/>
      <c r="L191" s="228" t="n"/>
      <c r="M191" s="228" t="n"/>
      <c r="N191" s="228" t="n"/>
      <c r="O191" s="228" t="n"/>
      <c r="P191" s="228" t="n"/>
      <c r="Q191" s="228" t="n"/>
      <c r="R191" s="228" t="n"/>
      <c r="S191" s="228" t="n"/>
      <c r="T191" s="228" t="n"/>
      <c r="U191" s="228" t="n"/>
      <c r="V191" s="228" t="n"/>
      <c r="W191" s="228" t="n"/>
      <c r="X191" s="228" t="n"/>
      <c r="Y191" s="228" t="n"/>
      <c r="Z191" s="228" t="n"/>
      <c r="AA191" s="228" t="n"/>
      <c r="AB191" s="228" t="n"/>
      <c r="AC191" s="228" t="n"/>
      <c r="AD191" s="228" t="n"/>
      <c r="AE191" s="228" t="n"/>
      <c r="AF191" s="228" t="n"/>
      <c r="AG191" s="228" t="n"/>
      <c r="AH191" s="228" t="n"/>
      <c r="AI191" s="228" t="n"/>
      <c r="AJ191" s="228" t="n"/>
      <c r="AK191" s="228" t="n"/>
      <c r="AL191" s="228" t="n"/>
      <c r="AM191" s="228" t="n"/>
      <c r="AN191" s="228" t="n"/>
      <c r="AO191" s="228" t="n"/>
      <c r="AP191" s="228" t="n"/>
      <c r="AQ191" s="228" t="n"/>
      <c r="AR191" s="228" t="n"/>
      <c r="AS191" s="228" t="n"/>
      <c r="AT191" s="228" t="n"/>
      <c r="AU191" s="228" t="n"/>
      <c r="AV191" s="228" t="n"/>
      <c r="AW191" s="228" t="n"/>
      <c r="AX191" s="228" t="n"/>
      <c r="AY191" s="228" t="n"/>
      <c r="AZ191" s="228" t="n"/>
      <c r="BA191" s="228" t="n"/>
      <c r="BB191" s="228" t="n"/>
      <c r="BC191" s="228" t="n"/>
      <c r="BD191" s="228" t="n"/>
      <c r="BE191" s="228" t="n"/>
      <c r="BF191" s="228" t="n"/>
      <c r="BG191" s="228" t="n"/>
      <c r="BH191" s="228" t="n"/>
      <c r="BI191" s="228" t="n"/>
      <c r="BJ191" s="228" t="n"/>
      <c r="BK191" s="228" t="n"/>
      <c r="BL191" s="228" t="n"/>
      <c r="BM191" s="228" t="n"/>
      <c r="BN191" s="228" t="n"/>
      <c r="BO191" s="228" t="n"/>
      <c r="BP191" s="228" t="n"/>
      <c r="BQ191" s="228" t="n"/>
      <c r="BR191" s="228" t="n"/>
      <c r="BS191" s="228" t="n"/>
      <c r="BT191" s="228" t="n"/>
      <c r="BU191" s="228" t="n"/>
      <c r="BV191" s="228" t="n"/>
      <c r="BW191" s="228" t="n"/>
      <c r="BX191" s="228" t="n"/>
      <c r="BY191" s="228" t="n"/>
      <c r="BZ191" s="228" t="n"/>
      <c r="CA191" s="228" t="n"/>
      <c r="CB191" s="228" t="n"/>
      <c r="CC191" s="228" t="n"/>
      <c r="CD191" s="228" t="n"/>
      <c r="CE191" s="228" t="n"/>
      <c r="CF191" s="228" t="n"/>
      <c r="CG191" s="228" t="n"/>
      <c r="CH191" s="228" t="n"/>
      <c r="CI191" s="228" t="n"/>
      <c r="CJ191" s="228" t="n"/>
      <c r="CK191" s="228" t="n"/>
      <c r="CL191" s="228" t="n"/>
      <c r="CM191" s="228" t="n"/>
      <c r="CN191" s="228" t="n"/>
      <c r="CO191" s="228" t="n"/>
      <c r="CP191" s="228" t="n"/>
      <c r="CQ191" s="228" t="n"/>
      <c r="CR191" s="228" t="n"/>
      <c r="CS191" s="228" t="n"/>
      <c r="CT191" s="228" t="n"/>
      <c r="CU191" s="228" t="n"/>
      <c r="CV191" s="228" t="n"/>
      <c r="CW191" s="228" t="n"/>
      <c r="CX191" s="228" t="n"/>
      <c r="CY191" s="228" t="n"/>
      <c r="CZ191" s="228" t="n"/>
      <c r="DA191" s="228" t="n"/>
      <c r="DB191" s="228" t="n"/>
      <c r="DC191" s="228" t="n"/>
    </row>
    <row r="192" s="16">
      <c r="A192" s="228" t="n"/>
      <c r="B192" s="228" t="n"/>
      <c r="C192" s="228" t="n"/>
      <c r="D192" s="228" t="n"/>
      <c r="E192" s="228" t="n"/>
      <c r="F192" s="228" t="n"/>
      <c r="G192" s="228" t="n"/>
      <c r="H192" s="228" t="n"/>
      <c r="I192" s="228" t="n"/>
      <c r="J192" s="228" t="n"/>
      <c r="K192" s="228" t="n"/>
      <c r="L192" s="228" t="n"/>
      <c r="M192" s="228" t="n"/>
      <c r="N192" s="228" t="n"/>
      <c r="O192" s="228" t="n"/>
      <c r="P192" s="228" t="n"/>
      <c r="Q192" s="228" t="n"/>
      <c r="R192" s="228" t="n"/>
      <c r="S192" s="228" t="n"/>
      <c r="T192" s="228" t="n"/>
      <c r="U192" s="228" t="n"/>
      <c r="V192" s="228" t="n"/>
      <c r="W192" s="228" t="n"/>
      <c r="X192" s="228" t="n"/>
      <c r="Y192" s="228" t="n"/>
      <c r="Z192" s="228" t="n"/>
      <c r="AA192" s="228" t="n"/>
      <c r="AB192" s="228" t="n"/>
      <c r="AC192" s="228" t="n"/>
      <c r="AD192" s="228" t="n"/>
      <c r="AE192" s="228" t="n"/>
      <c r="AF192" s="228" t="n"/>
      <c r="AG192" s="228" t="n"/>
      <c r="AH192" s="228" t="n"/>
      <c r="AI192" s="228" t="n"/>
      <c r="AJ192" s="228" t="n"/>
      <c r="AK192" s="228" t="n"/>
      <c r="AL192" s="228" t="n"/>
      <c r="AM192" s="228" t="n"/>
      <c r="AN192" s="228" t="n"/>
      <c r="AO192" s="228" t="n"/>
      <c r="AP192" s="228" t="n"/>
      <c r="AQ192" s="228" t="n"/>
      <c r="AR192" s="228" t="n"/>
      <c r="AS192" s="228" t="n"/>
      <c r="AT192" s="228" t="n"/>
      <c r="AU192" s="228" t="n"/>
      <c r="AV192" s="228" t="n"/>
      <c r="AW192" s="228" t="n"/>
      <c r="AX192" s="228" t="n"/>
      <c r="AY192" s="228" t="n"/>
      <c r="AZ192" s="228" t="n"/>
      <c r="BA192" s="228" t="n"/>
      <c r="BB192" s="228" t="n"/>
      <c r="BC192" s="228" t="n"/>
      <c r="BD192" s="228" t="n"/>
      <c r="BE192" s="228" t="n"/>
      <c r="BF192" s="228" t="n"/>
      <c r="BG192" s="228" t="n"/>
      <c r="BH192" s="228" t="n"/>
      <c r="BI192" s="228" t="n"/>
      <c r="BJ192" s="228" t="n"/>
      <c r="BK192" s="228" t="n"/>
      <c r="BL192" s="228" t="n"/>
      <c r="BM192" s="228" t="n"/>
      <c r="BN192" s="228" t="n"/>
      <c r="BO192" s="228" t="n"/>
      <c r="BP192" s="228" t="n"/>
      <c r="BQ192" s="228" t="n"/>
      <c r="BR192" s="228" t="n"/>
      <c r="BS192" s="228" t="n"/>
      <c r="BT192" s="228" t="n"/>
      <c r="BU192" s="228" t="n"/>
      <c r="BV192" s="228" t="n"/>
      <c r="BW192" s="228" t="n"/>
      <c r="BX192" s="228" t="n"/>
      <c r="BY192" s="228" t="n"/>
      <c r="BZ192" s="228" t="n"/>
      <c r="CA192" s="228" t="n"/>
      <c r="CB192" s="228" t="n"/>
      <c r="CC192" s="228" t="n"/>
      <c r="CD192" s="228" t="n"/>
      <c r="CE192" s="228" t="n"/>
      <c r="CF192" s="228" t="n"/>
      <c r="CG192" s="228" t="n"/>
      <c r="CH192" s="228" t="n"/>
      <c r="CI192" s="228" t="n"/>
      <c r="CJ192" s="228" t="n"/>
      <c r="CK192" s="228" t="n"/>
      <c r="CL192" s="228" t="n"/>
      <c r="CM192" s="228" t="n"/>
      <c r="CN192" s="228" t="n"/>
      <c r="CO192" s="228" t="n"/>
      <c r="CP192" s="228" t="n"/>
      <c r="CQ192" s="228" t="n"/>
      <c r="CR192" s="228" t="n"/>
      <c r="CS192" s="228" t="n"/>
      <c r="CT192" s="228" t="n"/>
      <c r="CU192" s="228" t="n"/>
      <c r="CV192" s="228" t="n"/>
      <c r="CW192" s="228" t="n"/>
      <c r="CX192" s="228" t="n"/>
      <c r="CY192" s="228" t="n"/>
      <c r="CZ192" s="228" t="n"/>
      <c r="DA192" s="228" t="n"/>
      <c r="DB192" s="228" t="n"/>
      <c r="DC192" s="228" t="n"/>
    </row>
    <row r="193" s="16">
      <c r="A193" s="228" t="n"/>
      <c r="B193" s="228" t="n"/>
      <c r="C193" s="228" t="n"/>
      <c r="D193" s="228" t="n"/>
      <c r="E193" s="228" t="n"/>
      <c r="F193" s="228" t="n"/>
      <c r="G193" s="228" t="n"/>
      <c r="H193" s="228" t="n"/>
      <c r="I193" s="228" t="n"/>
      <c r="J193" s="228" t="n"/>
      <c r="K193" s="228" t="n"/>
      <c r="L193" s="228" t="n"/>
      <c r="M193" s="228" t="n"/>
      <c r="N193" s="228" t="n"/>
      <c r="O193" s="228" t="n"/>
      <c r="P193" s="228" t="n"/>
      <c r="Q193" s="228" t="n"/>
      <c r="R193" s="228" t="n"/>
      <c r="S193" s="228" t="n"/>
      <c r="T193" s="228" t="n"/>
      <c r="U193" s="228" t="n"/>
      <c r="V193" s="228" t="n"/>
      <c r="W193" s="228" t="n"/>
      <c r="X193" s="228" t="n"/>
      <c r="Y193" s="228" t="n"/>
      <c r="Z193" s="228" t="n"/>
      <c r="AA193" s="228" t="n"/>
      <c r="AB193" s="228" t="n"/>
      <c r="AC193" s="228" t="n"/>
      <c r="AD193" s="228" t="n"/>
      <c r="AE193" s="228" t="n"/>
      <c r="AF193" s="228" t="n"/>
      <c r="AG193" s="228" t="n"/>
      <c r="AH193" s="228" t="n"/>
      <c r="AI193" s="228" t="n"/>
      <c r="AJ193" s="228" t="n"/>
      <c r="AK193" s="228" t="n"/>
      <c r="AL193" s="228" t="n"/>
      <c r="AM193" s="228" t="n"/>
      <c r="AN193" s="228" t="n"/>
      <c r="AO193" s="228" t="n"/>
      <c r="AP193" s="228" t="n"/>
      <c r="AQ193" s="228" t="n"/>
      <c r="AR193" s="228" t="n"/>
      <c r="AS193" s="228" t="n"/>
      <c r="AT193" s="228" t="n"/>
      <c r="AU193" s="228" t="n"/>
      <c r="AV193" s="228" t="n"/>
      <c r="AW193" s="228" t="n"/>
      <c r="AX193" s="228" t="n"/>
      <c r="AY193" s="228" t="n"/>
      <c r="AZ193" s="228" t="n"/>
      <c r="BA193" s="228" t="n"/>
      <c r="BB193" s="228" t="n"/>
      <c r="BC193" s="228" t="n"/>
      <c r="BD193" s="228" t="n"/>
      <c r="BE193" s="228" t="n"/>
      <c r="BF193" s="228" t="n"/>
      <c r="BG193" s="228" t="n"/>
      <c r="BH193" s="228" t="n"/>
      <c r="BI193" s="228" t="n"/>
      <c r="BJ193" s="228" t="n"/>
      <c r="BK193" s="228" t="n"/>
      <c r="BL193" s="228" t="n"/>
      <c r="BM193" s="228" t="n"/>
      <c r="BN193" s="228" t="n"/>
      <c r="BO193" s="228" t="n"/>
      <c r="BP193" s="228" t="n"/>
      <c r="BQ193" s="228" t="n"/>
      <c r="BR193" s="228" t="n"/>
      <c r="BS193" s="228" t="n"/>
      <c r="BT193" s="228" t="n"/>
      <c r="BU193" s="228" t="n"/>
      <c r="BV193" s="228" t="n"/>
      <c r="BW193" s="228" t="n"/>
      <c r="BX193" s="228" t="n"/>
      <c r="BY193" s="228" t="n"/>
      <c r="BZ193" s="228" t="n"/>
      <c r="CA193" s="228" t="n"/>
      <c r="CB193" s="228" t="n"/>
      <c r="CC193" s="228" t="n"/>
      <c r="CD193" s="228" t="n"/>
      <c r="CE193" s="228" t="n"/>
      <c r="CF193" s="228" t="n"/>
      <c r="CG193" s="228" t="n"/>
      <c r="CH193" s="228" t="n"/>
      <c r="CI193" s="228" t="n"/>
      <c r="CJ193" s="228" t="n"/>
      <c r="CK193" s="228" t="n"/>
      <c r="CL193" s="228" t="n"/>
      <c r="CM193" s="228" t="n"/>
      <c r="CN193" s="228" t="n"/>
      <c r="CO193" s="228" t="n"/>
      <c r="CP193" s="228" t="n"/>
      <c r="CQ193" s="228" t="n"/>
      <c r="CR193" s="228" t="n"/>
      <c r="CS193" s="228" t="n"/>
      <c r="CT193" s="228" t="n"/>
      <c r="CU193" s="228" t="n"/>
      <c r="CV193" s="228" t="n"/>
      <c r="CW193" s="228" t="n"/>
      <c r="CX193" s="228" t="n"/>
      <c r="CY193" s="228" t="n"/>
      <c r="CZ193" s="228" t="n"/>
      <c r="DA193" s="228" t="n"/>
      <c r="DB193" s="228" t="n"/>
      <c r="DC193" s="228" t="n"/>
    </row>
    <row r="194" s="16">
      <c r="A194" s="228" t="n"/>
      <c r="B194" s="228" t="n"/>
      <c r="C194" s="228" t="n"/>
      <c r="D194" s="228" t="n"/>
      <c r="E194" s="228" t="n"/>
      <c r="F194" s="228" t="n"/>
      <c r="G194" s="228" t="n"/>
      <c r="H194" s="228" t="n"/>
      <c r="I194" s="228" t="n"/>
      <c r="J194" s="228" t="n"/>
      <c r="K194" s="228" t="n"/>
      <c r="L194" s="228" t="n"/>
      <c r="M194" s="228" t="n"/>
      <c r="N194" s="228" t="n"/>
      <c r="O194" s="228" t="n"/>
      <c r="P194" s="228" t="n"/>
      <c r="Q194" s="228" t="n"/>
      <c r="R194" s="228" t="n"/>
      <c r="S194" s="228" t="n"/>
      <c r="T194" s="228" t="n"/>
      <c r="U194" s="228" t="n"/>
      <c r="V194" s="228" t="n"/>
      <c r="W194" s="228" t="n"/>
      <c r="X194" s="228" t="n"/>
      <c r="Y194" s="228" t="n"/>
      <c r="Z194" s="228" t="n"/>
      <c r="AA194" s="228" t="n"/>
      <c r="AB194" s="228" t="n"/>
      <c r="AC194" s="228" t="n"/>
      <c r="AD194" s="228" t="n"/>
      <c r="AE194" s="228" t="n"/>
      <c r="AF194" s="228" t="n"/>
      <c r="AG194" s="228" t="n"/>
      <c r="AH194" s="228" t="n"/>
      <c r="AI194" s="228" t="n"/>
      <c r="AJ194" s="228" t="n"/>
      <c r="AK194" s="228" t="n"/>
      <c r="AL194" s="228" t="n"/>
      <c r="AM194" s="228" t="n"/>
      <c r="AN194" s="228" t="n"/>
      <c r="AO194" s="228" t="n"/>
      <c r="AP194" s="228" t="n"/>
      <c r="AQ194" s="228" t="n"/>
      <c r="AR194" s="228" t="n"/>
      <c r="AS194" s="228" t="n"/>
      <c r="AT194" s="228" t="n"/>
      <c r="AU194" s="228" t="n"/>
      <c r="AV194" s="228" t="n"/>
      <c r="AW194" s="228" t="n"/>
      <c r="AX194" s="228" t="n"/>
      <c r="AY194" s="228" t="n"/>
      <c r="AZ194" s="228" t="n"/>
      <c r="BA194" s="228" t="n"/>
      <c r="BB194" s="228" t="n"/>
      <c r="BC194" s="228" t="n"/>
      <c r="BD194" s="228" t="n"/>
      <c r="BE194" s="228" t="n"/>
      <c r="BF194" s="228" t="n"/>
      <c r="BG194" s="228" t="n"/>
      <c r="BH194" s="228" t="n"/>
      <c r="BI194" s="228" t="n"/>
      <c r="BJ194" s="228" t="n"/>
      <c r="BK194" s="228" t="n"/>
      <c r="BL194" s="228" t="n"/>
      <c r="BM194" s="228" t="n"/>
      <c r="BN194" s="228" t="n"/>
      <c r="BO194" s="228" t="n"/>
      <c r="BP194" s="228" t="n"/>
      <c r="BQ194" s="228" t="n"/>
      <c r="BR194" s="228" t="n"/>
      <c r="BS194" s="228" t="n"/>
      <c r="BT194" s="228" t="n"/>
      <c r="BU194" s="228" t="n"/>
      <c r="BV194" s="228" t="n"/>
      <c r="BW194" s="228" t="n"/>
      <c r="BX194" s="228" t="n"/>
      <c r="BY194" s="228" t="n"/>
      <c r="BZ194" s="228" t="n"/>
      <c r="CA194" s="228" t="n"/>
      <c r="CB194" s="228" t="n"/>
      <c r="CC194" s="228" t="n"/>
      <c r="CD194" s="228" t="n"/>
      <c r="CE194" s="228" t="n"/>
      <c r="CF194" s="228" t="n"/>
      <c r="CG194" s="228" t="n"/>
      <c r="CH194" s="228" t="n"/>
      <c r="CI194" s="228" t="n"/>
      <c r="CJ194" s="228" t="n"/>
      <c r="CK194" s="228" t="n"/>
      <c r="CL194" s="228" t="n"/>
      <c r="CM194" s="228" t="n"/>
      <c r="CN194" s="228" t="n"/>
      <c r="CO194" s="228" t="n"/>
      <c r="CP194" s="228" t="n"/>
      <c r="CQ194" s="228" t="n"/>
      <c r="CR194" s="228" t="n"/>
      <c r="CS194" s="228" t="n"/>
      <c r="CT194" s="228" t="n"/>
      <c r="CU194" s="228" t="n"/>
      <c r="CV194" s="228" t="n"/>
      <c r="CW194" s="228" t="n"/>
      <c r="CX194" s="228" t="n"/>
      <c r="CY194" s="228" t="n"/>
      <c r="CZ194" s="228" t="n"/>
      <c r="DA194" s="228" t="n"/>
      <c r="DB194" s="228" t="n"/>
      <c r="DC194" s="228" t="n"/>
    </row>
    <row r="195" s="16">
      <c r="A195" s="228" t="n"/>
      <c r="B195" s="228" t="n"/>
      <c r="C195" s="228" t="n"/>
      <c r="D195" s="228" t="n"/>
      <c r="E195" s="228" t="n"/>
      <c r="F195" s="228" t="n"/>
      <c r="G195" s="228" t="n"/>
      <c r="H195" s="228" t="n"/>
      <c r="I195" s="228" t="n"/>
      <c r="J195" s="228" t="n"/>
      <c r="K195" s="228" t="n"/>
      <c r="L195" s="228" t="n"/>
      <c r="M195" s="228" t="n"/>
      <c r="N195" s="228" t="n"/>
      <c r="O195" s="228" t="n"/>
      <c r="P195" s="228" t="n"/>
      <c r="Q195" s="228" t="n"/>
      <c r="R195" s="228" t="n"/>
      <c r="S195" s="228" t="n"/>
      <c r="T195" s="228" t="n"/>
      <c r="U195" s="228" t="n"/>
      <c r="V195" s="228" t="n"/>
      <c r="W195" s="228" t="n"/>
      <c r="X195" s="228" t="n"/>
      <c r="Y195" s="228" t="n"/>
      <c r="Z195" s="228" t="n"/>
      <c r="AA195" s="228" t="n"/>
      <c r="AB195" s="228" t="n"/>
      <c r="AC195" s="228" t="n"/>
      <c r="AD195" s="228" t="n"/>
      <c r="AE195" s="228" t="n"/>
      <c r="AF195" s="228" t="n"/>
      <c r="AG195" s="228" t="n"/>
      <c r="AH195" s="228" t="n"/>
      <c r="AI195" s="228" t="n"/>
      <c r="AJ195" s="228" t="n"/>
      <c r="AK195" s="228" t="n"/>
      <c r="AL195" s="228" t="n"/>
      <c r="AM195" s="228" t="n"/>
      <c r="AN195" s="228" t="n"/>
      <c r="AO195" s="228" t="n"/>
      <c r="AP195" s="228" t="n"/>
      <c r="AQ195" s="228" t="n"/>
      <c r="AR195" s="228" t="n"/>
      <c r="AS195" s="228" t="n"/>
      <c r="AT195" s="228" t="n"/>
      <c r="AU195" s="228" t="n"/>
      <c r="AV195" s="228" t="n"/>
      <c r="AW195" s="228" t="n"/>
      <c r="AX195" s="228" t="n"/>
      <c r="AY195" s="228" t="n"/>
      <c r="AZ195" s="228" t="n"/>
      <c r="BA195" s="228" t="n"/>
      <c r="BB195" s="228" t="n"/>
      <c r="BC195" s="228" t="n"/>
      <c r="BD195" s="228" t="n"/>
      <c r="BE195" s="228" t="n"/>
      <c r="BF195" s="228" t="n"/>
      <c r="BG195" s="228" t="n"/>
      <c r="BH195" s="228" t="n"/>
      <c r="BI195" s="228" t="n"/>
      <c r="BJ195" s="228" t="n"/>
      <c r="BK195" s="228" t="n"/>
      <c r="BL195" s="228" t="n"/>
      <c r="BM195" s="228" t="n"/>
      <c r="BN195" s="228" t="n"/>
      <c r="BO195" s="228" t="n"/>
      <c r="BP195" s="228" t="n"/>
      <c r="BQ195" s="228" t="n"/>
      <c r="BR195" s="228" t="n"/>
      <c r="BS195" s="228" t="n"/>
      <c r="BT195" s="228" t="n"/>
      <c r="BU195" s="228" t="n"/>
      <c r="BV195" s="228" t="n"/>
      <c r="BW195" s="228" t="n"/>
      <c r="BX195" s="228" t="n"/>
      <c r="BY195" s="228" t="n"/>
      <c r="BZ195" s="228" t="n"/>
      <c r="CA195" s="228" t="n"/>
      <c r="CB195" s="228" t="n"/>
      <c r="CC195" s="228" t="n"/>
      <c r="CD195" s="228" t="n"/>
      <c r="CE195" s="228" t="n"/>
      <c r="CF195" s="228" t="n"/>
      <c r="CG195" s="228" t="n"/>
      <c r="CH195" s="228" t="n"/>
      <c r="CI195" s="228" t="n"/>
      <c r="CJ195" s="228" t="n"/>
      <c r="CK195" s="228" t="n"/>
      <c r="CL195" s="228" t="n"/>
      <c r="CM195" s="228" t="n"/>
      <c r="CN195" s="228" t="n"/>
      <c r="CO195" s="228" t="n"/>
      <c r="CP195" s="228" t="n"/>
      <c r="CQ195" s="228" t="n"/>
      <c r="CR195" s="228" t="n"/>
      <c r="CS195" s="228" t="n"/>
      <c r="CT195" s="228" t="n"/>
      <c r="CU195" s="228" t="n"/>
      <c r="CV195" s="228" t="n"/>
      <c r="CW195" s="228" t="n"/>
      <c r="CX195" s="228" t="n"/>
      <c r="CY195" s="228" t="n"/>
      <c r="CZ195" s="228" t="n"/>
      <c r="DA195" s="228" t="n"/>
      <c r="DB195" s="228" t="n"/>
      <c r="DC195" s="228" t="n"/>
    </row>
    <row r="196" s="16">
      <c r="A196" s="228" t="n"/>
      <c r="B196" s="228" t="n"/>
      <c r="C196" s="228" t="n"/>
      <c r="D196" s="228" t="n"/>
      <c r="E196" s="228" t="n"/>
      <c r="F196" s="228" t="n"/>
      <c r="G196" s="228" t="n"/>
      <c r="H196" s="228" t="n"/>
      <c r="I196" s="228" t="n"/>
      <c r="J196" s="228" t="n"/>
      <c r="K196" s="228" t="n"/>
      <c r="L196" s="228" t="n"/>
      <c r="M196" s="228" t="n"/>
      <c r="N196" s="228" t="n"/>
      <c r="O196" s="228" t="n"/>
      <c r="P196" s="228" t="n"/>
      <c r="Q196" s="228" t="n"/>
      <c r="R196" s="228" t="n"/>
      <c r="S196" s="228" t="n"/>
      <c r="T196" s="228" t="n"/>
      <c r="U196" s="228" t="n"/>
      <c r="V196" s="228" t="n"/>
      <c r="W196" s="228" t="n"/>
      <c r="X196" s="228" t="n"/>
      <c r="Y196" s="228" t="n"/>
      <c r="Z196" s="228" t="n"/>
      <c r="AA196" s="228" t="n"/>
      <c r="AB196" s="228" t="n"/>
      <c r="AC196" s="228" t="n"/>
      <c r="AD196" s="228" t="n"/>
      <c r="AE196" s="228" t="n"/>
      <c r="AF196" s="228" t="n"/>
      <c r="AG196" s="228" t="n"/>
      <c r="AH196" s="228" t="n"/>
      <c r="AI196" s="228" t="n"/>
      <c r="AJ196" s="228" t="n"/>
      <c r="AK196" s="228" t="n"/>
      <c r="AL196" s="228" t="n"/>
      <c r="AM196" s="228" t="n"/>
      <c r="AN196" s="228" t="n"/>
      <c r="AO196" s="228" t="n"/>
      <c r="AP196" s="228" t="n"/>
      <c r="AQ196" s="228" t="n"/>
      <c r="AR196" s="228" t="n"/>
      <c r="AS196" s="228" t="n"/>
      <c r="AT196" s="228" t="n"/>
      <c r="AU196" s="228" t="n"/>
      <c r="AV196" s="228" t="n"/>
      <c r="AW196" s="228" t="n"/>
      <c r="AX196" s="228" t="n"/>
      <c r="AY196" s="228" t="n"/>
      <c r="AZ196" s="228" t="n"/>
      <c r="BA196" s="228" t="n"/>
      <c r="BB196" s="228" t="n"/>
      <c r="BC196" s="228" t="n"/>
      <c r="BD196" s="228" t="n"/>
      <c r="BE196" s="228" t="n"/>
      <c r="BF196" s="228" t="n"/>
      <c r="BG196" s="228" t="n"/>
      <c r="BH196" s="228" t="n"/>
      <c r="BI196" s="228" t="n"/>
      <c r="BJ196" s="228" t="n"/>
      <c r="BK196" s="228" t="n"/>
      <c r="BL196" s="228" t="n"/>
      <c r="BM196" s="228" t="n"/>
      <c r="BN196" s="228" t="n"/>
      <c r="BO196" s="228" t="n"/>
      <c r="BP196" s="228" t="n"/>
      <c r="BQ196" s="228" t="n"/>
      <c r="BR196" s="228" t="n"/>
      <c r="BS196" s="228" t="n"/>
      <c r="BT196" s="228" t="n"/>
      <c r="BU196" s="228" t="n"/>
      <c r="BV196" s="228" t="n"/>
      <c r="BW196" s="228" t="n"/>
      <c r="BX196" s="228" t="n"/>
      <c r="BY196" s="228" t="n"/>
      <c r="BZ196" s="228" t="n"/>
      <c r="CA196" s="228" t="n"/>
      <c r="CB196" s="228" t="n"/>
      <c r="CC196" s="228" t="n"/>
      <c r="CD196" s="228" t="n"/>
      <c r="CE196" s="228" t="n"/>
      <c r="CF196" s="228" t="n"/>
      <c r="CG196" s="228" t="n"/>
      <c r="CH196" s="228" t="n"/>
      <c r="CI196" s="228" t="n"/>
      <c r="CJ196" s="228" t="n"/>
      <c r="CK196" s="228" t="n"/>
      <c r="CL196" s="228" t="n"/>
      <c r="CM196" s="228" t="n"/>
      <c r="CN196" s="228" t="n"/>
      <c r="CO196" s="228" t="n"/>
      <c r="CP196" s="228" t="n"/>
      <c r="CQ196" s="228" t="n"/>
      <c r="CR196" s="228" t="n"/>
      <c r="CS196" s="228" t="n"/>
      <c r="CT196" s="228" t="n"/>
      <c r="CU196" s="228" t="n"/>
      <c r="CV196" s="228" t="n"/>
      <c r="CW196" s="228" t="n"/>
      <c r="CX196" s="228" t="n"/>
      <c r="CY196" s="228" t="n"/>
      <c r="CZ196" s="228" t="n"/>
      <c r="DA196" s="228" t="n"/>
      <c r="DB196" s="228" t="n"/>
      <c r="DC196" s="228" t="n"/>
    </row>
    <row r="197" s="16">
      <c r="A197" s="228" t="n"/>
      <c r="B197" s="228" t="n"/>
      <c r="C197" s="228" t="n"/>
      <c r="D197" s="228" t="n"/>
      <c r="E197" s="228" t="n"/>
      <c r="F197" s="228" t="n"/>
      <c r="G197" s="228" t="n"/>
      <c r="H197" s="228" t="n"/>
      <c r="I197" s="228" t="n"/>
      <c r="J197" s="228" t="n"/>
      <c r="K197" s="228" t="n"/>
      <c r="L197" s="228" t="n"/>
      <c r="M197" s="228" t="n"/>
      <c r="N197" s="228" t="n"/>
      <c r="O197" s="228" t="n"/>
      <c r="P197" s="228" t="n"/>
      <c r="Q197" s="228" t="n"/>
      <c r="R197" s="228" t="n"/>
      <c r="S197" s="228" t="n"/>
      <c r="T197" s="228" t="n"/>
      <c r="U197" s="228" t="n"/>
      <c r="V197" s="228" t="n"/>
      <c r="W197" s="228" t="n"/>
      <c r="X197" s="228" t="n"/>
      <c r="Y197" s="228" t="n"/>
      <c r="Z197" s="228" t="n"/>
      <c r="AA197" s="228" t="n"/>
      <c r="AB197" s="228" t="n"/>
      <c r="AC197" s="228" t="n"/>
      <c r="AD197" s="228" t="n"/>
      <c r="AE197" s="228" t="n"/>
      <c r="AF197" s="228" t="n"/>
      <c r="AG197" s="228" t="n"/>
      <c r="AH197" s="228" t="n"/>
      <c r="AI197" s="228" t="n"/>
      <c r="AJ197" s="228" t="n"/>
      <c r="AK197" s="228" t="n"/>
      <c r="AL197" s="228" t="n"/>
      <c r="AM197" s="228" t="n"/>
      <c r="AN197" s="228" t="n"/>
      <c r="AO197" s="228" t="n"/>
      <c r="AP197" s="228" t="n"/>
      <c r="AQ197" s="228" t="n"/>
      <c r="AR197" s="228" t="n"/>
      <c r="AS197" s="228" t="n"/>
      <c r="AT197" s="228" t="n"/>
      <c r="AU197" s="228" t="n"/>
      <c r="AV197" s="228" t="n"/>
      <c r="AW197" s="228" t="n"/>
      <c r="AX197" s="228" t="n"/>
      <c r="AY197" s="228" t="n"/>
      <c r="AZ197" s="228" t="n"/>
      <c r="BA197" s="228" t="n"/>
      <c r="BB197" s="228" t="n"/>
      <c r="BC197" s="228" t="n"/>
      <c r="BD197" s="228" t="n"/>
      <c r="BE197" s="228" t="n"/>
      <c r="BF197" s="228" t="n"/>
      <c r="BG197" s="228" t="n"/>
      <c r="BH197" s="228" t="n"/>
      <c r="BI197" s="228" t="n"/>
      <c r="BJ197" s="228" t="n"/>
      <c r="BK197" s="228" t="n"/>
      <c r="BL197" s="228" t="n"/>
      <c r="BM197" s="228" t="n"/>
      <c r="BN197" s="228" t="n"/>
      <c r="BO197" s="228" t="n"/>
      <c r="BP197" s="228" t="n"/>
      <c r="BQ197" s="228" t="n"/>
      <c r="BR197" s="228" t="n"/>
      <c r="BS197" s="228" t="n"/>
      <c r="BT197" s="228" t="n"/>
      <c r="BU197" s="228" t="n"/>
      <c r="BV197" s="228" t="n"/>
      <c r="BW197" s="228" t="n"/>
      <c r="BX197" s="228" t="n"/>
      <c r="BY197" s="228" t="n"/>
      <c r="BZ197" s="228" t="n"/>
      <c r="CA197" s="228" t="n"/>
      <c r="CB197" s="228" t="n"/>
      <c r="CC197" s="228" t="n"/>
      <c r="CD197" s="228" t="n"/>
      <c r="CE197" s="228" t="n"/>
      <c r="CF197" s="228" t="n"/>
      <c r="CG197" s="228" t="n"/>
      <c r="CH197" s="228" t="n"/>
      <c r="CI197" s="228" t="n"/>
      <c r="CJ197" s="228" t="n"/>
      <c r="CK197" s="228" t="n"/>
      <c r="CL197" s="228" t="n"/>
      <c r="CM197" s="228" t="n"/>
      <c r="CN197" s="228" t="n"/>
      <c r="CO197" s="228" t="n"/>
      <c r="CP197" s="228" t="n"/>
      <c r="CQ197" s="228" t="n"/>
      <c r="CR197" s="228" t="n"/>
      <c r="CS197" s="228" t="n"/>
      <c r="CT197" s="228" t="n"/>
      <c r="CU197" s="228" t="n"/>
      <c r="CV197" s="228" t="n"/>
      <c r="CW197" s="228" t="n"/>
      <c r="CX197" s="228" t="n"/>
      <c r="CY197" s="228" t="n"/>
      <c r="CZ197" s="228" t="n"/>
      <c r="DA197" s="228" t="n"/>
      <c r="DB197" s="228" t="n"/>
      <c r="DC197" s="228" t="n"/>
    </row>
    <row r="198" s="16">
      <c r="A198" s="228" t="n"/>
      <c r="B198" s="228" t="n"/>
      <c r="C198" s="228" t="n"/>
      <c r="D198" s="228" t="n"/>
      <c r="E198" s="228" t="n"/>
      <c r="F198" s="228" t="n"/>
      <c r="G198" s="228" t="n"/>
      <c r="H198" s="228" t="n"/>
      <c r="I198" s="228" t="n"/>
      <c r="J198" s="228" t="n"/>
      <c r="K198" s="228" t="n"/>
      <c r="L198" s="228" t="n"/>
      <c r="M198" s="228" t="n"/>
      <c r="N198" s="228" t="n"/>
      <c r="O198" s="228" t="n"/>
      <c r="P198" s="228" t="n"/>
      <c r="Q198" s="228" t="n"/>
      <c r="R198" s="228" t="n"/>
      <c r="S198" s="228" t="n"/>
      <c r="T198" s="228" t="n"/>
      <c r="U198" s="228" t="n"/>
      <c r="V198" s="228" t="n"/>
      <c r="W198" s="228" t="n"/>
      <c r="X198" s="228" t="n"/>
      <c r="Y198" s="228" t="n"/>
      <c r="Z198" s="228" t="n"/>
      <c r="AA198" s="228" t="n"/>
      <c r="AB198" s="228" t="n"/>
      <c r="AC198" s="228" t="n"/>
      <c r="AD198" s="228" t="n"/>
      <c r="AE198" s="228" t="n"/>
      <c r="AF198" s="228" t="n"/>
      <c r="AG198" s="228" t="n"/>
      <c r="AH198" s="228" t="n"/>
      <c r="AI198" s="228" t="n"/>
      <c r="AJ198" s="228" t="n"/>
      <c r="AK198" s="228" t="n"/>
      <c r="AL198" s="228" t="n"/>
      <c r="AM198" s="228" t="n"/>
      <c r="AN198" s="228" t="n"/>
      <c r="AO198" s="228" t="n"/>
      <c r="AP198" s="228" t="n"/>
      <c r="AQ198" s="228" t="n"/>
      <c r="AR198" s="228" t="n"/>
      <c r="AS198" s="228" t="n"/>
      <c r="AT198" s="228" t="n"/>
      <c r="AU198" s="228" t="n"/>
      <c r="AV198" s="228" t="n"/>
      <c r="AW198" s="228" t="n"/>
      <c r="AX198" s="228" t="n"/>
      <c r="AY198" s="228" t="n"/>
      <c r="AZ198" s="228" t="n"/>
      <c r="BA198" s="228" t="n"/>
      <c r="BB198" s="228" t="n"/>
      <c r="BC198" s="228" t="n"/>
      <c r="BD198" s="228" t="n"/>
      <c r="BE198" s="228" t="n"/>
      <c r="BF198" s="228" t="n"/>
      <c r="BG198" s="228" t="n"/>
      <c r="BH198" s="228" t="n"/>
      <c r="BI198" s="228" t="n"/>
      <c r="BJ198" s="228" t="n"/>
      <c r="BK198" s="228" t="n"/>
      <c r="BL198" s="228" t="n"/>
      <c r="BM198" s="228" t="n"/>
      <c r="BN198" s="228" t="n"/>
      <c r="BO198" s="228" t="n"/>
      <c r="BP198" s="228" t="n"/>
      <c r="BQ198" s="228" t="n"/>
      <c r="BR198" s="228" t="n"/>
      <c r="BS198" s="228" t="n"/>
      <c r="BT198" s="228" t="n"/>
      <c r="BU198" s="228" t="n"/>
      <c r="BV198" s="228" t="n"/>
      <c r="BW198" s="228" t="n"/>
      <c r="BX198" s="228" t="n"/>
      <c r="BY198" s="228" t="n"/>
      <c r="BZ198" s="228" t="n"/>
      <c r="CA198" s="228" t="n"/>
      <c r="CB198" s="228" t="n"/>
      <c r="CC198" s="228" t="n"/>
      <c r="CD198" s="228" t="n"/>
      <c r="CE198" s="228" t="n"/>
      <c r="CF198" s="228" t="n"/>
      <c r="CG198" s="228" t="n"/>
      <c r="CH198" s="228" t="n"/>
      <c r="CI198" s="228" t="n"/>
      <c r="CJ198" s="228" t="n"/>
      <c r="CK198" s="228" t="n"/>
      <c r="CL198" s="228" t="n"/>
      <c r="CM198" s="228" t="n"/>
      <c r="CN198" s="228" t="n"/>
      <c r="CO198" s="228" t="n"/>
      <c r="CP198" s="228" t="n"/>
      <c r="CQ198" s="228" t="n"/>
      <c r="CR198" s="228" t="n"/>
      <c r="CS198" s="228" t="n"/>
      <c r="CT198" s="228" t="n"/>
      <c r="CU198" s="228" t="n"/>
      <c r="CV198" s="228" t="n"/>
      <c r="CW198" s="228" t="n"/>
      <c r="CX198" s="228" t="n"/>
      <c r="CY198" s="228" t="n"/>
      <c r="CZ198" s="228" t="n"/>
      <c r="DA198" s="228" t="n"/>
      <c r="DB198" s="228" t="n"/>
      <c r="DC198" s="228" t="n"/>
    </row>
    <row r="199" s="16">
      <c r="A199" s="228" t="n"/>
      <c r="B199" s="228" t="n"/>
      <c r="C199" s="228" t="n"/>
      <c r="D199" s="228" t="n"/>
      <c r="E199" s="228" t="n"/>
      <c r="F199" s="228" t="n"/>
      <c r="G199" s="228" t="n"/>
      <c r="H199" s="228" t="n"/>
      <c r="I199" s="228" t="n"/>
      <c r="J199" s="228" t="n"/>
      <c r="K199" s="228" t="n"/>
      <c r="L199" s="228" t="n"/>
      <c r="M199" s="228" t="n"/>
      <c r="N199" s="228" t="n"/>
      <c r="O199" s="228" t="n"/>
      <c r="P199" s="228" t="n"/>
      <c r="Q199" s="228" t="n"/>
      <c r="R199" s="228" t="n"/>
      <c r="S199" s="228" t="n"/>
      <c r="T199" s="228" t="n"/>
      <c r="U199" s="228" t="n"/>
      <c r="V199" s="228" t="n"/>
      <c r="W199" s="228" t="n"/>
      <c r="X199" s="228" t="n"/>
      <c r="Y199" s="228" t="n"/>
      <c r="Z199" s="228" t="n"/>
      <c r="AA199" s="228" t="n"/>
      <c r="AB199" s="228" t="n"/>
      <c r="AC199" s="228" t="n"/>
      <c r="AD199" s="228" t="n"/>
      <c r="AE199" s="228" t="n"/>
      <c r="AF199" s="228" t="n"/>
      <c r="AG199" s="228" t="n"/>
      <c r="AH199" s="228" t="n"/>
      <c r="AI199" s="228" t="n"/>
      <c r="AJ199" s="228" t="n"/>
      <c r="AK199" s="228" t="n"/>
      <c r="AL199" s="228" t="n"/>
      <c r="AM199" s="228" t="n"/>
      <c r="AN199" s="228" t="n"/>
      <c r="AO199" s="228" t="n"/>
      <c r="AP199" s="228" t="n"/>
      <c r="AQ199" s="228" t="n"/>
      <c r="AR199" s="228" t="n"/>
      <c r="AS199" s="228" t="n"/>
      <c r="AT199" s="228" t="n"/>
      <c r="AU199" s="228" t="n"/>
      <c r="AV199" s="228" t="n"/>
      <c r="AW199" s="228" t="n"/>
      <c r="AX199" s="228" t="n"/>
      <c r="AY199" s="228" t="n"/>
      <c r="AZ199" s="228" t="n"/>
      <c r="BA199" s="228" t="n"/>
      <c r="BB199" s="228" t="n"/>
      <c r="BC199" s="228" t="n"/>
      <c r="BD199" s="228" t="n"/>
      <c r="BE199" s="228" t="n"/>
      <c r="BF199" s="228" t="n"/>
      <c r="BG199" s="228" t="n"/>
      <c r="BH199" s="228" t="n"/>
      <c r="BI199" s="228" t="n"/>
      <c r="BJ199" s="228" t="n"/>
      <c r="BK199" s="228" t="n"/>
      <c r="BL199" s="228" t="n"/>
      <c r="BM199" s="228" t="n"/>
      <c r="BN199" s="228" t="n"/>
      <c r="BO199" s="228" t="n"/>
      <c r="BP199" s="228" t="n"/>
      <c r="BQ199" s="228" t="n"/>
      <c r="BR199" s="228" t="n"/>
      <c r="BS199" s="228" t="n"/>
      <c r="BT199" s="228" t="n"/>
      <c r="BU199" s="228" t="n"/>
      <c r="BV199" s="228" t="n"/>
      <c r="BW199" s="228" t="n"/>
      <c r="BX199" s="228" t="n"/>
      <c r="BY199" s="228" t="n"/>
      <c r="BZ199" s="228" t="n"/>
      <c r="CA199" s="228" t="n"/>
      <c r="CB199" s="228" t="n"/>
      <c r="CC199" s="228" t="n"/>
      <c r="CD199" s="228" t="n"/>
      <c r="CE199" s="228" t="n"/>
      <c r="CF199" s="228" t="n"/>
      <c r="CG199" s="228" t="n"/>
      <c r="CH199" s="228" t="n"/>
      <c r="CI199" s="228" t="n"/>
      <c r="CJ199" s="228" t="n"/>
      <c r="CK199" s="228" t="n"/>
      <c r="CL199" s="228" t="n"/>
      <c r="CM199" s="228" t="n"/>
      <c r="CN199" s="228" t="n"/>
      <c r="CO199" s="228" t="n"/>
      <c r="CP199" s="228" t="n"/>
      <c r="CQ199" s="228" t="n"/>
      <c r="CR199" s="228" t="n"/>
      <c r="CS199" s="228" t="n"/>
      <c r="CT199" s="228" t="n"/>
      <c r="CU199" s="228" t="n"/>
      <c r="CV199" s="228" t="n"/>
      <c r="CW199" s="228" t="n"/>
      <c r="CX199" s="228" t="n"/>
      <c r="CY199" s="228" t="n"/>
      <c r="CZ199" s="228" t="n"/>
      <c r="DA199" s="228" t="n"/>
      <c r="DB199" s="228" t="n"/>
      <c r="DC199" s="228" t="n"/>
    </row>
    <row r="200" s="16">
      <c r="A200" s="228" t="n"/>
      <c r="B200" s="228" t="n"/>
      <c r="C200" s="228" t="n"/>
      <c r="D200" s="228" t="n"/>
      <c r="E200" s="228" t="n"/>
      <c r="F200" s="228" t="n"/>
      <c r="G200" s="228" t="n"/>
      <c r="H200" s="228" t="n"/>
      <c r="I200" s="228" t="n"/>
      <c r="J200" s="228" t="n"/>
      <c r="K200" s="228" t="n"/>
      <c r="L200" s="228" t="n"/>
      <c r="M200" s="228" t="n"/>
      <c r="N200" s="228" t="n"/>
      <c r="O200" s="228" t="n"/>
      <c r="P200" s="228" t="n"/>
      <c r="Q200" s="228" t="n"/>
      <c r="R200" s="228" t="n"/>
      <c r="S200" s="228" t="n"/>
      <c r="T200" s="228" t="n"/>
      <c r="U200" s="228" t="n"/>
      <c r="V200" s="228" t="n"/>
      <c r="W200" s="228" t="n"/>
      <c r="X200" s="228" t="n"/>
      <c r="Y200" s="228" t="n"/>
      <c r="Z200" s="228" t="n"/>
      <c r="AA200" s="228" t="n"/>
      <c r="AB200" s="228" t="n"/>
      <c r="AC200" s="228" t="n"/>
      <c r="AD200" s="228" t="n"/>
      <c r="AE200" s="228" t="n"/>
      <c r="AF200" s="228" t="n"/>
      <c r="AG200" s="228" t="n"/>
      <c r="AH200" s="228" t="n"/>
      <c r="AI200" s="228" t="n"/>
      <c r="AJ200" s="228" t="n"/>
      <c r="AK200" s="228" t="n"/>
      <c r="AL200" s="228" t="n"/>
      <c r="AM200" s="228" t="n"/>
      <c r="AN200" s="228" t="n"/>
      <c r="AO200" s="228" t="n"/>
      <c r="AP200" s="228" t="n"/>
      <c r="AQ200" s="228" t="n"/>
      <c r="AR200" s="228" t="n"/>
      <c r="AS200" s="228" t="n"/>
      <c r="AT200" s="228" t="n"/>
      <c r="AU200" s="228" t="n"/>
      <c r="AV200" s="228" t="n"/>
      <c r="AW200" s="228" t="n"/>
      <c r="AX200" s="228" t="n"/>
      <c r="AY200" s="228" t="n"/>
      <c r="AZ200" s="228" t="n"/>
      <c r="BA200" s="228" t="n"/>
      <c r="BB200" s="228" t="n"/>
      <c r="BC200" s="228" t="n"/>
      <c r="BD200" s="228" t="n"/>
      <c r="BE200" s="228" t="n"/>
      <c r="BF200" s="228" t="n"/>
      <c r="BG200" s="228" t="n"/>
      <c r="BH200" s="228" t="n"/>
      <c r="BI200" s="228" t="n"/>
      <c r="BJ200" s="228" t="n"/>
      <c r="BK200" s="228" t="n"/>
      <c r="BL200" s="228" t="n"/>
      <c r="BM200" s="228" t="n"/>
      <c r="BN200" s="228" t="n"/>
      <c r="BO200" s="228" t="n"/>
      <c r="BP200" s="228" t="n"/>
      <c r="BQ200" s="228" t="n"/>
      <c r="BR200" s="228" t="n"/>
      <c r="BS200" s="228" t="n"/>
      <c r="BT200" s="228" t="n"/>
      <c r="BU200" s="228" t="n"/>
      <c r="BV200" s="228" t="n"/>
      <c r="BW200" s="228" t="n"/>
      <c r="BX200" s="228" t="n"/>
      <c r="BY200" s="228" t="n"/>
      <c r="BZ200" s="228" t="n"/>
      <c r="CA200" s="228" t="n"/>
      <c r="CB200" s="228" t="n"/>
      <c r="CC200" s="228" t="n"/>
      <c r="CD200" s="228" t="n"/>
      <c r="CE200" s="228" t="n"/>
      <c r="CF200" s="228" t="n"/>
      <c r="CG200" s="228" t="n"/>
      <c r="CH200" s="228" t="n"/>
      <c r="CI200" s="228" t="n"/>
      <c r="CJ200" s="228" t="n"/>
      <c r="CK200" s="228" t="n"/>
      <c r="CL200" s="228" t="n"/>
      <c r="CM200" s="228" t="n"/>
      <c r="CN200" s="228" t="n"/>
      <c r="CO200" s="228" t="n"/>
      <c r="CP200" s="228" t="n"/>
      <c r="CQ200" s="228" t="n"/>
      <c r="CR200" s="228" t="n"/>
      <c r="CS200" s="228" t="n"/>
      <c r="CT200" s="228" t="n"/>
      <c r="CU200" s="228" t="n"/>
      <c r="CV200" s="228" t="n"/>
      <c r="CW200" s="228" t="n"/>
      <c r="CX200" s="228" t="n"/>
      <c r="CY200" s="228" t="n"/>
      <c r="CZ200" s="228" t="n"/>
      <c r="DA200" s="228" t="n"/>
      <c r="DB200" s="228" t="n"/>
      <c r="DC200" s="228" t="n"/>
    </row>
    <row r="201" s="16">
      <c r="A201" s="228" t="n"/>
      <c r="B201" s="228" t="n"/>
      <c r="C201" s="228" t="n"/>
      <c r="D201" s="228" t="n"/>
      <c r="E201" s="228" t="n"/>
      <c r="F201" s="228" t="n"/>
      <c r="G201" s="228" t="n"/>
      <c r="H201" s="228" t="n"/>
      <c r="I201" s="228" t="n"/>
      <c r="J201" s="228" t="n"/>
      <c r="K201" s="228" t="n"/>
      <c r="L201" s="228" t="n"/>
      <c r="M201" s="228" t="n"/>
      <c r="N201" s="228" t="n"/>
      <c r="O201" s="228" t="n"/>
      <c r="P201" s="228" t="n"/>
      <c r="Q201" s="228" t="n"/>
      <c r="R201" s="228" t="n"/>
      <c r="S201" s="228" t="n"/>
      <c r="T201" s="228" t="n"/>
      <c r="U201" s="228" t="n"/>
      <c r="V201" s="228" t="n"/>
      <c r="W201" s="228" t="n"/>
      <c r="X201" s="228" t="n"/>
      <c r="Y201" s="228" t="n"/>
      <c r="Z201" s="228" t="n"/>
      <c r="AA201" s="228" t="n"/>
      <c r="AB201" s="228" t="n"/>
      <c r="AC201" s="228" t="n"/>
      <c r="AD201" s="228" t="n"/>
      <c r="AE201" s="228" t="n"/>
      <c r="AF201" s="228" t="n"/>
      <c r="AG201" s="228" t="n"/>
      <c r="AH201" s="228" t="n"/>
      <c r="AI201" s="228" t="n"/>
      <c r="AJ201" s="228" t="n"/>
      <c r="AK201" s="228" t="n"/>
      <c r="AL201" s="228" t="n"/>
      <c r="AM201" s="228" t="n"/>
      <c r="AN201" s="228" t="n"/>
      <c r="AO201" s="228" t="n"/>
      <c r="AP201" s="228" t="n"/>
      <c r="AQ201" s="228" t="n"/>
      <c r="AR201" s="228" t="n"/>
      <c r="AS201" s="228" t="n"/>
      <c r="AT201" s="228" t="n"/>
      <c r="AU201" s="228" t="n"/>
      <c r="AV201" s="228" t="n"/>
      <c r="AW201" s="228" t="n"/>
      <c r="AX201" s="228" t="n"/>
      <c r="AY201" s="228" t="n"/>
      <c r="AZ201" s="228" t="n"/>
      <c r="BA201" s="228" t="n"/>
      <c r="BB201" s="228" t="n"/>
      <c r="BC201" s="228" t="n"/>
      <c r="BD201" s="228" t="n"/>
      <c r="BE201" s="228" t="n"/>
      <c r="BF201" s="228" t="n"/>
      <c r="BG201" s="228" t="n"/>
      <c r="BH201" s="228" t="n"/>
      <c r="BI201" s="228" t="n"/>
      <c r="BJ201" s="228" t="n"/>
      <c r="BK201" s="228" t="n"/>
      <c r="BL201" s="228" t="n"/>
      <c r="BM201" s="228" t="n"/>
      <c r="BN201" s="228" t="n"/>
      <c r="BO201" s="228" t="n"/>
      <c r="BP201" s="228" t="n"/>
      <c r="BQ201" s="228" t="n"/>
      <c r="BR201" s="228" t="n"/>
      <c r="BS201" s="228" t="n"/>
      <c r="BT201" s="228" t="n"/>
      <c r="BU201" s="228" t="n"/>
      <c r="BV201" s="228" t="n"/>
      <c r="BW201" s="228" t="n"/>
      <c r="BX201" s="228" t="n"/>
      <c r="BY201" s="228" t="n"/>
      <c r="BZ201" s="228" t="n"/>
      <c r="CA201" s="228" t="n"/>
      <c r="CB201" s="228" t="n"/>
      <c r="CC201" s="228" t="n"/>
      <c r="CD201" s="228" t="n"/>
      <c r="CE201" s="228" t="n"/>
      <c r="CF201" s="228" t="n"/>
      <c r="CG201" s="228" t="n"/>
      <c r="CH201" s="228" t="n"/>
      <c r="CI201" s="228" t="n"/>
      <c r="CJ201" s="228" t="n"/>
      <c r="CK201" s="228" t="n"/>
      <c r="CL201" s="228" t="n"/>
      <c r="CM201" s="228" t="n"/>
      <c r="CN201" s="228" t="n"/>
      <c r="CO201" s="228" t="n"/>
      <c r="CP201" s="228" t="n"/>
      <c r="CQ201" s="228" t="n"/>
      <c r="CR201" s="228" t="n"/>
      <c r="CS201" s="228" t="n"/>
      <c r="CT201" s="228" t="n"/>
      <c r="CU201" s="228" t="n"/>
      <c r="CV201" s="228" t="n"/>
      <c r="CW201" s="228" t="n"/>
      <c r="CX201" s="228" t="n"/>
      <c r="CY201" s="228" t="n"/>
      <c r="CZ201" s="228" t="n"/>
      <c r="DA201" s="228" t="n"/>
      <c r="DB201" s="228" t="n"/>
      <c r="DC201" s="22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54"/>
  <sheetViews>
    <sheetView workbookViewId="0">
      <selection activeCell="A1" sqref="A1"/>
    </sheetView>
  </sheetViews>
  <sheetFormatPr baseColWidth="8" defaultColWidth="11.5" defaultRowHeight="15.2"/>
  <sheetData>
    <row r="1" ht="16.8" customHeight="1" s="16">
      <c r="A1" t="inlineStr">
        <is>
          <t>1 800 FLOWERS COM INC</t>
        </is>
      </c>
      <c r="B1" t="inlineStr">
        <is>
          <t>FLWS</t>
        </is>
      </c>
      <c r="C1" t="inlineStr">
        <is>
          <t>1 800 FLOWERS COM INC</t>
        </is>
      </c>
      <c r="D1" t="n">
        <v>5990</v>
      </c>
      <c r="E1" s="1" t="n"/>
      <c r="F1" s="2" t="inlineStr">
        <is>
          <t>SIC</t>
        </is>
      </c>
      <c r="G1" s="2" t="inlineStr">
        <is>
          <t>FF12</t>
        </is>
      </c>
      <c r="H1" s="2" t="inlineStr">
        <is>
          <t>FF49</t>
        </is>
      </c>
      <c r="I1" s="2" t="inlineStr">
        <is>
          <t>SEC List Industry Title</t>
        </is>
      </c>
    </row>
    <row r="2">
      <c r="A2" t="inlineStr">
        <is>
          <t>10X GENOMICS, INC.</t>
        </is>
      </c>
      <c r="B2" t="inlineStr">
        <is>
          <t>TXG</t>
        </is>
      </c>
      <c r="C2" t="inlineStr">
        <is>
          <t>10X GENOMICS, INC.</t>
        </is>
      </c>
      <c r="D2" t="n">
        <v>3826</v>
      </c>
      <c r="F2" t="n">
        <v>100</v>
      </c>
      <c r="G2" t="inlineStr">
        <is>
          <t>CONSUMER NONDURABLES</t>
        </is>
      </c>
      <c r="H2" t="inlineStr">
        <is>
          <t>AGRICULTURE</t>
        </is>
      </c>
      <c r="I2" t="inlineStr">
        <is>
          <t>AGRICULTURAL PRODUCTION-CROPS</t>
        </is>
      </c>
    </row>
    <row r="3">
      <c r="A3" t="inlineStr">
        <is>
          <t>111, INC.</t>
        </is>
      </c>
      <c r="B3" t="inlineStr">
        <is>
          <t>YI</t>
        </is>
      </c>
      <c r="C3" t="inlineStr">
        <is>
          <t>111, INC.</t>
        </is>
      </c>
      <c r="D3" t="n">
        <v>5912</v>
      </c>
      <c r="E3" s="3" t="n"/>
      <c r="F3" t="n">
        <v>200</v>
      </c>
      <c r="G3" t="inlineStr">
        <is>
          <t>CONSUMER NONDURABLES</t>
        </is>
      </c>
      <c r="H3" t="inlineStr">
        <is>
          <t>AGRICULTURE</t>
        </is>
      </c>
      <c r="I3" t="inlineStr">
        <is>
          <t>AGRICULTURAL PROD-LIVESTOCK &amp; ANIMAL SPECIALTIES</t>
        </is>
      </c>
    </row>
    <row r="4">
      <c r="A4" t="inlineStr">
        <is>
          <t>17 EDUCATION &amp; TECHNOLOGY GROUP INC.</t>
        </is>
      </c>
      <c r="B4" t="inlineStr">
        <is>
          <t>YQ</t>
        </is>
      </c>
      <c r="C4" t="inlineStr">
        <is>
          <t>17 EDUCATION &amp; TECHNOLOGY GROUP INC.</t>
        </is>
      </c>
      <c r="D4" t="n">
        <v>8200</v>
      </c>
      <c r="E4" s="4" t="n"/>
      <c r="F4" t="n">
        <v>700</v>
      </c>
      <c r="G4" t="inlineStr">
        <is>
          <t>CONSUMER NONDURABLES</t>
        </is>
      </c>
      <c r="H4" t="inlineStr">
        <is>
          <t>AGRICULTURE</t>
        </is>
      </c>
      <c r="I4" t="inlineStr">
        <is>
          <t>AGRICULTURAL SERVICES</t>
        </is>
      </c>
    </row>
    <row r="5">
      <c r="A5" t="inlineStr">
        <is>
          <t>1847 GOEDEKER INC.</t>
        </is>
      </c>
      <c r="B5" t="inlineStr">
        <is>
          <t>GOED</t>
        </is>
      </c>
      <c r="C5" t="inlineStr">
        <is>
          <t>1847 GOEDEKER INC.</t>
        </is>
      </c>
      <c r="D5" t="n">
        <v>5700</v>
      </c>
      <c r="E5" s="4" t="n"/>
      <c r="F5" t="n">
        <v>800</v>
      </c>
      <c r="G5" t="inlineStr">
        <is>
          <t>CONSUMER NONDURABLES</t>
        </is>
      </c>
      <c r="H5" t="inlineStr">
        <is>
          <t>CONSTRUCTION MATERIALS</t>
        </is>
      </c>
      <c r="I5" t="inlineStr">
        <is>
          <t>FORESTRY</t>
        </is>
      </c>
    </row>
    <row r="6">
      <c r="A6" t="inlineStr">
        <is>
          <t>1895 BANCORP OF WISCONSIN, INC. /MD/</t>
        </is>
      </c>
      <c r="B6" t="inlineStr">
        <is>
          <t>BCOW</t>
        </is>
      </c>
      <c r="C6" t="inlineStr">
        <is>
          <t>1895 BANCORP OF WISCONSIN, INC. /MD/</t>
        </is>
      </c>
      <c r="D6" t="n">
        <v>6036</v>
      </c>
      <c r="E6" s="4" t="n"/>
      <c r="F6" t="n">
        <v>900</v>
      </c>
      <c r="G6" t="inlineStr">
        <is>
          <t>CONSUMER NONDURABLES</t>
        </is>
      </c>
      <c r="H6" t="inlineStr">
        <is>
          <t>RECREATION</t>
        </is>
      </c>
      <c r="I6" t="inlineStr">
        <is>
          <t>FISHING, HUNTING AND TRAPPING</t>
        </is>
      </c>
    </row>
    <row r="7">
      <c r="A7" t="inlineStr">
        <is>
          <t>1LIFE HEALTHCARE INC</t>
        </is>
      </c>
      <c r="B7" t="inlineStr">
        <is>
          <t>ONEM</t>
        </is>
      </c>
      <c r="C7" t="inlineStr">
        <is>
          <t>1LIFE HEALTHCARE INC</t>
        </is>
      </c>
      <c r="D7" t="n">
        <v>8011</v>
      </c>
      <c r="E7" s="4" t="n"/>
      <c r="F7" t="n">
        <v>1000</v>
      </c>
      <c r="G7" t="inlineStr">
        <is>
          <t>OTHER</t>
        </is>
      </c>
      <c r="H7" t="inlineStr">
        <is>
          <t>NON-METALLIC AND INDUSTRIAL METAL MINING</t>
        </is>
      </c>
      <c r="I7" t="inlineStr">
        <is>
          <t>METAL MINING</t>
        </is>
      </c>
    </row>
    <row r="8">
      <c r="A8" t="inlineStr">
        <is>
          <t>1ST SOURCE CORP</t>
        </is>
      </c>
      <c r="B8" t="inlineStr">
        <is>
          <t>SRCE</t>
        </is>
      </c>
      <c r="C8" t="inlineStr">
        <is>
          <t>1ST SOURCE CORP</t>
        </is>
      </c>
      <c r="D8" t="n">
        <v>6022</v>
      </c>
      <c r="E8" s="4" t="n"/>
      <c r="F8" t="n">
        <v>1040</v>
      </c>
      <c r="G8" t="inlineStr">
        <is>
          <t>OTHER</t>
        </is>
      </c>
      <c r="H8" t="inlineStr">
        <is>
          <t>PRECIOUS METALS</t>
        </is>
      </c>
      <c r="I8" t="inlineStr">
        <is>
          <t>GOLD AND SILVER ORES</t>
        </is>
      </c>
    </row>
    <row r="9">
      <c r="A9" t="inlineStr">
        <is>
          <t>1STDIBS.COM, INC.</t>
        </is>
      </c>
      <c r="B9" t="inlineStr">
        <is>
          <t>DIBS</t>
        </is>
      </c>
      <c r="C9" t="inlineStr">
        <is>
          <t>1STDIBS.COM, INC.</t>
        </is>
      </c>
      <c r="D9" t="n">
        <v>5961</v>
      </c>
      <c r="E9" s="4" t="n"/>
      <c r="F9" t="n">
        <v>1090</v>
      </c>
      <c r="G9" t="inlineStr">
        <is>
          <t>OTHER</t>
        </is>
      </c>
      <c r="H9" t="inlineStr">
        <is>
          <t>NON-METALLIC AND INDUSTRIAL METAL MINING</t>
        </is>
      </c>
      <c r="I9" t="inlineStr">
        <is>
          <t>MISCELLANEOUS METAL ORES</t>
        </is>
      </c>
    </row>
    <row r="10">
      <c r="A10" t="inlineStr">
        <is>
          <t>22ND CENTURY GROUP, INC.</t>
        </is>
      </c>
      <c r="B10" t="inlineStr">
        <is>
          <t>XXII</t>
        </is>
      </c>
      <c r="C10" t="inlineStr">
        <is>
          <t>22ND CENTURY GROUP, INC.</t>
        </is>
      </c>
      <c r="D10" t="n">
        <v>2111</v>
      </c>
      <c r="E10" s="4" t="n"/>
      <c r="F10" t="n">
        <v>1220</v>
      </c>
      <c r="G10" t="inlineStr">
        <is>
          <t>ENERGY</t>
        </is>
      </c>
      <c r="H10" t="inlineStr">
        <is>
          <t>COAL</t>
        </is>
      </c>
      <c r="I10" t="inlineStr">
        <is>
          <t>BITUMINOUS COAL &amp; LIGNITE MINING</t>
        </is>
      </c>
    </row>
    <row r="11">
      <c r="A11" t="inlineStr">
        <is>
          <t>23ANDME HOLDING CO.</t>
        </is>
      </c>
      <c r="B11" t="inlineStr">
        <is>
          <t>ME</t>
        </is>
      </c>
      <c r="C11" t="inlineStr">
        <is>
          <t>23ANDME HOLDING CO.</t>
        </is>
      </c>
      <c r="D11" t="n">
        <v>2834</v>
      </c>
      <c r="E11" s="4" t="n"/>
      <c r="F11" t="n">
        <v>1221</v>
      </c>
      <c r="G11" t="inlineStr">
        <is>
          <t>ENERGY</t>
        </is>
      </c>
      <c r="H11" t="inlineStr">
        <is>
          <t>COAL</t>
        </is>
      </c>
      <c r="I11" t="inlineStr">
        <is>
          <t>BITUMINOUS COAL &amp; LIGNITE SURFACE MINING</t>
        </is>
      </c>
    </row>
    <row r="12">
      <c r="A12" t="inlineStr">
        <is>
          <t>2SEVENTY BIO, INC.</t>
        </is>
      </c>
      <c r="B12" t="inlineStr">
        <is>
          <t>TSVT</t>
        </is>
      </c>
      <c r="C12" t="inlineStr">
        <is>
          <t>2SEVENTY BIO, INC.</t>
        </is>
      </c>
      <c r="D12" t="n">
        <v>2834</v>
      </c>
      <c r="E12" s="4" t="n"/>
      <c r="F12" t="n">
        <v>1311</v>
      </c>
      <c r="G12" t="inlineStr">
        <is>
          <t>ENERGY</t>
        </is>
      </c>
      <c r="H12" t="inlineStr">
        <is>
          <t>PETROLEUM AND NATURAL GAS</t>
        </is>
      </c>
      <c r="I12" t="inlineStr">
        <is>
          <t>CRUDE PETROLEUM &amp; NATURAL GAS</t>
        </is>
      </c>
    </row>
    <row r="13">
      <c r="A13" t="inlineStr">
        <is>
          <t>2U, INC.</t>
        </is>
      </c>
      <c r="B13" t="inlineStr">
        <is>
          <t>TWOU</t>
        </is>
      </c>
      <c r="C13" t="inlineStr">
        <is>
          <t>2U, INC.</t>
        </is>
      </c>
      <c r="D13" t="n">
        <v>7372</v>
      </c>
      <c r="E13" s="4" t="n"/>
      <c r="F13" t="n">
        <v>1381</v>
      </c>
      <c r="G13" t="inlineStr">
        <is>
          <t>OTHER</t>
        </is>
      </c>
      <c r="H13" t="inlineStr">
        <is>
          <t>PETROLEUM AND NATURAL GAS</t>
        </is>
      </c>
      <c r="I13" t="inlineStr">
        <is>
          <t>DRILLING OIL &amp; GAS WELLS</t>
        </is>
      </c>
    </row>
    <row r="14">
      <c r="A14" t="inlineStr">
        <is>
          <t>360 DIGITECH, INC.</t>
        </is>
      </c>
      <c r="B14" t="inlineStr">
        <is>
          <t>QFIN</t>
        </is>
      </c>
      <c r="C14" t="inlineStr">
        <is>
          <t>360 DIGITECH, INC.</t>
        </is>
      </c>
      <c r="D14" t="n">
        <v>6199</v>
      </c>
      <c r="E14" s="4" t="n"/>
      <c r="F14" t="n">
        <v>1382</v>
      </c>
      <c r="G14" t="inlineStr">
        <is>
          <t>OTHER</t>
        </is>
      </c>
      <c r="H14" t="inlineStr">
        <is>
          <t>PETROLEUM AND NATURAL GAS</t>
        </is>
      </c>
      <c r="I14" t="inlineStr">
        <is>
          <t>OIL &amp; GAS FIELD EXPLORATION SERVICES</t>
        </is>
      </c>
    </row>
    <row r="15">
      <c r="A15" t="inlineStr">
        <is>
          <t>36KR HOLDINGS INC.</t>
        </is>
      </c>
      <c r="B15" t="inlineStr">
        <is>
          <t>KRKR</t>
        </is>
      </c>
      <c r="C15" t="inlineStr">
        <is>
          <t>36KR HOLDINGS INC.</t>
        </is>
      </c>
      <c r="D15" t="n">
        <v>7389</v>
      </c>
      <c r="E15" s="4" t="n"/>
      <c r="F15" t="n">
        <v>1389</v>
      </c>
      <c r="G15" t="inlineStr">
        <is>
          <t>OTHER</t>
        </is>
      </c>
      <c r="H15" t="inlineStr">
        <is>
          <t>PETROLEUM AND NATURAL GAS</t>
        </is>
      </c>
      <c r="I15" t="inlineStr">
        <is>
          <t>OIL &amp; GAS FIELD SERVICES, NEC</t>
        </is>
      </c>
    </row>
    <row r="16">
      <c r="A16" t="inlineStr">
        <is>
          <t>3D SYSTEMS CORP</t>
        </is>
      </c>
      <c r="B16" t="inlineStr">
        <is>
          <t>DDD</t>
        </is>
      </c>
      <c r="C16" t="inlineStr">
        <is>
          <t>3D SYSTEMS CORP</t>
        </is>
      </c>
      <c r="D16" t="n">
        <v>7372</v>
      </c>
      <c r="E16" s="4" t="n"/>
      <c r="F16" t="n">
        <v>1400</v>
      </c>
      <c r="G16" t="inlineStr">
        <is>
          <t>OTHER</t>
        </is>
      </c>
      <c r="H16" t="inlineStr">
        <is>
          <t>NON-METALLIC AND INDUSTRIAL METAL MINING</t>
        </is>
      </c>
      <c r="I16" t="inlineStr">
        <is>
          <t>MINING &amp; QUARRYING OF NONMETALLIC MINERALS (NO FUELS)</t>
        </is>
      </c>
    </row>
    <row r="17">
      <c r="A17" t="inlineStr">
        <is>
          <t>3M CO</t>
        </is>
      </c>
      <c r="B17" t="inlineStr">
        <is>
          <t>MMM</t>
        </is>
      </c>
      <c r="C17" t="inlineStr">
        <is>
          <t>3M CO</t>
        </is>
      </c>
      <c r="D17" t="n">
        <v>3841</v>
      </c>
      <c r="E17" s="4" t="n"/>
      <c r="F17" t="n">
        <v>1520</v>
      </c>
      <c r="G17" t="inlineStr">
        <is>
          <t>OTHER</t>
        </is>
      </c>
      <c r="H17" t="inlineStr">
        <is>
          <t>CONSTRUCTION</t>
        </is>
      </c>
      <c r="I17" t="inlineStr">
        <is>
          <t>GENERAL BLDG CONTRACTORS - RESIDENTIAL BLDGS</t>
        </is>
      </c>
    </row>
    <row r="18">
      <c r="A18" t="inlineStr">
        <is>
          <t>4D MOLECULAR THERAPEUTICS INC.</t>
        </is>
      </c>
      <c r="B18" t="inlineStr">
        <is>
          <t>FDMT</t>
        </is>
      </c>
      <c r="C18" t="inlineStr">
        <is>
          <t>4D MOLECULAR THERAPEUTICS INC.</t>
        </is>
      </c>
      <c r="D18" t="n">
        <v>2836</v>
      </c>
      <c r="E18" s="4" t="n"/>
      <c r="F18" t="n">
        <v>1531</v>
      </c>
      <c r="G18" t="inlineStr">
        <is>
          <t>OTHER</t>
        </is>
      </c>
      <c r="H18" t="inlineStr">
        <is>
          <t>CONSTRUCTION</t>
        </is>
      </c>
      <c r="I18" t="inlineStr">
        <is>
          <t>OPERATIVE BUILDERS</t>
        </is>
      </c>
    </row>
    <row r="19">
      <c r="A19" t="inlineStr">
        <is>
          <t>4D PHARMA PLC</t>
        </is>
      </c>
      <c r="B19" t="inlineStr">
        <is>
          <t>LBPS</t>
        </is>
      </c>
      <c r="C19" t="inlineStr">
        <is>
          <t>4D PHARMA PLC</t>
        </is>
      </c>
      <c r="D19" t="n">
        <v>2834</v>
      </c>
      <c r="E19" s="4" t="n"/>
      <c r="F19" t="n">
        <v>1540</v>
      </c>
      <c r="G19" t="inlineStr">
        <is>
          <t>OTHER</t>
        </is>
      </c>
      <c r="H19" t="inlineStr">
        <is>
          <t>CONSTRUCTION</t>
        </is>
      </c>
      <c r="I19" t="inlineStr">
        <is>
          <t>GENERAL BLDG CONTRACTORS - NONRESIDENTIAL BLDGS</t>
        </is>
      </c>
    </row>
    <row r="20">
      <c r="A20" t="inlineStr">
        <is>
          <t>4FRONT VENTURES CORP.</t>
        </is>
      </c>
      <c r="B20" t="inlineStr">
        <is>
          <t>FFNTF</t>
        </is>
      </c>
      <c r="C20" t="inlineStr">
        <is>
          <t>4FRONT VENTURES CORP.</t>
        </is>
      </c>
      <c r="D20" t="n">
        <v>2833</v>
      </c>
      <c r="E20" s="4" t="n"/>
      <c r="F20" t="n">
        <v>1600</v>
      </c>
      <c r="G20" t="inlineStr">
        <is>
          <t>OTHER</t>
        </is>
      </c>
      <c r="H20" t="inlineStr">
        <is>
          <t>CONSTRUCTION</t>
        </is>
      </c>
      <c r="I20" t="inlineStr">
        <is>
          <t>HEAVY CONSTRUCTION OTHER THAN BLDG CONST - CONTRACTORS</t>
        </is>
      </c>
    </row>
    <row r="21">
      <c r="A21" t="inlineStr">
        <is>
          <t>8X8 INC /DE/</t>
        </is>
      </c>
      <c r="B21" t="inlineStr">
        <is>
          <t>EGHT</t>
        </is>
      </c>
      <c r="C21" t="inlineStr">
        <is>
          <t>8X8 INC /DE/</t>
        </is>
      </c>
      <c r="D21" t="n">
        <v>7374</v>
      </c>
      <c r="E21" s="4" t="n"/>
      <c r="F21" t="n">
        <v>1623</v>
      </c>
      <c r="G21" t="inlineStr">
        <is>
          <t>OTHER</t>
        </is>
      </c>
      <c r="H21" t="inlineStr">
        <is>
          <t>CONSTRUCTION</t>
        </is>
      </c>
      <c r="I21" t="inlineStr">
        <is>
          <t>WATER, SEWER, PIPELINE, COMM &amp; POWER LINE CONSTRUCTION</t>
        </is>
      </c>
    </row>
    <row r="22">
      <c r="A22" t="inlineStr">
        <is>
          <t>908 DEVICES INC.</t>
        </is>
      </c>
      <c r="B22" t="inlineStr">
        <is>
          <t>MASS</t>
        </is>
      </c>
      <c r="C22" t="inlineStr">
        <is>
          <t>908 DEVICES INC.</t>
        </is>
      </c>
      <c r="D22" t="n">
        <v>3829</v>
      </c>
      <c r="E22" s="4" t="n"/>
      <c r="F22" t="n">
        <v>1700</v>
      </c>
      <c r="G22" t="inlineStr">
        <is>
          <t>OTHER</t>
        </is>
      </c>
      <c r="H22" t="inlineStr">
        <is>
          <t>CONSTRUCTION</t>
        </is>
      </c>
      <c r="I22" t="inlineStr">
        <is>
          <t>CONSTRUCTION - SPECIAL TRADE CONTRACTORS</t>
        </is>
      </c>
    </row>
    <row r="23">
      <c r="A23" t="inlineStr">
        <is>
          <t>9F INC.</t>
        </is>
      </c>
      <c r="B23" t="inlineStr">
        <is>
          <t>JFU</t>
        </is>
      </c>
      <c r="C23" t="inlineStr">
        <is>
          <t>9F INC.</t>
        </is>
      </c>
      <c r="D23" t="n">
        <v>6199</v>
      </c>
      <c r="E23" s="4" t="n"/>
      <c r="F23" t="n">
        <v>1731</v>
      </c>
      <c r="G23" t="inlineStr">
        <is>
          <t>OTHER</t>
        </is>
      </c>
      <c r="H23" t="inlineStr">
        <is>
          <t>CONSTRUCTION</t>
        </is>
      </c>
      <c r="I23" t="inlineStr">
        <is>
          <t>ELECTRICAL WORK</t>
        </is>
      </c>
    </row>
    <row r="24">
      <c r="A24" t="inlineStr">
        <is>
          <t>A-MARK PRECIOUS METALS, INC.</t>
        </is>
      </c>
      <c r="B24" t="inlineStr">
        <is>
          <t>AMRK</t>
        </is>
      </c>
      <c r="C24" t="inlineStr">
        <is>
          <t>A-MARK PRECIOUS METALS, INC.</t>
        </is>
      </c>
      <c r="D24" t="n">
        <v>5094</v>
      </c>
      <c r="E24" s="4" t="n"/>
      <c r="F24" t="n">
        <v>2000</v>
      </c>
      <c r="G24" t="inlineStr">
        <is>
          <t>CONSUMER NONDURABLES</t>
        </is>
      </c>
      <c r="H24" t="inlineStr">
        <is>
          <t>FOOD PRODUCTS</t>
        </is>
      </c>
      <c r="I24" t="inlineStr">
        <is>
          <t>FOOD AND KINDRED PRODUCTS</t>
        </is>
      </c>
    </row>
    <row r="25">
      <c r="A25" t="inlineStr">
        <is>
          <t>A.K.A. BRANDS HOLDING CORP.</t>
        </is>
      </c>
      <c r="B25" t="inlineStr">
        <is>
          <t>AKA</t>
        </is>
      </c>
      <c r="C25" t="inlineStr">
        <is>
          <t>A.K.A. BRANDS HOLDING CORP.</t>
        </is>
      </c>
      <c r="D25" t="n">
        <v>5961</v>
      </c>
      <c r="E25" s="4" t="n"/>
      <c r="F25" t="n">
        <v>2011</v>
      </c>
      <c r="G25" t="inlineStr">
        <is>
          <t>CONSUMER NONDURABLES</t>
        </is>
      </c>
      <c r="H25" t="inlineStr">
        <is>
          <t>FOOD PRODUCTS</t>
        </is>
      </c>
      <c r="I25" t="inlineStr">
        <is>
          <t>MEAT PACKING PLANTS</t>
        </is>
      </c>
    </row>
    <row r="26">
      <c r="A26" t="inlineStr">
        <is>
          <t>A10 NETWORKS, INC.</t>
        </is>
      </c>
      <c r="B26" t="inlineStr">
        <is>
          <t>ATEN</t>
        </is>
      </c>
      <c r="C26" t="inlineStr">
        <is>
          <t>A10 NETWORKS, INC.</t>
        </is>
      </c>
      <c r="D26" t="n">
        <v>3576</v>
      </c>
      <c r="E26" s="4" t="n"/>
      <c r="F26" t="n">
        <v>2013</v>
      </c>
      <c r="G26" t="inlineStr">
        <is>
          <t>CONSUMER NONDURABLES</t>
        </is>
      </c>
      <c r="H26" t="inlineStr">
        <is>
          <t>FOOD PRODUCTS</t>
        </is>
      </c>
      <c r="I26" t="inlineStr">
        <is>
          <t>SAUSAGES &amp; OTHER PREPARED MEAT PRODUCTS</t>
        </is>
      </c>
    </row>
    <row r="27">
      <c r="A27" t="inlineStr">
        <is>
          <t>AADI BIOSCIENCE, INC.</t>
        </is>
      </c>
      <c r="B27" t="inlineStr">
        <is>
          <t>AADI</t>
        </is>
      </c>
      <c r="C27" t="inlineStr">
        <is>
          <t>AADI BIOSCIENCE, INC.</t>
        </is>
      </c>
      <c r="D27" t="n">
        <v>2834</v>
      </c>
      <c r="E27" s="4" t="n"/>
      <c r="F27" t="n">
        <v>2015</v>
      </c>
      <c r="G27" t="inlineStr">
        <is>
          <t>CONSUMER NONDURABLES</t>
        </is>
      </c>
      <c r="H27" t="inlineStr">
        <is>
          <t>FOOD PRODUCTS</t>
        </is>
      </c>
      <c r="I27" t="inlineStr">
        <is>
          <t>POULTRY SLAUGHTERING AND PROCESSING</t>
        </is>
      </c>
    </row>
    <row r="28">
      <c r="A28" t="inlineStr">
        <is>
          <t>AAON, INC.</t>
        </is>
      </c>
      <c r="B28" t="inlineStr">
        <is>
          <t>AAON</t>
        </is>
      </c>
      <c r="C28" t="inlineStr">
        <is>
          <t>AAON, INC.</t>
        </is>
      </c>
      <c r="D28" t="n">
        <v>3585</v>
      </c>
      <c r="E28" s="4" t="n"/>
      <c r="F28" t="n">
        <v>2020</v>
      </c>
      <c r="G28" t="inlineStr">
        <is>
          <t>CONSUMER NONDURABLES</t>
        </is>
      </c>
      <c r="H28" t="inlineStr">
        <is>
          <t>FOOD PRODUCTS</t>
        </is>
      </c>
      <c r="I28" t="inlineStr">
        <is>
          <t>DAIRY PRODUCTS</t>
        </is>
      </c>
    </row>
    <row r="29">
      <c r="A29" t="inlineStr">
        <is>
          <t>AAR CORP</t>
        </is>
      </c>
      <c r="B29" t="inlineStr">
        <is>
          <t>AIR</t>
        </is>
      </c>
      <c r="C29" t="inlineStr">
        <is>
          <t>AAR CORP</t>
        </is>
      </c>
      <c r="D29" t="n">
        <v>3720</v>
      </c>
      <c r="F29" t="n">
        <v>2024</v>
      </c>
      <c r="G29" t="inlineStr">
        <is>
          <t>CONSUMER NONDURABLES</t>
        </is>
      </c>
      <c r="H29" t="inlineStr">
        <is>
          <t>FOOD PRODUCTS</t>
        </is>
      </c>
      <c r="I29" t="inlineStr">
        <is>
          <t>ICE CREAM &amp; FROZEN DESSERTS</t>
        </is>
      </c>
    </row>
    <row r="30">
      <c r="A30" t="inlineStr">
        <is>
          <t>AARON'S COMPANY, INC.</t>
        </is>
      </c>
      <c r="B30" t="inlineStr">
        <is>
          <t>AAN</t>
        </is>
      </c>
      <c r="C30" t="inlineStr">
        <is>
          <t>AARON'S COMPANY, INC.</t>
        </is>
      </c>
      <c r="D30" t="n">
        <v>7359</v>
      </c>
      <c r="F30" t="n">
        <v>2030</v>
      </c>
      <c r="G30" t="inlineStr">
        <is>
          <t>CONSUMER NONDURABLES</t>
        </is>
      </c>
      <c r="H30" t="inlineStr">
        <is>
          <t>FOOD PRODUCTS</t>
        </is>
      </c>
      <c r="I30" t="inlineStr">
        <is>
          <t>CANNED, FROZEN &amp; PRESERVD FRUIT, VEG &amp; FOOD SPECIALTIES</t>
        </is>
      </c>
    </row>
    <row r="31">
      <c r="A31" t="inlineStr">
        <is>
          <t>ABB LTD</t>
        </is>
      </c>
      <c r="B31" t="inlineStr">
        <is>
          <t>ABB</t>
        </is>
      </c>
      <c r="C31" t="inlineStr">
        <is>
          <t>ABB LTD</t>
        </is>
      </c>
      <c r="D31" t="n">
        <v>3613</v>
      </c>
      <c r="F31" t="n">
        <v>2033</v>
      </c>
      <c r="G31" t="inlineStr">
        <is>
          <t>CONSUMER NONDURABLES</t>
        </is>
      </c>
      <c r="H31" t="inlineStr">
        <is>
          <t>FOOD PRODUCTS</t>
        </is>
      </c>
      <c r="I31" t="inlineStr">
        <is>
          <t>CANNED, FRUITS, VEG, PRESERVES, JAMS &amp; JELLIES</t>
        </is>
      </c>
    </row>
    <row r="32">
      <c r="A32" t="inlineStr">
        <is>
          <t>ABBOTT LABORATORIES</t>
        </is>
      </c>
      <c r="B32" t="inlineStr">
        <is>
          <t>ABT</t>
        </is>
      </c>
      <c r="C32" t="inlineStr">
        <is>
          <t>ABBOTT LABORATORIES</t>
        </is>
      </c>
      <c r="D32" t="n">
        <v>2834</v>
      </c>
      <c r="F32" t="n">
        <v>2040</v>
      </c>
      <c r="G32" t="inlineStr">
        <is>
          <t>CONSUMER NONDURABLES</t>
        </is>
      </c>
      <c r="H32" t="inlineStr">
        <is>
          <t>FOOD PRODUCTS</t>
        </is>
      </c>
      <c r="I32" t="inlineStr">
        <is>
          <t>GRAIN MILL PRODUCTS</t>
        </is>
      </c>
    </row>
    <row r="33">
      <c r="A33" t="inlineStr">
        <is>
          <t>ABBVIE INC.</t>
        </is>
      </c>
      <c r="B33" t="inlineStr">
        <is>
          <t>ABBV</t>
        </is>
      </c>
      <c r="C33" t="inlineStr">
        <is>
          <t>ABBVIE INC.</t>
        </is>
      </c>
      <c r="D33" t="n">
        <v>2834</v>
      </c>
      <c r="F33" t="n">
        <v>2050</v>
      </c>
      <c r="G33" t="inlineStr">
        <is>
          <t>CONSUMER NONDURABLES</t>
        </is>
      </c>
      <c r="H33" t="inlineStr">
        <is>
          <t>FOOD PRODUCTS</t>
        </is>
      </c>
      <c r="I33" t="inlineStr">
        <is>
          <t>BAKERY PRODUCTS</t>
        </is>
      </c>
    </row>
    <row r="34">
      <c r="A34" t="inlineStr">
        <is>
          <t>ABCELLERA BIOLOGICS INC.</t>
        </is>
      </c>
      <c r="B34" t="inlineStr">
        <is>
          <t>ABCL</t>
        </is>
      </c>
      <c r="C34" t="inlineStr">
        <is>
          <t>ABCELLERA BIOLOGICS INC.</t>
        </is>
      </c>
      <c r="D34" t="n">
        <v>2834</v>
      </c>
      <c r="F34" t="n">
        <v>2052</v>
      </c>
      <c r="G34" t="inlineStr">
        <is>
          <t>CONSUMER NONDURABLES</t>
        </is>
      </c>
      <c r="H34" t="inlineStr">
        <is>
          <t>FOOD PRODUCTS</t>
        </is>
      </c>
      <c r="I34" t="inlineStr">
        <is>
          <t>COOKIES &amp; CRACKERS</t>
        </is>
      </c>
    </row>
    <row r="35">
      <c r="A35" t="inlineStr">
        <is>
          <t>ABEONA THERAPEUTICS INC.</t>
        </is>
      </c>
      <c r="B35" t="inlineStr">
        <is>
          <t>ABEO</t>
        </is>
      </c>
      <c r="C35" t="inlineStr">
        <is>
          <t>ABEONA THERAPEUTICS INC.</t>
        </is>
      </c>
      <c r="D35" t="n">
        <v>2834</v>
      </c>
      <c r="F35" t="n">
        <v>2060</v>
      </c>
      <c r="G35" t="inlineStr">
        <is>
          <t>CONSUMER NONDURABLES</t>
        </is>
      </c>
      <c r="H35" t="inlineStr">
        <is>
          <t>FOOD PRODUCTS</t>
        </is>
      </c>
      <c r="I35" t="inlineStr">
        <is>
          <t>SUGAR &amp; CONFECTIONERY PRODUCTS</t>
        </is>
      </c>
    </row>
    <row r="36">
      <c r="A36" t="inlineStr">
        <is>
          <t>ABERCROMBIE &amp; FITCH CO /DE/</t>
        </is>
      </c>
      <c r="B36" t="inlineStr">
        <is>
          <t>ANF</t>
        </is>
      </c>
      <c r="C36" t="inlineStr">
        <is>
          <t>ABERCROMBIE &amp; FITCH CO /DE/</t>
        </is>
      </c>
      <c r="D36" t="n">
        <v>5651</v>
      </c>
      <c r="F36" t="n">
        <v>2070</v>
      </c>
      <c r="G36" t="inlineStr">
        <is>
          <t>CONSUMER NONDURABLES</t>
        </is>
      </c>
      <c r="H36" t="inlineStr">
        <is>
          <t>FOOD PRODUCTS</t>
        </is>
      </c>
      <c r="I36" t="inlineStr">
        <is>
          <t>FATS &amp; OILS</t>
        </is>
      </c>
    </row>
    <row r="37">
      <c r="A37" t="inlineStr">
        <is>
          <t>ABIOMED INC</t>
        </is>
      </c>
      <c r="B37" t="inlineStr">
        <is>
          <t>ABMD</t>
        </is>
      </c>
      <c r="C37" t="inlineStr">
        <is>
          <t>ABIOMED INC</t>
        </is>
      </c>
      <c r="D37" t="n">
        <v>3841</v>
      </c>
      <c r="F37" t="n">
        <v>2080</v>
      </c>
      <c r="G37" t="inlineStr">
        <is>
          <t>CONSUMER NONDURABLES</t>
        </is>
      </c>
      <c r="H37" t="inlineStr">
        <is>
          <t>BEER &amp; LIQUOR</t>
        </is>
      </c>
      <c r="I37" t="inlineStr">
        <is>
          <t>BEVERAGES</t>
        </is>
      </c>
    </row>
    <row r="38">
      <c r="A38" t="inlineStr">
        <is>
          <t>ABM INDUSTRIES INC /DE/</t>
        </is>
      </c>
      <c r="B38" t="inlineStr">
        <is>
          <t>ABM</t>
        </is>
      </c>
      <c r="C38" t="inlineStr">
        <is>
          <t>ABM INDUSTRIES INC /DE/</t>
        </is>
      </c>
      <c r="D38" t="n">
        <v>7340</v>
      </c>
      <c r="F38" t="n">
        <v>2082</v>
      </c>
      <c r="G38" t="inlineStr">
        <is>
          <t>CONSUMER NONDURABLES</t>
        </is>
      </c>
      <c r="H38" t="inlineStr">
        <is>
          <t>BEER &amp; LIQUOR</t>
        </is>
      </c>
      <c r="I38" t="inlineStr">
        <is>
          <t>MALT BEVERAGES</t>
        </is>
      </c>
    </row>
    <row r="39">
      <c r="A39" t="inlineStr">
        <is>
          <t>ABRAXAS PETROLEUM CORP</t>
        </is>
      </c>
      <c r="B39" t="inlineStr">
        <is>
          <t>AXAS</t>
        </is>
      </c>
      <c r="C39" t="inlineStr">
        <is>
          <t>ABRAXAS PETROLEUM CORP</t>
        </is>
      </c>
      <c r="D39" t="n">
        <v>1311</v>
      </c>
      <c r="F39" t="n">
        <v>2086</v>
      </c>
      <c r="G39" t="inlineStr">
        <is>
          <t>CONSUMER NONDURABLES</t>
        </is>
      </c>
      <c r="H39" t="inlineStr">
        <is>
          <t>CANDY &amp; SODA</t>
        </is>
      </c>
      <c r="I39" t="inlineStr">
        <is>
          <t>BOTTLED &amp; CANNED SOFT DRINKS &amp; CARBONATED WATERS</t>
        </is>
      </c>
    </row>
    <row r="40">
      <c r="A40" t="inlineStr">
        <is>
          <t>ABSCI CORP</t>
        </is>
      </c>
      <c r="B40" t="inlineStr">
        <is>
          <t>ABSI</t>
        </is>
      </c>
      <c r="C40" t="inlineStr">
        <is>
          <t>ABSCI CORP</t>
        </is>
      </c>
      <c r="D40" t="n">
        <v>8731</v>
      </c>
      <c r="F40" t="n">
        <v>2090</v>
      </c>
      <c r="G40" t="inlineStr">
        <is>
          <t>CONSUMER NONDURABLES</t>
        </is>
      </c>
      <c r="H40" t="inlineStr">
        <is>
          <t>FOOD PRODUCTS</t>
        </is>
      </c>
      <c r="I40" t="inlineStr">
        <is>
          <t>MISCELLANEOUS FOOD PREPARATIONS &amp; KINDRED PRODUCTS</t>
        </is>
      </c>
    </row>
    <row r="41">
      <c r="A41" t="inlineStr">
        <is>
          <t>ABVC BIOPHARMA, INC.</t>
        </is>
      </c>
      <c r="B41" t="inlineStr">
        <is>
          <t>ABVC</t>
        </is>
      </c>
      <c r="C41" t="inlineStr">
        <is>
          <t>ABVC BIOPHARMA, INC.</t>
        </is>
      </c>
      <c r="D41" t="n">
        <v>2834</v>
      </c>
      <c r="F41" t="n">
        <v>2092</v>
      </c>
      <c r="G41" t="inlineStr">
        <is>
          <t>CONSUMER NONDURABLES</t>
        </is>
      </c>
      <c r="H41" t="inlineStr">
        <is>
          <t>FOOD PRODUCTS</t>
        </is>
      </c>
      <c r="I41" t="inlineStr">
        <is>
          <t>PREPARED FRESH OR FROZEN FISH &amp; SEAFOODS</t>
        </is>
      </c>
    </row>
    <row r="42">
      <c r="A42" t="inlineStr">
        <is>
          <t>ACACIA RESEARCH CORP</t>
        </is>
      </c>
      <c r="B42" t="inlineStr">
        <is>
          <t>ACTG</t>
        </is>
      </c>
      <c r="C42" t="inlineStr">
        <is>
          <t>ACACIA RESEARCH CORP</t>
        </is>
      </c>
      <c r="D42" t="n">
        <v>6794</v>
      </c>
      <c r="F42" t="n">
        <v>2100</v>
      </c>
      <c r="G42" t="inlineStr">
        <is>
          <t>CONSUMER NONDURABLES</t>
        </is>
      </c>
      <c r="H42" t="inlineStr">
        <is>
          <t>TOBACCO PRODUCTS</t>
        </is>
      </c>
      <c r="I42" t="inlineStr">
        <is>
          <t>TOBACCO PRODUCTS</t>
        </is>
      </c>
    </row>
    <row r="43">
      <c r="A43" t="inlineStr">
        <is>
          <t>ACADEMY SPORTS &amp; OUTDOORS, INC.</t>
        </is>
      </c>
      <c r="B43" t="inlineStr">
        <is>
          <t>ASO</t>
        </is>
      </c>
      <c r="C43" t="inlineStr">
        <is>
          <t>ACADEMY SPORTS &amp; OUTDOORS, INC.</t>
        </is>
      </c>
      <c r="D43" t="n">
        <v>5940</v>
      </c>
      <c r="F43" t="n">
        <v>2111</v>
      </c>
      <c r="G43" t="inlineStr">
        <is>
          <t>CONSUMER NONDURABLES</t>
        </is>
      </c>
      <c r="H43" t="inlineStr">
        <is>
          <t>TOBACCO PRODUCTS</t>
        </is>
      </c>
      <c r="I43" t="inlineStr">
        <is>
          <t>CIGARETTES</t>
        </is>
      </c>
    </row>
    <row r="44">
      <c r="A44" t="inlineStr">
        <is>
          <t>ACADIA HEALTHCARE COMPANY, INC.</t>
        </is>
      </c>
      <c r="B44" t="inlineStr">
        <is>
          <t>ACHC</t>
        </is>
      </c>
      <c r="C44" t="inlineStr">
        <is>
          <t>ACADIA HEALTHCARE COMPANY, INC.</t>
        </is>
      </c>
      <c r="D44" t="n">
        <v>8093</v>
      </c>
      <c r="F44" t="n">
        <v>2200</v>
      </c>
      <c r="G44" t="inlineStr">
        <is>
          <t>CONSUMER NONDURABLES</t>
        </is>
      </c>
      <c r="H44" t="inlineStr">
        <is>
          <t>TEXTILES</t>
        </is>
      </c>
      <c r="I44" t="inlineStr">
        <is>
          <t>TEXTILE MILL PRODUCTS</t>
        </is>
      </c>
    </row>
    <row r="45">
      <c r="A45" t="inlineStr">
        <is>
          <t>ACADIA PHARMACEUTICALS INC</t>
        </is>
      </c>
      <c r="B45" t="inlineStr">
        <is>
          <t>ACAD</t>
        </is>
      </c>
      <c r="C45" t="inlineStr">
        <is>
          <t>ACADIA PHARMACEUTICALS INC</t>
        </is>
      </c>
      <c r="D45" t="n">
        <v>2834</v>
      </c>
      <c r="F45" t="n">
        <v>2211</v>
      </c>
      <c r="G45" t="inlineStr">
        <is>
          <t>CONSUMER NONDURABLES</t>
        </is>
      </c>
      <c r="H45" t="inlineStr">
        <is>
          <t>TEXTILES</t>
        </is>
      </c>
      <c r="I45" t="inlineStr">
        <is>
          <t>BROADWOVEN FABRIC MILLS, COTTON</t>
        </is>
      </c>
    </row>
    <row r="46">
      <c r="A46" t="inlineStr">
        <is>
          <t>ACADIA REALTY TRUST</t>
        </is>
      </c>
      <c r="B46" t="inlineStr">
        <is>
          <t>AKR</t>
        </is>
      </c>
      <c r="C46" t="inlineStr">
        <is>
          <t>ACADIA REALTY TRUST</t>
        </is>
      </c>
      <c r="D46" t="n">
        <v>6798</v>
      </c>
      <c r="F46" t="n">
        <v>2221</v>
      </c>
      <c r="G46" t="inlineStr">
        <is>
          <t>CONSUMER NONDURABLES</t>
        </is>
      </c>
      <c r="H46" t="inlineStr">
        <is>
          <t>TEXTILES</t>
        </is>
      </c>
      <c r="I46" t="inlineStr">
        <is>
          <t>BROADWOVEN FABRIC MILLS, MAN MADE FIBER &amp; SILK</t>
        </is>
      </c>
    </row>
    <row r="47">
      <c r="A47" t="inlineStr">
        <is>
          <t>ACCEL ENTERTAINMENT, INC.</t>
        </is>
      </c>
      <c r="B47" t="inlineStr">
        <is>
          <t>ACEL</t>
        </is>
      </c>
      <c r="C47" t="inlineStr">
        <is>
          <t>ACCEL ENTERTAINMENT, INC.</t>
        </is>
      </c>
      <c r="D47" t="n">
        <v>7900</v>
      </c>
      <c r="F47" t="n">
        <v>2250</v>
      </c>
      <c r="G47" t="inlineStr">
        <is>
          <t>CONSUMER NONDURABLES</t>
        </is>
      </c>
      <c r="H47" t="inlineStr">
        <is>
          <t>TEXTILES</t>
        </is>
      </c>
      <c r="I47" t="inlineStr">
        <is>
          <t>KNITTING MILLS</t>
        </is>
      </c>
    </row>
    <row r="48">
      <c r="A48" t="inlineStr">
        <is>
          <t>ACCELERATE DIAGNOSTICS, INC</t>
        </is>
      </c>
      <c r="B48" t="inlineStr">
        <is>
          <t>AXDX</t>
        </is>
      </c>
      <c r="C48" t="inlineStr">
        <is>
          <t>ACCELERATE DIAGNOSTICS, INC</t>
        </is>
      </c>
      <c r="D48" t="n">
        <v>3826</v>
      </c>
      <c r="F48" t="n">
        <v>2253</v>
      </c>
      <c r="G48" t="inlineStr">
        <is>
          <t>CONSUMER NONDURABLES</t>
        </is>
      </c>
      <c r="H48" t="inlineStr">
        <is>
          <t>TEXTILES</t>
        </is>
      </c>
      <c r="I48" t="inlineStr">
        <is>
          <t>KNIT OUTERWEAR MILLS</t>
        </is>
      </c>
    </row>
    <row r="49">
      <c r="A49" t="inlineStr">
        <is>
          <t>ACCENTURE PLC</t>
        </is>
      </c>
      <c r="B49" t="inlineStr">
        <is>
          <t>ACN</t>
        </is>
      </c>
      <c r="C49" t="inlineStr">
        <is>
          <t>ACCENTURE PLC</t>
        </is>
      </c>
      <c r="D49" t="n">
        <v>7389</v>
      </c>
      <c r="F49" t="n">
        <v>2273</v>
      </c>
      <c r="G49" t="inlineStr">
        <is>
          <t>CONSUMER NONDURABLES</t>
        </is>
      </c>
      <c r="H49" t="inlineStr">
        <is>
          <t>TEXTILES</t>
        </is>
      </c>
      <c r="I49" t="inlineStr">
        <is>
          <t>CARPETS &amp; RUGS</t>
        </is>
      </c>
    </row>
    <row r="50">
      <c r="A50" t="inlineStr">
        <is>
          <t>ACCO BRANDS CORP</t>
        </is>
      </c>
      <c r="B50" t="inlineStr">
        <is>
          <t>ACCO</t>
        </is>
      </c>
      <c r="C50" t="inlineStr">
        <is>
          <t>ACCO BRANDS CORP</t>
        </is>
      </c>
      <c r="D50" t="n">
        <v>2780</v>
      </c>
      <c r="F50" t="n">
        <v>2300</v>
      </c>
      <c r="G50" t="inlineStr">
        <is>
          <t>CONSUMER NONDURABLES</t>
        </is>
      </c>
      <c r="H50" t="inlineStr">
        <is>
          <t>APPAREL</t>
        </is>
      </c>
      <c r="I50" t="inlineStr">
        <is>
          <t>APPAREL &amp; OTHER FINISHD PRODS OF FABRICS &amp; SIMILAR MATL</t>
        </is>
      </c>
    </row>
    <row r="51">
      <c r="A51" t="inlineStr">
        <is>
          <t>ACCOLADE, INC.</t>
        </is>
      </c>
      <c r="B51" t="inlineStr">
        <is>
          <t>ACCD</t>
        </is>
      </c>
      <c r="C51" t="inlineStr">
        <is>
          <t>ACCOLADE, INC.</t>
        </is>
      </c>
      <c r="D51" t="n">
        <v>7389</v>
      </c>
      <c r="F51" t="n">
        <v>2320</v>
      </c>
      <c r="G51" t="inlineStr">
        <is>
          <t>CONSUMER NONDURABLES</t>
        </is>
      </c>
      <c r="H51" t="inlineStr">
        <is>
          <t>APPAREL</t>
        </is>
      </c>
      <c r="I51" t="inlineStr">
        <is>
          <t>MEN'S &amp; BOYS' FURNISHGS, WORK CLOTHG, &amp; ALLIED GARMENTS</t>
        </is>
      </c>
    </row>
    <row r="52">
      <c r="A52" t="inlineStr">
        <is>
          <t>ACCURAY INC</t>
        </is>
      </c>
      <c r="B52" t="inlineStr">
        <is>
          <t>ARAY</t>
        </is>
      </c>
      <c r="C52" t="inlineStr">
        <is>
          <t>ACCURAY INC</t>
        </is>
      </c>
      <c r="D52" t="n">
        <v>3841</v>
      </c>
      <c r="F52" t="n">
        <v>2330</v>
      </c>
      <c r="G52" t="inlineStr">
        <is>
          <t>CONSUMER NONDURABLES</t>
        </is>
      </c>
      <c r="H52" t="inlineStr">
        <is>
          <t>APPAREL</t>
        </is>
      </c>
      <c r="I52" t="inlineStr">
        <is>
          <t>WOMEN'S, MISSES', AND JUNIORS OUTERWEAR</t>
        </is>
      </c>
    </row>
    <row r="53">
      <c r="A53" t="inlineStr">
        <is>
          <t>ACELRX PHARMACEUTICALS INC</t>
        </is>
      </c>
      <c r="B53" t="inlineStr">
        <is>
          <t>ACRX</t>
        </is>
      </c>
      <c r="C53" t="inlineStr">
        <is>
          <t>ACELRX PHARMACEUTICALS INC</t>
        </is>
      </c>
      <c r="D53" t="n">
        <v>2834</v>
      </c>
      <c r="F53" t="n">
        <v>2340</v>
      </c>
      <c r="G53" t="inlineStr">
        <is>
          <t>CONSUMER NONDURABLES</t>
        </is>
      </c>
      <c r="H53" t="inlineStr">
        <is>
          <t>APPAREL</t>
        </is>
      </c>
      <c r="I53" t="inlineStr">
        <is>
          <t>WOMEN'S, MISSES', CHILDREN'S &amp; INFANTS' UNDERGARMENTS</t>
        </is>
      </c>
    </row>
    <row r="54">
      <c r="A54" t="inlineStr">
        <is>
          <t>ACI WORLDWIDE, INC.</t>
        </is>
      </c>
      <c r="B54" t="inlineStr">
        <is>
          <t>ACIW</t>
        </is>
      </c>
      <c r="C54" t="inlineStr">
        <is>
          <t>ACI WORLDWIDE, INC.</t>
        </is>
      </c>
      <c r="D54" t="n">
        <v>7372</v>
      </c>
      <c r="F54" t="n">
        <v>2390</v>
      </c>
      <c r="G54" t="inlineStr">
        <is>
          <t>CONSUMER NONDURABLES</t>
        </is>
      </c>
      <c r="H54" t="inlineStr">
        <is>
          <t>APPAREL</t>
        </is>
      </c>
      <c r="I54" t="inlineStr">
        <is>
          <t>MISCELLANEOUS FABRICATED TEXTILE PRODUCTS</t>
        </is>
      </c>
    </row>
    <row r="55">
      <c r="A55" t="inlineStr">
        <is>
          <t>ACLARIS THERAPEUTICS, INC.</t>
        </is>
      </c>
      <c r="B55" t="inlineStr">
        <is>
          <t>ACRS</t>
        </is>
      </c>
      <c r="C55" t="inlineStr">
        <is>
          <t>ACLARIS THERAPEUTICS, INC.</t>
        </is>
      </c>
      <c r="D55" t="n">
        <v>2834</v>
      </c>
      <c r="F55" t="n">
        <v>2400</v>
      </c>
      <c r="G55" t="inlineStr">
        <is>
          <t>OTHER</t>
        </is>
      </c>
      <c r="H55" t="inlineStr">
        <is>
          <t>CONSTRUCTION MATERIALS</t>
        </is>
      </c>
      <c r="I55" t="inlineStr">
        <is>
          <t>LUMBER &amp; WOOD PRODUCTS (NO FURNITURE)</t>
        </is>
      </c>
    </row>
    <row r="56">
      <c r="A56" t="inlineStr">
        <is>
          <t>ACM RESEARCH, INC.</t>
        </is>
      </c>
      <c r="B56" t="inlineStr">
        <is>
          <t>ACMR</t>
        </is>
      </c>
      <c r="C56" t="inlineStr">
        <is>
          <t>ACM RESEARCH, INC.</t>
        </is>
      </c>
      <c r="D56" t="n">
        <v>3559</v>
      </c>
      <c r="F56" t="n">
        <v>2421</v>
      </c>
      <c r="G56" t="inlineStr">
        <is>
          <t>OTHER</t>
        </is>
      </c>
      <c r="H56" t="inlineStr">
        <is>
          <t>CONSTRUCTION MATERIALS</t>
        </is>
      </c>
      <c r="I56" t="inlineStr">
        <is>
          <t>SAWMILLS &amp; PLANTING MILLS, GENERAL</t>
        </is>
      </c>
    </row>
    <row r="57">
      <c r="A57" t="inlineStr">
        <is>
          <t>ACME UNITED CORP</t>
        </is>
      </c>
      <c r="B57" t="inlineStr">
        <is>
          <t>ACU</t>
        </is>
      </c>
      <c r="C57" t="inlineStr">
        <is>
          <t>ACME UNITED CORP</t>
        </is>
      </c>
      <c r="D57" t="n">
        <v>3420</v>
      </c>
      <c r="F57" t="n">
        <v>2430</v>
      </c>
      <c r="G57" t="inlineStr">
        <is>
          <t>OTHER</t>
        </is>
      </c>
      <c r="H57" t="inlineStr">
        <is>
          <t>CONSTRUCTION MATERIALS</t>
        </is>
      </c>
      <c r="I57" t="inlineStr">
        <is>
          <t>MILLWOOD, VENEER, PLYWOOD, &amp; STRUCTURAL WOOD MEMBERS</t>
        </is>
      </c>
    </row>
    <row r="58">
      <c r="A58" t="inlineStr">
        <is>
          <t>ACNB CORP</t>
        </is>
      </c>
      <c r="B58" t="inlineStr">
        <is>
          <t>ACNB</t>
        </is>
      </c>
      <c r="C58" t="inlineStr">
        <is>
          <t>ACNB CORP</t>
        </is>
      </c>
      <c r="D58" t="n">
        <v>6022</v>
      </c>
      <c r="F58" t="n">
        <v>2451</v>
      </c>
      <c r="G58" t="inlineStr">
        <is>
          <t>OTHER</t>
        </is>
      </c>
      <c r="H58" t="inlineStr">
        <is>
          <t>CONSTRUCTION MATERIALS</t>
        </is>
      </c>
      <c r="I58" t="inlineStr">
        <is>
          <t>MOBILE HOMES</t>
        </is>
      </c>
    </row>
    <row r="59">
      <c r="A59" t="inlineStr">
        <is>
          <t>ACREAGE HOLDINGS, INC.</t>
        </is>
      </c>
      <c r="B59" t="inlineStr">
        <is>
          <t>ACRHF</t>
        </is>
      </c>
      <c r="C59" t="inlineStr">
        <is>
          <t>ACREAGE HOLDINGS, INC.</t>
        </is>
      </c>
      <c r="D59" t="n">
        <v>5900</v>
      </c>
      <c r="F59" t="n">
        <v>2452</v>
      </c>
      <c r="G59" t="inlineStr">
        <is>
          <t>OTHER</t>
        </is>
      </c>
      <c r="H59" t="inlineStr">
        <is>
          <t>CONSTRUCTION MATERIALS</t>
        </is>
      </c>
      <c r="I59" t="inlineStr">
        <is>
          <t>PREFABRICATED WOOD BLDGS &amp; COMPONENTS</t>
        </is>
      </c>
    </row>
    <row r="60">
      <c r="A60" t="inlineStr">
        <is>
          <t>ACRES COMMERCIAL REALTY CORP.</t>
        </is>
      </c>
      <c r="B60" t="inlineStr">
        <is>
          <t>ACR</t>
        </is>
      </c>
      <c r="C60" t="inlineStr">
        <is>
          <t>ACRES COMMERCIAL REALTY CORP.</t>
        </is>
      </c>
      <c r="D60" t="n">
        <v>6798</v>
      </c>
      <c r="F60" t="n">
        <v>2510</v>
      </c>
      <c r="G60" t="inlineStr">
        <is>
          <t>CONSUMER DURABLES</t>
        </is>
      </c>
      <c r="H60" t="inlineStr">
        <is>
          <t>CONSUMER GOODS</t>
        </is>
      </c>
      <c r="I60" t="inlineStr">
        <is>
          <t>HOUSEHOLD FURNITURE</t>
        </is>
      </c>
    </row>
    <row r="61">
      <c r="A61" t="inlineStr">
        <is>
          <t>ACTINIUM PHARMACEUTICALS, INC.</t>
        </is>
      </c>
      <c r="B61" t="inlineStr">
        <is>
          <t>ATNM</t>
        </is>
      </c>
      <c r="C61" t="inlineStr">
        <is>
          <t>ACTINIUM PHARMACEUTICALS, INC.</t>
        </is>
      </c>
      <c r="D61" t="n">
        <v>2834</v>
      </c>
      <c r="F61" t="n">
        <v>2511</v>
      </c>
      <c r="G61" t="inlineStr">
        <is>
          <t>CONSUMER DURABLES</t>
        </is>
      </c>
      <c r="H61" t="inlineStr">
        <is>
          <t>CONSUMER GOODS</t>
        </is>
      </c>
      <c r="I61" t="inlineStr">
        <is>
          <t>WOOD HOUSEHOLD FURNITURE, (NO UPHOLSTERED)</t>
        </is>
      </c>
    </row>
    <row r="62">
      <c r="A62" t="inlineStr">
        <is>
          <t>ACTIVISION BLIZZARD, INC.</t>
        </is>
      </c>
      <c r="B62" t="inlineStr">
        <is>
          <t>ATVI</t>
        </is>
      </c>
      <c r="C62" t="inlineStr">
        <is>
          <t>ACTIVISION BLIZZARD, INC.</t>
        </is>
      </c>
      <c r="D62" t="n">
        <v>7372</v>
      </c>
      <c r="F62" t="n">
        <v>2520</v>
      </c>
      <c r="G62" t="inlineStr">
        <is>
          <t>MANUFACTURING</t>
        </is>
      </c>
      <c r="H62" t="inlineStr">
        <is>
          <t>BUSINESS SUPPLIES</t>
        </is>
      </c>
      <c r="I62" t="inlineStr">
        <is>
          <t>OFFICE FURNITURE</t>
        </is>
      </c>
    </row>
    <row r="63">
      <c r="A63" t="inlineStr">
        <is>
          <t>ACUITY BRANDS INC</t>
        </is>
      </c>
      <c r="B63" t="inlineStr">
        <is>
          <t>AYI</t>
        </is>
      </c>
      <c r="C63" t="inlineStr">
        <is>
          <t>ACUITY BRANDS INC</t>
        </is>
      </c>
      <c r="D63" t="n">
        <v>3640</v>
      </c>
      <c r="F63" t="n">
        <v>2522</v>
      </c>
      <c r="G63" t="inlineStr">
        <is>
          <t>MANUFACTURING</t>
        </is>
      </c>
      <c r="H63" t="inlineStr">
        <is>
          <t>BUSINESS SUPPLIES</t>
        </is>
      </c>
      <c r="I63" t="inlineStr">
        <is>
          <t>OFFICE FURNITURE (NO WOOD)</t>
        </is>
      </c>
    </row>
    <row r="64">
      <c r="A64" t="inlineStr">
        <is>
          <t>ACUSHNET HOLDINGS CORP.</t>
        </is>
      </c>
      <c r="B64" t="inlineStr">
        <is>
          <t>GOLF</t>
        </is>
      </c>
      <c r="C64" t="inlineStr">
        <is>
          <t>ACUSHNET HOLDINGS CORP.</t>
        </is>
      </c>
      <c r="D64" t="n">
        <v>3949</v>
      </c>
      <c r="F64" t="n">
        <v>2531</v>
      </c>
      <c r="G64" t="inlineStr">
        <is>
          <t>MANUFACTURING</t>
        </is>
      </c>
      <c r="H64" t="inlineStr">
        <is>
          <t>BUSINESS SUPPLIES</t>
        </is>
      </c>
      <c r="I64" t="inlineStr">
        <is>
          <t>PUBLIC BLDG &amp; RELATED FURNITURE</t>
        </is>
      </c>
    </row>
    <row r="65">
      <c r="A65" t="inlineStr">
        <is>
          <t>ACUTUS MEDICAL, INC.</t>
        </is>
      </c>
      <c r="B65" t="inlineStr">
        <is>
          <t>AFIB</t>
        </is>
      </c>
      <c r="C65" t="inlineStr">
        <is>
          <t>ACUTUS MEDICAL, INC.</t>
        </is>
      </c>
      <c r="D65" t="n">
        <v>3841</v>
      </c>
      <c r="F65" t="n">
        <v>2540</v>
      </c>
      <c r="G65" t="inlineStr">
        <is>
          <t>MANUFACTURING</t>
        </is>
      </c>
      <c r="H65" t="inlineStr">
        <is>
          <t>BUSINESS SUPPLIES</t>
        </is>
      </c>
      <c r="I65" t="inlineStr">
        <is>
          <t>PARTITIONS, SHELVG, LOCKERS, &amp; OFFICE &amp; STORE FIXTURES</t>
        </is>
      </c>
    </row>
    <row r="66">
      <c r="A66" t="inlineStr">
        <is>
          <t>ACV AUCTIONS INC.</t>
        </is>
      </c>
      <c r="B66" t="inlineStr">
        <is>
          <t>ACVA</t>
        </is>
      </c>
      <c r="C66" t="inlineStr">
        <is>
          <t>ACV AUCTIONS INC.</t>
        </is>
      </c>
      <c r="D66" t="n">
        <v>7389</v>
      </c>
      <c r="F66" t="n">
        <v>2590</v>
      </c>
      <c r="G66" t="inlineStr">
        <is>
          <t>CONSUMER DURABLES</t>
        </is>
      </c>
      <c r="H66" t="inlineStr">
        <is>
          <t>CONSUMER GOODS</t>
        </is>
      </c>
      <c r="I66" t="inlineStr">
        <is>
          <t>MISCELLANEOUS FURNITURE &amp; FIXTURES</t>
        </is>
      </c>
    </row>
    <row r="67">
      <c r="A67" t="inlineStr">
        <is>
          <t>ADAGENE INC.</t>
        </is>
      </c>
      <c r="B67" t="inlineStr">
        <is>
          <t>ADAG</t>
        </is>
      </c>
      <c r="C67" t="inlineStr">
        <is>
          <t>ADAGENE INC.</t>
        </is>
      </c>
      <c r="D67" t="n">
        <v>2834</v>
      </c>
      <c r="F67" t="n">
        <v>2600</v>
      </c>
      <c r="G67" t="inlineStr">
        <is>
          <t>MANUFACTURING</t>
        </is>
      </c>
      <c r="H67" t="inlineStr">
        <is>
          <t>BUSINESS SUPPLIES</t>
        </is>
      </c>
      <c r="I67" t="inlineStr">
        <is>
          <t>PAPERS &amp; ALLIED PRODUCTS</t>
        </is>
      </c>
    </row>
    <row r="68">
      <c r="A68" t="inlineStr">
        <is>
          <t>ADAMIS PHARMACEUTICALS CORP</t>
        </is>
      </c>
      <c r="B68" t="inlineStr">
        <is>
          <t>ADMP</t>
        </is>
      </c>
      <c r="C68" t="inlineStr">
        <is>
          <t>ADAMIS PHARMACEUTICALS CORP</t>
        </is>
      </c>
      <c r="D68" t="n">
        <v>2834</v>
      </c>
      <c r="F68" t="n">
        <v>2611</v>
      </c>
      <c r="G68" t="inlineStr">
        <is>
          <t>MANUFACTURING</t>
        </is>
      </c>
      <c r="H68" t="inlineStr">
        <is>
          <t>BUSINESS SUPPLIES</t>
        </is>
      </c>
      <c r="I68" t="inlineStr">
        <is>
          <t>PULP MILLS</t>
        </is>
      </c>
    </row>
    <row r="69">
      <c r="A69" t="inlineStr">
        <is>
          <t>ADAMS RESOURCES &amp; ENERGY, INC.</t>
        </is>
      </c>
      <c r="B69" t="inlineStr">
        <is>
          <t>AE</t>
        </is>
      </c>
      <c r="C69" t="inlineStr">
        <is>
          <t>ADAMS RESOURCES &amp; ENERGY, INC.</t>
        </is>
      </c>
      <c r="D69" t="n">
        <v>5172</v>
      </c>
      <c r="F69" t="n">
        <v>2621</v>
      </c>
      <c r="G69" t="inlineStr">
        <is>
          <t>MANUFACTURING</t>
        </is>
      </c>
      <c r="H69" t="inlineStr">
        <is>
          <t>BUSINESS SUPPLIES</t>
        </is>
      </c>
      <c r="I69" t="inlineStr">
        <is>
          <t>PAPER MILLS</t>
        </is>
      </c>
    </row>
    <row r="70">
      <c r="A70" t="inlineStr">
        <is>
          <t>ADAPTHEALTH CORP.</t>
        </is>
      </c>
      <c r="B70" t="inlineStr">
        <is>
          <t>AHCO</t>
        </is>
      </c>
      <c r="C70" t="inlineStr">
        <is>
          <t>ADAPTHEALTH CORP.</t>
        </is>
      </c>
      <c r="D70" t="n">
        <v>8082</v>
      </c>
      <c r="F70" t="n">
        <v>2631</v>
      </c>
      <c r="G70" t="inlineStr">
        <is>
          <t>MANUFACTURING</t>
        </is>
      </c>
      <c r="H70" t="inlineStr">
        <is>
          <t>BUSINESS SUPPLIES</t>
        </is>
      </c>
      <c r="I70" t="inlineStr">
        <is>
          <t>PAPERBOARD MILLS</t>
        </is>
      </c>
    </row>
    <row r="71">
      <c r="A71" t="inlineStr">
        <is>
          <t>ADAPTIMMUNE THERAPEUTICS PLC</t>
        </is>
      </c>
      <c r="B71" t="inlineStr">
        <is>
          <t>ADAP</t>
        </is>
      </c>
      <c r="C71" t="inlineStr">
        <is>
          <t>ADAPTIMMUNE THERAPEUTICS PLC</t>
        </is>
      </c>
      <c r="D71" t="n">
        <v>2836</v>
      </c>
      <c r="F71" t="n">
        <v>2650</v>
      </c>
      <c r="G71" t="inlineStr">
        <is>
          <t>MANUFACTURING</t>
        </is>
      </c>
      <c r="H71" t="inlineStr">
        <is>
          <t>SHIPPING CONTAINERS</t>
        </is>
      </c>
      <c r="I71" t="inlineStr">
        <is>
          <t>PAPERBOARD CONTAINERS &amp; BOXES</t>
        </is>
      </c>
    </row>
    <row r="72">
      <c r="A72" t="inlineStr">
        <is>
          <t>ADAPTIVE BIOTECHNOLOGIES CORP</t>
        </is>
      </c>
      <c r="B72" t="inlineStr">
        <is>
          <t>ADPT</t>
        </is>
      </c>
      <c r="C72" t="inlineStr">
        <is>
          <t>ADAPTIVE BIOTECHNOLOGIES CORP</t>
        </is>
      </c>
      <c r="D72" t="n">
        <v>2836</v>
      </c>
      <c r="F72" t="n">
        <v>2670</v>
      </c>
      <c r="G72" t="inlineStr">
        <is>
          <t>MANUFACTURING</t>
        </is>
      </c>
      <c r="H72" t="inlineStr">
        <is>
          <t>BUSINESS SUPPLIES</t>
        </is>
      </c>
      <c r="I72" t="inlineStr">
        <is>
          <t>CONVERTED PAPER &amp; PAPERBOARD PRODS (NO CONTANERS/BOXES)</t>
        </is>
      </c>
    </row>
    <row r="73">
      <c r="A73" t="inlineStr">
        <is>
          <t>ADDENTAX GROUP CORP.</t>
        </is>
      </c>
      <c r="B73" t="inlineStr">
        <is>
          <t>ATXG</t>
        </is>
      </c>
      <c r="C73" t="inlineStr">
        <is>
          <t>ADDENTAX GROUP CORP.</t>
        </is>
      </c>
      <c r="D73" t="n">
        <v>7330</v>
      </c>
      <c r="F73" t="n">
        <v>2673</v>
      </c>
      <c r="G73" t="inlineStr">
        <is>
          <t>MANUFACTURING</t>
        </is>
      </c>
      <c r="H73" t="inlineStr">
        <is>
          <t>BUSINESS SUPPLIES</t>
        </is>
      </c>
      <c r="I73" t="inlineStr">
        <is>
          <t>PLASTICS, FOIL &amp; COATED PAPER BAGS</t>
        </is>
      </c>
    </row>
    <row r="74">
      <c r="A74" t="inlineStr">
        <is>
          <t>ADDUS HOMECARE CORP</t>
        </is>
      </c>
      <c r="B74" t="inlineStr">
        <is>
          <t>ADUS</t>
        </is>
      </c>
      <c r="C74" t="inlineStr">
        <is>
          <t>ADDUS HOMECARE CORP</t>
        </is>
      </c>
      <c r="D74" t="n">
        <v>8082</v>
      </c>
      <c r="F74" t="n">
        <v>2711</v>
      </c>
      <c r="G74" t="inlineStr">
        <is>
          <t>CONSUMER NONDURABLES</t>
        </is>
      </c>
      <c r="H74" t="inlineStr">
        <is>
          <t>PRINTING AND PUBLISHING</t>
        </is>
      </c>
      <c r="I74" t="inlineStr">
        <is>
          <t>NEWSPAPERS: PUBLISHING OR PUBLISHING &amp; PRINTING</t>
        </is>
      </c>
    </row>
    <row r="75">
      <c r="A75" t="inlineStr">
        <is>
          <t>ADDVANTAGE TECHNOLOGIES GROUP INC</t>
        </is>
      </c>
      <c r="B75" t="inlineStr">
        <is>
          <t>AEY</t>
        </is>
      </c>
      <c r="C75" t="inlineStr">
        <is>
          <t>ADDVANTAGE TECHNOLOGIES GROUP INC</t>
        </is>
      </c>
      <c r="D75" t="n">
        <v>5000</v>
      </c>
      <c r="F75" t="n">
        <v>2721</v>
      </c>
      <c r="G75" t="inlineStr">
        <is>
          <t>CONSUMER NONDURABLES</t>
        </is>
      </c>
      <c r="H75" t="inlineStr">
        <is>
          <t>PRINTING AND PUBLISHING</t>
        </is>
      </c>
      <c r="I75" t="inlineStr">
        <is>
          <t>PERIODICALS: PUBLISHING OR PUBLISHING &amp; PRINTING</t>
        </is>
      </c>
    </row>
    <row r="76">
      <c r="A76" t="inlineStr">
        <is>
          <t>ADIENT PLC</t>
        </is>
      </c>
      <c r="B76" t="inlineStr">
        <is>
          <t>ADNT</t>
        </is>
      </c>
      <c r="C76" t="inlineStr">
        <is>
          <t>ADIENT PLC</t>
        </is>
      </c>
      <c r="D76" t="n">
        <v>3714</v>
      </c>
      <c r="F76" t="n">
        <v>2731</v>
      </c>
      <c r="G76" t="inlineStr">
        <is>
          <t>CONSUMER NONDURABLES</t>
        </is>
      </c>
      <c r="H76" t="inlineStr">
        <is>
          <t>PRINTING AND PUBLISHING</t>
        </is>
      </c>
      <c r="I76" t="inlineStr">
        <is>
          <t>BOOKS: PUBLISHING OR PUBLISHING &amp; PRINTING</t>
        </is>
      </c>
    </row>
    <row r="77">
      <c r="A77" t="inlineStr">
        <is>
          <t>ADMA BIOLOGICS, INC.</t>
        </is>
      </c>
      <c r="B77" t="inlineStr">
        <is>
          <t>ADMA</t>
        </is>
      </c>
      <c r="C77" t="inlineStr">
        <is>
          <t>ADMA BIOLOGICS, INC.</t>
        </is>
      </c>
      <c r="D77" t="n">
        <v>2836</v>
      </c>
      <c r="F77" t="n">
        <v>2732</v>
      </c>
      <c r="G77" t="inlineStr">
        <is>
          <t>CONSUMER NONDURABLES</t>
        </is>
      </c>
      <c r="H77" t="inlineStr">
        <is>
          <t>PRINTING AND PUBLISHING</t>
        </is>
      </c>
      <c r="I77" t="inlineStr">
        <is>
          <t>BOOK PRINTING</t>
        </is>
      </c>
    </row>
    <row r="78">
      <c r="A78" t="inlineStr">
        <is>
          <t>ADOBE INC.</t>
        </is>
      </c>
      <c r="B78" t="inlineStr">
        <is>
          <t>ADBE</t>
        </is>
      </c>
      <c r="C78" t="inlineStr">
        <is>
          <t>ADOBE INC.</t>
        </is>
      </c>
      <c r="D78" t="n">
        <v>7372</v>
      </c>
      <c r="F78" t="n">
        <v>2741</v>
      </c>
      <c r="G78" t="inlineStr">
        <is>
          <t>CONSUMER NONDURABLES</t>
        </is>
      </c>
      <c r="H78" t="inlineStr">
        <is>
          <t>PRINTING AND PUBLISHING</t>
        </is>
      </c>
      <c r="I78" t="inlineStr">
        <is>
          <t>MISCELLANEOUS PUBLISHING</t>
        </is>
      </c>
    </row>
    <row r="79">
      <c r="A79" t="inlineStr">
        <is>
          <t>ADT INC.</t>
        </is>
      </c>
      <c r="B79" t="inlineStr">
        <is>
          <t>ADT</t>
        </is>
      </c>
      <c r="C79" t="inlineStr">
        <is>
          <t>ADT INC.</t>
        </is>
      </c>
      <c r="D79" t="n">
        <v>7381</v>
      </c>
      <c r="F79" t="n">
        <v>2750</v>
      </c>
      <c r="G79" t="inlineStr">
        <is>
          <t>MANUFACTURING</t>
        </is>
      </c>
      <c r="H79" t="inlineStr">
        <is>
          <t>BUSINESS SERVICES</t>
        </is>
      </c>
      <c r="I79" t="inlineStr">
        <is>
          <t>COMMERCIAL PRINTING</t>
        </is>
      </c>
    </row>
    <row r="80">
      <c r="A80" t="inlineStr">
        <is>
          <t>ADTALEM GLOBAL EDUCATION INC.</t>
        </is>
      </c>
      <c r="B80" t="inlineStr">
        <is>
          <t>ATGE</t>
        </is>
      </c>
      <c r="C80" t="inlineStr">
        <is>
          <t>ADTALEM GLOBAL EDUCATION INC.</t>
        </is>
      </c>
      <c r="D80" t="n">
        <v>8200</v>
      </c>
      <c r="F80" t="n">
        <v>2761</v>
      </c>
      <c r="G80" t="inlineStr">
        <is>
          <t>MANUFACTURING</t>
        </is>
      </c>
      <c r="H80" t="inlineStr">
        <is>
          <t>BUSINESS SUPPLIES</t>
        </is>
      </c>
      <c r="I80" t="inlineStr">
        <is>
          <t>MANIFOLD BUSINESS FORMS</t>
        </is>
      </c>
    </row>
    <row r="81">
      <c r="A81" t="inlineStr">
        <is>
          <t>ADTHEORENT HOLDING COMPANY, INC.</t>
        </is>
      </c>
      <c r="B81" t="inlineStr">
        <is>
          <t>ADTH</t>
        </is>
      </c>
      <c r="C81" t="inlineStr">
        <is>
          <t>ADTHEORENT HOLDING COMPANY, INC.</t>
        </is>
      </c>
      <c r="D81" t="n">
        <v>7370</v>
      </c>
      <c r="F81" t="n">
        <v>2771</v>
      </c>
      <c r="G81" t="inlineStr">
        <is>
          <t>CONSUMER NONDURABLES</t>
        </is>
      </c>
      <c r="H81" t="inlineStr">
        <is>
          <t>PRINTING AND PUBLISHING</t>
        </is>
      </c>
      <c r="I81" t="inlineStr">
        <is>
          <t>GREETING CARDS</t>
        </is>
      </c>
    </row>
    <row r="82">
      <c r="A82" t="inlineStr">
        <is>
          <t>ADTRAN INC</t>
        </is>
      </c>
      <c r="B82" t="inlineStr">
        <is>
          <t>ADTN</t>
        </is>
      </c>
      <c r="C82" t="inlineStr">
        <is>
          <t>ADTRAN INC</t>
        </is>
      </c>
      <c r="D82" t="n">
        <v>3661</v>
      </c>
      <c r="F82" t="n">
        <v>2780</v>
      </c>
      <c r="G82" t="inlineStr">
        <is>
          <t>CONSUMER NONDURABLES</t>
        </is>
      </c>
      <c r="H82" t="inlineStr">
        <is>
          <t>PRINTING AND PUBLISHING</t>
        </is>
      </c>
      <c r="I82" t="inlineStr">
        <is>
          <t>BLANKBOOKS, LOOSELEAF BINDERS &amp; BOOKBINDG &amp; RELATD WORK</t>
        </is>
      </c>
    </row>
    <row r="83">
      <c r="A83" t="inlineStr">
        <is>
          <t>ADVANCE AUTO PARTS INC</t>
        </is>
      </c>
      <c r="B83" t="inlineStr">
        <is>
          <t>AAP</t>
        </is>
      </c>
      <c r="C83" t="inlineStr">
        <is>
          <t>ADVANCE AUTO PARTS INC</t>
        </is>
      </c>
      <c r="D83" t="n">
        <v>5531</v>
      </c>
      <c r="F83" t="n">
        <v>2790</v>
      </c>
      <c r="G83" t="inlineStr">
        <is>
          <t>CONSUMER NONDURABLES</t>
        </is>
      </c>
      <c r="H83" t="inlineStr">
        <is>
          <t>PRINTING AND PUBLISHING</t>
        </is>
      </c>
      <c r="I83" t="inlineStr">
        <is>
          <t>SERVICE INDUSTRIES FOR THE PRINTING TRADE</t>
        </is>
      </c>
    </row>
    <row r="84">
      <c r="A84" t="inlineStr">
        <is>
          <t>ADVANCED DRAINAGE SYSTEMS, INC.</t>
        </is>
      </c>
      <c r="B84" t="inlineStr">
        <is>
          <t>WMS</t>
        </is>
      </c>
      <c r="C84" t="inlineStr">
        <is>
          <t>ADVANCED DRAINAGE SYSTEMS, INC.</t>
        </is>
      </c>
      <c r="D84" t="n">
        <v>3086</v>
      </c>
      <c r="F84" t="n">
        <v>2800</v>
      </c>
      <c r="G84" t="inlineStr">
        <is>
          <t>CHEMICALS AND ALLIED PRODUCTS</t>
        </is>
      </c>
      <c r="H84" t="inlineStr">
        <is>
          <t>CHEMICALS</t>
        </is>
      </c>
      <c r="I84" t="inlineStr">
        <is>
          <t>CHEMICALS &amp; ALLIED PRODUCTS</t>
        </is>
      </c>
    </row>
    <row r="85">
      <c r="A85" t="inlineStr">
        <is>
          <t>ADVANCED EMISSIONS SOLUTIONS, INC.</t>
        </is>
      </c>
      <c r="B85" t="inlineStr">
        <is>
          <t>ADES</t>
        </is>
      </c>
      <c r="C85" t="inlineStr">
        <is>
          <t>ADVANCED EMISSIONS SOLUTIONS, INC.</t>
        </is>
      </c>
      <c r="D85" t="n">
        <v>2890</v>
      </c>
      <c r="F85" t="n">
        <v>2810</v>
      </c>
      <c r="G85" t="inlineStr">
        <is>
          <t>CHEMICALS AND ALLIED PRODUCTS</t>
        </is>
      </c>
      <c r="H85" t="inlineStr">
        <is>
          <t>CHEMICALS</t>
        </is>
      </c>
      <c r="I85" t="inlineStr">
        <is>
          <t>INDUSTRIAL INORGANIC CHEMICALS</t>
        </is>
      </c>
    </row>
    <row r="86">
      <c r="A86" t="inlineStr">
        <is>
          <t>ADVANCED ENERGY INDUSTRIES INC</t>
        </is>
      </c>
      <c r="B86" t="inlineStr">
        <is>
          <t>AEIS</t>
        </is>
      </c>
      <c r="C86" t="inlineStr">
        <is>
          <t>ADVANCED ENERGY INDUSTRIES INC</t>
        </is>
      </c>
      <c r="D86" t="n">
        <v>3679</v>
      </c>
      <c r="F86" t="n">
        <v>2820</v>
      </c>
      <c r="G86" t="inlineStr">
        <is>
          <t>CHEMICALS AND ALLIED PRODUCTS</t>
        </is>
      </c>
      <c r="H86" t="inlineStr">
        <is>
          <t>CHEMICALS</t>
        </is>
      </c>
      <c r="I86" t="inlineStr">
        <is>
          <t>PLASTIC MATERIAL, SYNTH RESIN/RUBBER, CELLULOS (NO GLASS)</t>
        </is>
      </c>
    </row>
    <row r="87">
      <c r="A87" t="inlineStr">
        <is>
          <t>ADVANCED MICRO DEVICES INC</t>
        </is>
      </c>
      <c r="B87" t="inlineStr">
        <is>
          <t>AMD</t>
        </is>
      </c>
      <c r="C87" t="inlineStr">
        <is>
          <t>ADVANCED MICRO DEVICES INC</t>
        </is>
      </c>
      <c r="D87" t="n">
        <v>3674</v>
      </c>
      <c r="F87" t="n">
        <v>2821</v>
      </c>
      <c r="G87" t="inlineStr">
        <is>
          <t>CHEMICALS AND ALLIED PRODUCTS</t>
        </is>
      </c>
      <c r="H87" t="inlineStr">
        <is>
          <t>CHEMICALS</t>
        </is>
      </c>
      <c r="I87" t="inlineStr">
        <is>
          <t>PLASTIC MATERIALS, SYNTH RESINS &amp; NONVULCAN ELASTOMERS</t>
        </is>
      </c>
    </row>
    <row r="88">
      <c r="A88" t="inlineStr">
        <is>
          <t>ADVANSIX INC.</t>
        </is>
      </c>
      <c r="B88" t="inlineStr">
        <is>
          <t>ASIX</t>
        </is>
      </c>
      <c r="C88" t="inlineStr">
        <is>
          <t>ADVANSIX INC.</t>
        </is>
      </c>
      <c r="D88" t="n">
        <v>2821</v>
      </c>
      <c r="F88" t="n">
        <v>2833</v>
      </c>
      <c r="G88" t="inlineStr">
        <is>
          <t>HEALTHCARE</t>
        </is>
      </c>
      <c r="H88" t="inlineStr">
        <is>
          <t>PHARMACEUTICAL PRODUCTS</t>
        </is>
      </c>
      <c r="I88" t="inlineStr">
        <is>
          <t>MEDICINAL CHEMICALS &amp; BOTANICAL PRODUCTS</t>
        </is>
      </c>
    </row>
    <row r="89">
      <c r="A89" t="inlineStr">
        <is>
          <t>ADVANTAGE SOLUTIONS INC.</t>
        </is>
      </c>
      <c r="B89" t="inlineStr">
        <is>
          <t>ADV</t>
        </is>
      </c>
      <c r="C89" t="inlineStr">
        <is>
          <t>ADVANTAGE SOLUTIONS INC.</t>
        </is>
      </c>
      <c r="D89" t="n">
        <v>7389</v>
      </c>
      <c r="F89" t="n">
        <v>2834</v>
      </c>
      <c r="G89" t="inlineStr">
        <is>
          <t>HEALTHCARE</t>
        </is>
      </c>
      <c r="H89" t="inlineStr">
        <is>
          <t>PHARMACEUTICAL PRODUCTS</t>
        </is>
      </c>
      <c r="I89" t="inlineStr">
        <is>
          <t>PHARMACEUTICAL PREPARATIONS</t>
        </is>
      </c>
    </row>
    <row r="90">
      <c r="A90" t="inlineStr">
        <is>
          <t>AECOM</t>
        </is>
      </c>
      <c r="B90" t="inlineStr">
        <is>
          <t>ACM</t>
        </is>
      </c>
      <c r="C90" t="inlineStr">
        <is>
          <t>AECOM</t>
        </is>
      </c>
      <c r="D90" t="n">
        <v>8711</v>
      </c>
      <c r="F90" t="n">
        <v>2835</v>
      </c>
      <c r="G90" t="inlineStr">
        <is>
          <t>HEALTHCARE</t>
        </is>
      </c>
      <c r="H90" t="inlineStr">
        <is>
          <t>PHARMACEUTICAL PRODUCTS</t>
        </is>
      </c>
      <c r="I90" t="inlineStr">
        <is>
          <t>IN VITRO &amp; IN VIVO DIAGNOSTIC SUBSTANCES</t>
        </is>
      </c>
    </row>
    <row r="91">
      <c r="A91" t="inlineStr">
        <is>
          <t>AEHR TEST SYSTEMS</t>
        </is>
      </c>
      <c r="B91" t="inlineStr">
        <is>
          <t>AEHR</t>
        </is>
      </c>
      <c r="C91" t="inlineStr">
        <is>
          <t>AEHR TEST SYSTEMS</t>
        </is>
      </c>
      <c r="D91" t="n">
        <v>3825</v>
      </c>
      <c r="F91" t="n">
        <v>2836</v>
      </c>
      <c r="G91" t="inlineStr">
        <is>
          <t>HEALTHCARE</t>
        </is>
      </c>
      <c r="H91" t="inlineStr">
        <is>
          <t>PHARMACEUTICAL PRODUCTS</t>
        </is>
      </c>
      <c r="I91" t="inlineStr">
        <is>
          <t>BIOLOGICAL PRODUCTS, (NO DISGNOSTIC SUBSTANCES)</t>
        </is>
      </c>
    </row>
    <row r="92">
      <c r="A92" t="inlineStr">
        <is>
          <t>AEMETIS, INC</t>
        </is>
      </c>
      <c r="B92" t="inlineStr">
        <is>
          <t>AMTX</t>
        </is>
      </c>
      <c r="C92" t="inlineStr">
        <is>
          <t>AEMETIS, INC</t>
        </is>
      </c>
      <c r="D92" t="n">
        <v>2860</v>
      </c>
      <c r="F92" t="n">
        <v>2840</v>
      </c>
      <c r="G92" t="inlineStr">
        <is>
          <t>CHEMICALS AND ALLIED PRODUCTS</t>
        </is>
      </c>
      <c r="H92" t="inlineStr">
        <is>
          <t>CONSUMER GOODS</t>
        </is>
      </c>
      <c r="I92" t="inlineStr">
        <is>
          <t>SOAP, DETERGENTS, CLEANG PREPARATIONS, PERFUMES, COSMETICS</t>
        </is>
      </c>
    </row>
    <row r="93">
      <c r="A93" t="inlineStr">
        <is>
          <t>AERCAP HOLDINGS N.V.</t>
        </is>
      </c>
      <c r="B93" t="inlineStr">
        <is>
          <t>AER</t>
        </is>
      </c>
      <c r="C93" t="inlineStr">
        <is>
          <t>AERCAP HOLDINGS N.V.</t>
        </is>
      </c>
      <c r="D93" t="n">
        <v>7359</v>
      </c>
      <c r="F93" t="n">
        <v>2842</v>
      </c>
      <c r="G93" t="inlineStr">
        <is>
          <t>CHEMICALS AND ALLIED PRODUCTS</t>
        </is>
      </c>
      <c r="H93" t="inlineStr">
        <is>
          <t>CONSUMER GOODS</t>
        </is>
      </c>
      <c r="I93" t="inlineStr">
        <is>
          <t>SPECIALTY CLEANING, POLISHING AND SANITATION PREPARATIONS</t>
        </is>
      </c>
    </row>
    <row r="94">
      <c r="A94" t="inlineStr">
        <is>
          <t>AERIE PHARMACEUTICALS INC</t>
        </is>
      </c>
      <c r="B94" t="inlineStr">
        <is>
          <t>AERI</t>
        </is>
      </c>
      <c r="C94" t="inlineStr">
        <is>
          <t>AERIE PHARMACEUTICALS INC</t>
        </is>
      </c>
      <c r="D94" t="n">
        <v>2836</v>
      </c>
      <c r="F94" t="n">
        <v>2844</v>
      </c>
      <c r="G94" t="inlineStr">
        <is>
          <t>CHEMICALS AND ALLIED PRODUCTS</t>
        </is>
      </c>
      <c r="H94" t="inlineStr">
        <is>
          <t>CONSUMER GOODS</t>
        </is>
      </c>
      <c r="I94" t="inlineStr">
        <is>
          <t>PERFUMES, COSMETICS &amp; OTHER TOILET PREPARATIONS</t>
        </is>
      </c>
    </row>
    <row r="95">
      <c r="A95" t="inlineStr">
        <is>
          <t>AEROJET ROCKETDYNE HOLDINGS, INC.</t>
        </is>
      </c>
      <c r="B95" t="inlineStr">
        <is>
          <t>AJRD</t>
        </is>
      </c>
      <c r="C95" t="inlineStr">
        <is>
          <t>AEROJET ROCKETDYNE HOLDINGS, INC.</t>
        </is>
      </c>
      <c r="D95" t="n">
        <v>3760</v>
      </c>
      <c r="F95" t="n">
        <v>2851</v>
      </c>
      <c r="G95" t="inlineStr">
        <is>
          <t>CHEMICALS AND ALLIED PRODUCTS</t>
        </is>
      </c>
      <c r="H95" t="inlineStr">
        <is>
          <t>CHEMICALS</t>
        </is>
      </c>
      <c r="I95" t="inlineStr">
        <is>
          <t>PAINTS, VARNISHES, LACQUERS, ENAMELS &amp; ALLIED PRODS</t>
        </is>
      </c>
    </row>
    <row r="96">
      <c r="A96" t="inlineStr">
        <is>
          <t>AEROVIRONMENT INC</t>
        </is>
      </c>
      <c r="B96" t="inlineStr">
        <is>
          <t>AVAV</t>
        </is>
      </c>
      <c r="C96" t="inlineStr">
        <is>
          <t>AEROVIRONMENT INC</t>
        </is>
      </c>
      <c r="D96" t="n">
        <v>3721</v>
      </c>
      <c r="F96" t="n">
        <v>2860</v>
      </c>
      <c r="G96" t="inlineStr">
        <is>
          <t>CHEMICALS AND ALLIED PRODUCTS</t>
        </is>
      </c>
      <c r="H96" t="inlineStr">
        <is>
          <t>CHEMICALS</t>
        </is>
      </c>
      <c r="I96" t="inlineStr">
        <is>
          <t>INDUSTRIAL ORGANIC CHEMICALS</t>
        </is>
      </c>
    </row>
    <row r="97">
      <c r="A97" t="inlineStr">
        <is>
          <t>AERSALE CORP</t>
        </is>
      </c>
      <c r="B97" t="inlineStr">
        <is>
          <t>ASLE</t>
        </is>
      </c>
      <c r="C97" t="inlineStr">
        <is>
          <t>AERSALE CORP</t>
        </is>
      </c>
      <c r="D97" t="n">
        <v>5080</v>
      </c>
      <c r="F97" t="n">
        <v>2870</v>
      </c>
      <c r="G97" t="inlineStr">
        <is>
          <t>CHEMICALS AND ALLIED PRODUCTS</t>
        </is>
      </c>
      <c r="H97" t="inlineStr">
        <is>
          <t>CHEMICALS</t>
        </is>
      </c>
      <c r="I97" t="inlineStr">
        <is>
          <t>AGRICULTURAL CHEMICALS</t>
        </is>
      </c>
    </row>
    <row r="98">
      <c r="A98" t="inlineStr">
        <is>
          <t>AES CORP</t>
        </is>
      </c>
      <c r="B98" t="inlineStr">
        <is>
          <t>AES</t>
        </is>
      </c>
      <c r="C98" t="inlineStr">
        <is>
          <t>AES CORP</t>
        </is>
      </c>
      <c r="D98" t="n">
        <v>4991</v>
      </c>
      <c r="F98" t="n">
        <v>2890</v>
      </c>
      <c r="G98" t="inlineStr">
        <is>
          <t>CHEMICALS AND ALLIED PRODUCTS</t>
        </is>
      </c>
      <c r="H98" t="inlineStr">
        <is>
          <t>CHEMICALS</t>
        </is>
      </c>
      <c r="I98" t="inlineStr">
        <is>
          <t>MISCELLANEOUS CHEMICAL PRODUCTS</t>
        </is>
      </c>
    </row>
    <row r="99">
      <c r="A99" t="inlineStr">
        <is>
          <t>AETHLON MEDICAL INC</t>
        </is>
      </c>
      <c r="B99" t="inlineStr">
        <is>
          <t>AEMD</t>
        </is>
      </c>
      <c r="C99" t="inlineStr">
        <is>
          <t>AETHLON MEDICAL INC</t>
        </is>
      </c>
      <c r="D99" t="n">
        <v>3841</v>
      </c>
      <c r="F99" t="n">
        <v>2891</v>
      </c>
      <c r="G99" t="inlineStr">
        <is>
          <t>CHEMICALS AND ALLIED PRODUCTS</t>
        </is>
      </c>
      <c r="H99" t="inlineStr">
        <is>
          <t>CHEMICALS</t>
        </is>
      </c>
      <c r="I99" t="inlineStr">
        <is>
          <t>ADHESIVES &amp; SEALANTS</t>
        </is>
      </c>
    </row>
    <row r="100">
      <c r="A100" t="inlineStr">
        <is>
          <t>AEVA TECHNOLOGIES, INC.</t>
        </is>
      </c>
      <c r="B100" t="inlineStr">
        <is>
          <t>AEVA</t>
        </is>
      </c>
      <c r="C100" t="inlineStr">
        <is>
          <t>AEVA TECHNOLOGIES, INC.</t>
        </is>
      </c>
      <c r="D100" t="n">
        <v>3714</v>
      </c>
      <c r="F100" t="n">
        <v>2911</v>
      </c>
      <c r="G100" t="inlineStr">
        <is>
          <t>ENERGY</t>
        </is>
      </c>
      <c r="H100" t="inlineStr">
        <is>
          <t>PETROLEUM AND NATURAL GAS</t>
        </is>
      </c>
      <c r="I100" t="inlineStr">
        <is>
          <t>PETROLEUM REFINING</t>
        </is>
      </c>
    </row>
    <row r="101">
      <c r="A101" t="inlineStr">
        <is>
          <t>AEYE, INC.</t>
        </is>
      </c>
      <c r="B101" t="inlineStr">
        <is>
          <t>LIDR</t>
        </is>
      </c>
      <c r="C101" t="inlineStr">
        <is>
          <t>AEYE, INC.</t>
        </is>
      </c>
      <c r="D101" t="n">
        <v>3714</v>
      </c>
      <c r="F101" t="n">
        <v>2950</v>
      </c>
      <c r="G101" t="inlineStr">
        <is>
          <t>ENERGY</t>
        </is>
      </c>
      <c r="H101" t="inlineStr">
        <is>
          <t>CONSTRUCTION MATERIALS</t>
        </is>
      </c>
      <c r="I101" t="inlineStr">
        <is>
          <t>ASPHALT PAVING &amp; ROOFING MATERIALS</t>
        </is>
      </c>
    </row>
    <row r="102">
      <c r="A102" t="inlineStr">
        <is>
          <t>AFFILIATED MANAGERS GROUP, INC.</t>
        </is>
      </c>
      <c r="B102" t="inlineStr">
        <is>
          <t>AMG</t>
        </is>
      </c>
      <c r="C102" t="inlineStr">
        <is>
          <t>AFFILIATED MANAGERS GROUP, INC.</t>
        </is>
      </c>
      <c r="D102" t="n">
        <v>6282</v>
      </c>
      <c r="F102" t="n">
        <v>2990</v>
      </c>
      <c r="G102" t="inlineStr">
        <is>
          <t>ENERGY</t>
        </is>
      </c>
      <c r="H102" t="inlineStr">
        <is>
          <t>PETROLEUM AND NATURAL GAS</t>
        </is>
      </c>
      <c r="I102" t="inlineStr">
        <is>
          <t>MISCELLANEOUS PRODUCTS OF PETROLEUM &amp; COAL</t>
        </is>
      </c>
    </row>
    <row r="103">
      <c r="A103" t="inlineStr">
        <is>
          <t>AFFINITY BANCSHARES, INC.</t>
        </is>
      </c>
      <c r="B103" t="inlineStr">
        <is>
          <t>AFBI</t>
        </is>
      </c>
      <c r="C103" t="inlineStr">
        <is>
          <t>AFFINITY BANCSHARES, INC.</t>
        </is>
      </c>
      <c r="D103" t="n">
        <v>6036</v>
      </c>
      <c r="F103" t="n">
        <v>3011</v>
      </c>
      <c r="G103" t="inlineStr">
        <is>
          <t>MANUFACTURING</t>
        </is>
      </c>
      <c r="H103" t="inlineStr">
        <is>
          <t>AUTOMOBILES AND TRUCKS</t>
        </is>
      </c>
      <c r="I103" t="inlineStr">
        <is>
          <t>TIRES &amp; INNER TUBES</t>
        </is>
      </c>
    </row>
    <row r="104">
      <c r="A104" t="inlineStr">
        <is>
          <t>AFFIRM HOLDINGS, INC.</t>
        </is>
      </c>
      <c r="B104" t="inlineStr">
        <is>
          <t>AFRM</t>
        </is>
      </c>
      <c r="C104" t="inlineStr">
        <is>
          <t>AFFIRM HOLDINGS, INC.</t>
        </is>
      </c>
      <c r="D104" t="n">
        <v>7389</v>
      </c>
      <c r="F104" t="n">
        <v>3021</v>
      </c>
      <c r="G104" t="inlineStr">
        <is>
          <t>MANUFACTURING</t>
        </is>
      </c>
      <c r="H104" t="inlineStr">
        <is>
          <t>APPAREL</t>
        </is>
      </c>
      <c r="I104" t="inlineStr">
        <is>
          <t>RUBBER &amp; PLASTICS FOOTWEAR</t>
        </is>
      </c>
    </row>
    <row r="105">
      <c r="A105" t="inlineStr">
        <is>
          <t>AFLAC INC</t>
        </is>
      </c>
      <c r="B105" t="inlineStr">
        <is>
          <t>AFL</t>
        </is>
      </c>
      <c r="C105" t="inlineStr">
        <is>
          <t>AFLAC INC</t>
        </is>
      </c>
      <c r="D105" t="n">
        <v>6321</v>
      </c>
      <c r="F105" t="n">
        <v>3050</v>
      </c>
      <c r="G105" t="inlineStr">
        <is>
          <t>MANUFACTURING</t>
        </is>
      </c>
      <c r="H105" t="inlineStr">
        <is>
          <t>RUBBER AND PLASTIC PRODUCTS</t>
        </is>
      </c>
      <c r="I105" t="inlineStr">
        <is>
          <t>GASKETS, PACKG &amp; SEALG DEVICES &amp; RUBBER &amp; PLASTICS HOSE</t>
        </is>
      </c>
    </row>
    <row r="106">
      <c r="A106" t="inlineStr">
        <is>
          <t>AG MORTGAGE INVESTMENT TRUST, INC.</t>
        </is>
      </c>
      <c r="B106" t="inlineStr">
        <is>
          <t>MITT</t>
        </is>
      </c>
      <c r="C106" t="inlineStr">
        <is>
          <t>AG MORTGAGE INVESTMENT TRUST, INC.</t>
        </is>
      </c>
      <c r="D106" t="n">
        <v>6798</v>
      </c>
      <c r="F106" t="n">
        <v>3060</v>
      </c>
      <c r="G106" t="inlineStr">
        <is>
          <t>MANUFACTURING</t>
        </is>
      </c>
      <c r="H106" t="inlineStr">
        <is>
          <t>RUBBER AND PLASTIC PRODUCTS</t>
        </is>
      </c>
      <c r="I106" t="inlineStr">
        <is>
          <t>FABRICATED RUBBER PRODUCTS, NEC</t>
        </is>
      </c>
    </row>
    <row r="107">
      <c r="A107" t="inlineStr">
        <is>
          <t>AGCO CORP /DE</t>
        </is>
      </c>
      <c r="B107" t="inlineStr">
        <is>
          <t>AGCO</t>
        </is>
      </c>
      <c r="C107" t="inlineStr">
        <is>
          <t>AGCO CORP /DE</t>
        </is>
      </c>
      <c r="D107" t="n">
        <v>3523</v>
      </c>
      <c r="F107" t="n">
        <v>3080</v>
      </c>
      <c r="G107" t="inlineStr">
        <is>
          <t>MANUFACTURING</t>
        </is>
      </c>
      <c r="H107" t="inlineStr">
        <is>
          <t>RUBBER AND PLASTIC PRODUCTS</t>
        </is>
      </c>
      <c r="I107" t="inlineStr">
        <is>
          <t>MISCELLANEOUS PLASTICS PRODUCTS</t>
        </is>
      </c>
    </row>
    <row r="108">
      <c r="A108" t="inlineStr">
        <is>
          <t>AGEAGLE AERIAL SYSTEMS INC.</t>
        </is>
      </c>
      <c r="B108" t="inlineStr">
        <is>
          <t>UAVS</t>
        </is>
      </c>
      <c r="C108" t="inlineStr">
        <is>
          <t>AGEAGLE AERIAL SYSTEMS INC.</t>
        </is>
      </c>
      <c r="D108" t="n">
        <v>3721</v>
      </c>
      <c r="F108" t="n">
        <v>3081</v>
      </c>
      <c r="G108" t="inlineStr">
        <is>
          <t>MANUFACTURING</t>
        </is>
      </c>
      <c r="H108" t="inlineStr">
        <is>
          <t>RUBBER AND PLASTIC PRODUCTS</t>
        </is>
      </c>
      <c r="I108" t="inlineStr">
        <is>
          <t>UNSUPPORTED PLASTICS FILM &amp; SHEET</t>
        </is>
      </c>
    </row>
    <row r="109">
      <c r="A109" t="inlineStr">
        <is>
          <t>AGENUS INC</t>
        </is>
      </c>
      <c r="B109" t="inlineStr">
        <is>
          <t>AGEN</t>
        </is>
      </c>
      <c r="C109" t="inlineStr">
        <is>
          <t>AGENUS INC</t>
        </is>
      </c>
      <c r="D109" t="n">
        <v>2836</v>
      </c>
      <c r="F109" t="n">
        <v>3086</v>
      </c>
      <c r="G109" t="inlineStr">
        <is>
          <t>MANUFACTURING</t>
        </is>
      </c>
      <c r="H109" t="inlineStr">
        <is>
          <t>RUBBER AND PLASTIC PRODUCTS</t>
        </is>
      </c>
      <c r="I109" t="inlineStr">
        <is>
          <t>PLASTICS FOAM PRODUCTS</t>
        </is>
      </c>
    </row>
    <row r="110">
      <c r="A110" t="inlineStr">
        <is>
          <t>AGILE THERAPEUTICS INC</t>
        </is>
      </c>
      <c r="B110" t="inlineStr">
        <is>
          <t>AGRX</t>
        </is>
      </c>
      <c r="C110" t="inlineStr">
        <is>
          <t>AGILE THERAPEUTICS INC</t>
        </is>
      </c>
      <c r="D110" t="n">
        <v>2834</v>
      </c>
      <c r="F110" t="n">
        <v>3089</v>
      </c>
      <c r="G110" t="inlineStr">
        <is>
          <t>MANUFACTURING</t>
        </is>
      </c>
      <c r="H110" t="inlineStr">
        <is>
          <t>RUBBER AND PLASTIC PRODUCTS</t>
        </is>
      </c>
      <c r="I110" t="inlineStr">
        <is>
          <t>PLASTICS PRODUCTS, NEC</t>
        </is>
      </c>
    </row>
    <row r="111">
      <c r="A111" t="inlineStr">
        <is>
          <t>AGILENT TECHNOLOGIES, INC.</t>
        </is>
      </c>
      <c r="B111" t="inlineStr">
        <is>
          <t>A</t>
        </is>
      </c>
      <c r="C111" t="inlineStr">
        <is>
          <t>AGILENT TECHNOLOGIES, INC.</t>
        </is>
      </c>
      <c r="D111" t="n">
        <v>3826</v>
      </c>
      <c r="F111" t="n">
        <v>3100</v>
      </c>
      <c r="G111" t="inlineStr">
        <is>
          <t>CONSUMER NONDURABLES</t>
        </is>
      </c>
      <c r="H111" t="inlineStr">
        <is>
          <t>APPAREL</t>
        </is>
      </c>
      <c r="I111" t="inlineStr">
        <is>
          <t>LEATHER &amp; LEATHER PRODUCTS</t>
        </is>
      </c>
    </row>
    <row r="112">
      <c r="A112" t="inlineStr">
        <is>
          <t>AGILETHOUGHT, INC.</t>
        </is>
      </c>
      <c r="B112" t="inlineStr">
        <is>
          <t>AGIL</t>
        </is>
      </c>
      <c r="C112" t="inlineStr">
        <is>
          <t>AGILETHOUGHT, INC.</t>
        </is>
      </c>
      <c r="D112" t="n">
        <v>8742</v>
      </c>
      <c r="F112" t="n">
        <v>3140</v>
      </c>
      <c r="G112" t="inlineStr">
        <is>
          <t>CONSUMER NONDURABLES</t>
        </is>
      </c>
      <c r="H112" t="inlineStr">
        <is>
          <t>APPAREL</t>
        </is>
      </c>
      <c r="I112" t="inlineStr">
        <is>
          <t>FOOTWEAR, (NO RUBBER)</t>
        </is>
      </c>
    </row>
    <row r="113">
      <c r="A113" t="inlineStr">
        <is>
          <t>AGILITI, INC. DE</t>
        </is>
      </c>
      <c r="B113" t="inlineStr">
        <is>
          <t>AGTI</t>
        </is>
      </c>
      <c r="C113" t="inlineStr">
        <is>
          <t>AGILITI, INC. DE</t>
        </is>
      </c>
      <c r="D113" t="n">
        <v>7350</v>
      </c>
      <c r="F113" t="n">
        <v>3211</v>
      </c>
      <c r="G113" t="inlineStr">
        <is>
          <t>MANUFACTURING</t>
        </is>
      </c>
      <c r="H113" t="inlineStr">
        <is>
          <t>CONSTRUCTION MATERIALS</t>
        </is>
      </c>
      <c r="I113" t="inlineStr">
        <is>
          <t>FLAT GLASS</t>
        </is>
      </c>
    </row>
    <row r="114">
      <c r="A114" t="inlineStr">
        <is>
          <t>AGILON HEALTH, INC.</t>
        </is>
      </c>
      <c r="B114" t="inlineStr">
        <is>
          <t>AGL</t>
        </is>
      </c>
      <c r="C114" t="inlineStr">
        <is>
          <t>AGILON HEALTH, INC.</t>
        </is>
      </c>
      <c r="D114" t="n">
        <v>8090</v>
      </c>
      <c r="F114" t="n">
        <v>3220</v>
      </c>
      <c r="G114" t="inlineStr">
        <is>
          <t>MANUFACTURING</t>
        </is>
      </c>
      <c r="H114" t="inlineStr">
        <is>
          <t>SHIPPING CONTAINERS</t>
        </is>
      </c>
      <c r="I114" t="inlineStr">
        <is>
          <t>GLASS &amp; GLASSWARE, PRESSED OR BLOWN</t>
        </is>
      </c>
    </row>
    <row r="115">
      <c r="A115" t="inlineStr">
        <is>
          <t>AGILYSYS INC</t>
        </is>
      </c>
      <c r="B115" t="inlineStr">
        <is>
          <t>AGYS</t>
        </is>
      </c>
      <c r="C115" t="inlineStr">
        <is>
          <t>AGILYSYS INC</t>
        </is>
      </c>
      <c r="D115" t="n">
        <v>7373</v>
      </c>
      <c r="F115" t="n">
        <v>3221</v>
      </c>
      <c r="G115" t="inlineStr">
        <is>
          <t>MANUFACTURING</t>
        </is>
      </c>
      <c r="H115" t="inlineStr">
        <is>
          <t>SHIPPING CONTAINERS</t>
        </is>
      </c>
      <c r="I115" t="inlineStr">
        <is>
          <t>GLASS CONTAINERS</t>
        </is>
      </c>
    </row>
    <row r="116">
      <c r="A116" t="inlineStr">
        <is>
          <t>AGIOS PHARMACEUTICALS, INC.</t>
        </is>
      </c>
      <c r="B116" t="inlineStr">
        <is>
          <t>AGIO</t>
        </is>
      </c>
      <c r="C116" t="inlineStr">
        <is>
          <t>AGIOS PHARMACEUTICALS, INC.</t>
        </is>
      </c>
      <c r="D116" t="n">
        <v>2834</v>
      </c>
      <c r="F116" t="n">
        <v>3231</v>
      </c>
      <c r="G116" t="inlineStr">
        <is>
          <t>MANUFACTURING</t>
        </is>
      </c>
      <c r="H116" t="inlineStr">
        <is>
          <t>CONSUMER GOODS</t>
        </is>
      </c>
      <c r="I116" t="inlineStr">
        <is>
          <t>GLASS PRODUCTS, MADE OF PURCHASED GLASS</t>
        </is>
      </c>
    </row>
    <row r="117">
      <c r="A117" t="inlineStr">
        <is>
          <t>AGNC INVESTMENT CORP.</t>
        </is>
      </c>
      <c r="B117" t="inlineStr">
        <is>
          <t>AGNC</t>
        </is>
      </c>
      <c r="C117" t="inlineStr">
        <is>
          <t>AGNC INVESTMENT CORP.</t>
        </is>
      </c>
      <c r="D117" t="n">
        <v>6798</v>
      </c>
      <c r="F117" t="n">
        <v>3241</v>
      </c>
      <c r="G117" t="inlineStr">
        <is>
          <t>MANUFACTURING</t>
        </is>
      </c>
      <c r="H117" t="inlineStr">
        <is>
          <t>CONSTRUCTION MATERIALS</t>
        </is>
      </c>
      <c r="I117" t="inlineStr">
        <is>
          <t>CEMENT, HYDRAULIC</t>
        </is>
      </c>
    </row>
    <row r="118">
      <c r="A118" t="inlineStr">
        <is>
          <t>AGORA, INC.</t>
        </is>
      </c>
      <c r="B118" t="inlineStr">
        <is>
          <t>API</t>
        </is>
      </c>
      <c r="C118" t="inlineStr">
        <is>
          <t>AGORA, INC.</t>
        </is>
      </c>
      <c r="D118" t="n">
        <v>7372</v>
      </c>
      <c r="F118" t="n">
        <v>3250</v>
      </c>
      <c r="G118" t="inlineStr">
        <is>
          <t>MANUFACTURING</t>
        </is>
      </c>
      <c r="H118" t="inlineStr">
        <is>
          <t>CONSTRUCTION MATERIALS</t>
        </is>
      </c>
      <c r="I118" t="inlineStr">
        <is>
          <t>STRUCTURAL CLAY PRODUCTS</t>
        </is>
      </c>
    </row>
    <row r="119">
      <c r="A119" t="inlineStr">
        <is>
          <t>AGREE REALTY CORP</t>
        </is>
      </c>
      <c r="B119" t="inlineStr">
        <is>
          <t>ADC</t>
        </is>
      </c>
      <c r="C119" t="inlineStr">
        <is>
          <t>AGREE REALTY CORP</t>
        </is>
      </c>
      <c r="D119" t="n">
        <v>6798</v>
      </c>
      <c r="F119" t="n">
        <v>3260</v>
      </c>
      <c r="G119" t="inlineStr">
        <is>
          <t>MANUFACTURING</t>
        </is>
      </c>
      <c r="H119" t="inlineStr">
        <is>
          <t>CONSUMER GOODS</t>
        </is>
      </c>
      <c r="I119" t="inlineStr">
        <is>
          <t>POTTERY &amp; RELATED PRODUCTS</t>
        </is>
      </c>
    </row>
    <row r="120">
      <c r="A120" t="inlineStr">
        <is>
          <t>AGRIFY CORP</t>
        </is>
      </c>
      <c r="B120" t="inlineStr">
        <is>
          <t>AGFY</t>
        </is>
      </c>
      <c r="C120" t="inlineStr">
        <is>
          <t>AGRIFY CORP</t>
        </is>
      </c>
      <c r="D120" t="n">
        <v>700</v>
      </c>
      <c r="F120" t="n">
        <v>3270</v>
      </c>
      <c r="G120" t="inlineStr">
        <is>
          <t>MANUFACTURING</t>
        </is>
      </c>
      <c r="H120" t="inlineStr">
        <is>
          <t>CONSTRUCTION MATERIALS</t>
        </is>
      </c>
      <c r="I120" t="inlineStr">
        <is>
          <t>CONCRETE, GYPSUM &amp; PLASTER PRODUCTS</t>
        </is>
      </c>
    </row>
    <row r="121">
      <c r="A121" t="inlineStr">
        <is>
          <t>AGROFRESH SOLUTIONS, INC.</t>
        </is>
      </c>
      <c r="B121" t="inlineStr">
        <is>
          <t>AGFS</t>
        </is>
      </c>
      <c r="C121" t="inlineStr">
        <is>
          <t>AGROFRESH SOLUTIONS, INC.</t>
        </is>
      </c>
      <c r="D121" t="n">
        <v>2870</v>
      </c>
      <c r="F121" t="n">
        <v>3272</v>
      </c>
      <c r="G121" t="inlineStr">
        <is>
          <t>MANUFACTURING</t>
        </is>
      </c>
      <c r="H121" t="inlineStr">
        <is>
          <t>CONSTRUCTION MATERIALS</t>
        </is>
      </c>
      <c r="I121" t="inlineStr">
        <is>
          <t>CONCRETE PRODUCTS, EXCEPT BLOCK &amp; BRICK</t>
        </is>
      </c>
    </row>
    <row r="122">
      <c r="A122" t="inlineStr">
        <is>
          <t>AIM IMMUNOTECH INC.</t>
        </is>
      </c>
      <c r="B122" t="inlineStr">
        <is>
          <t>AIM</t>
        </is>
      </c>
      <c r="C122" t="inlineStr">
        <is>
          <t>AIM IMMUNOTECH INC.</t>
        </is>
      </c>
      <c r="D122" t="n">
        <v>2836</v>
      </c>
      <c r="F122" t="n">
        <v>3281</v>
      </c>
      <c r="G122" t="inlineStr">
        <is>
          <t>MANUFACTURING</t>
        </is>
      </c>
      <c r="H122" t="inlineStr">
        <is>
          <t>CONSTRUCTION MATERIALS</t>
        </is>
      </c>
      <c r="I122" t="inlineStr">
        <is>
          <t>CUT STONE &amp; STONE PRODUCTS</t>
        </is>
      </c>
    </row>
    <row r="123">
      <c r="A123" t="inlineStr">
        <is>
          <t>AIR INDUSTRIES GROUP</t>
        </is>
      </c>
      <c r="B123" t="inlineStr">
        <is>
          <t>AIRI</t>
        </is>
      </c>
      <c r="C123" t="inlineStr">
        <is>
          <t>AIR INDUSTRIES GROUP</t>
        </is>
      </c>
      <c r="D123" t="n">
        <v>3728</v>
      </c>
      <c r="F123" t="n">
        <v>3290</v>
      </c>
      <c r="G123" t="inlineStr">
        <is>
          <t>MANUFACTURING</t>
        </is>
      </c>
      <c r="H123" t="inlineStr">
        <is>
          <t>CONSTRUCTION MATERIALS</t>
        </is>
      </c>
      <c r="I123" t="inlineStr">
        <is>
          <t>ABRASIVE, ASBESTOS &amp; MISC NONMETALLIC MINERAL PRODS</t>
        </is>
      </c>
    </row>
    <row r="124">
      <c r="A124" t="inlineStr">
        <is>
          <t>AIR LEASE CORP</t>
        </is>
      </c>
      <c r="B124" t="inlineStr">
        <is>
          <t>AL</t>
        </is>
      </c>
      <c r="C124" t="inlineStr">
        <is>
          <t>AIR LEASE CORP</t>
        </is>
      </c>
      <c r="D124" t="n">
        <v>7359</v>
      </c>
      <c r="F124" t="n">
        <v>3310</v>
      </c>
      <c r="G124" t="inlineStr">
        <is>
          <t>MANUFACTURING</t>
        </is>
      </c>
      <c r="H124" t="inlineStr">
        <is>
          <t>STEEL WORKS ETC</t>
        </is>
      </c>
      <c r="I124" t="inlineStr">
        <is>
          <t>STEEL WORKS, BLAST FURNACES &amp; ROLLING &amp; FINISHING MILLS</t>
        </is>
      </c>
    </row>
    <row r="125">
      <c r="A125" t="inlineStr">
        <is>
          <t>AIR PRODUCTS &amp; CHEMICALS INC /DE/</t>
        </is>
      </c>
      <c r="B125" t="inlineStr">
        <is>
          <t>APD</t>
        </is>
      </c>
      <c r="C125" t="inlineStr">
        <is>
          <t>AIR PRODUCTS &amp; CHEMICALS INC /DE/</t>
        </is>
      </c>
      <c r="D125" t="n">
        <v>2810</v>
      </c>
      <c r="F125" t="n">
        <v>3312</v>
      </c>
      <c r="G125" t="inlineStr">
        <is>
          <t>MANUFACTURING</t>
        </is>
      </c>
      <c r="H125" t="inlineStr">
        <is>
          <t>STEEL WORKS ETC</t>
        </is>
      </c>
      <c r="I125" t="inlineStr">
        <is>
          <t>STEEL WORKS, BLAST FURNACES &amp; ROLLING MILLS (COKE OVENS)</t>
        </is>
      </c>
    </row>
    <row r="126">
      <c r="A126" t="inlineStr">
        <is>
          <t>AIR T INC</t>
        </is>
      </c>
      <c r="B126" t="inlineStr">
        <is>
          <t>AIRT</t>
        </is>
      </c>
      <c r="C126" t="inlineStr">
        <is>
          <t>AIR T INC</t>
        </is>
      </c>
      <c r="D126" t="n">
        <v>4513</v>
      </c>
      <c r="F126" t="n">
        <v>3317</v>
      </c>
      <c r="G126" t="inlineStr">
        <is>
          <t>MANUFACTURING</t>
        </is>
      </c>
      <c r="H126" t="inlineStr">
        <is>
          <t>STEEL WORKS ETC</t>
        </is>
      </c>
      <c r="I126" t="inlineStr">
        <is>
          <t>STEEL PIPE &amp; TUBES</t>
        </is>
      </c>
    </row>
    <row r="127">
      <c r="A127" t="inlineStr">
        <is>
          <t>AIR TRANSPORT SERVICES GROUP, INC.</t>
        </is>
      </c>
      <c r="B127" t="inlineStr">
        <is>
          <t>ATSG</t>
        </is>
      </c>
      <c r="C127" t="inlineStr">
        <is>
          <t>AIR TRANSPORT SERVICES GROUP, INC.</t>
        </is>
      </c>
      <c r="D127" t="n">
        <v>4513</v>
      </c>
      <c r="F127" t="n">
        <v>3320</v>
      </c>
      <c r="G127" t="inlineStr">
        <is>
          <t>MANUFACTURING</t>
        </is>
      </c>
      <c r="H127" t="inlineStr">
        <is>
          <t>STEEL WORKS ETC</t>
        </is>
      </c>
      <c r="I127" t="inlineStr">
        <is>
          <t>IRON &amp; STEEL FOUNDRIES</t>
        </is>
      </c>
    </row>
    <row r="128">
      <c r="A128" t="inlineStr">
        <is>
          <t>AIRBNB, INC.</t>
        </is>
      </c>
      <c r="B128" t="inlineStr">
        <is>
          <t>ABNB</t>
        </is>
      </c>
      <c r="C128" t="inlineStr">
        <is>
          <t>AIRBNB, INC.</t>
        </is>
      </c>
      <c r="D128" t="n">
        <v>7340</v>
      </c>
      <c r="F128" t="n">
        <v>3330</v>
      </c>
      <c r="G128" t="inlineStr">
        <is>
          <t>MANUFACTURING</t>
        </is>
      </c>
      <c r="H128" t="inlineStr">
        <is>
          <t>STEEL WORKS ETC</t>
        </is>
      </c>
      <c r="I128" t="inlineStr">
        <is>
          <t>PRIMARY SMELTING &amp; REFINING OF NONFERROUS METALS</t>
        </is>
      </c>
    </row>
    <row r="129">
      <c r="A129" t="inlineStr">
        <is>
          <t>AIRGAIN INC</t>
        </is>
      </c>
      <c r="B129" t="inlineStr">
        <is>
          <t>AIRG</t>
        </is>
      </c>
      <c r="C129" t="inlineStr">
        <is>
          <t>AIRGAIN INC</t>
        </is>
      </c>
      <c r="D129" t="n">
        <v>3663</v>
      </c>
      <c r="F129" t="n">
        <v>3334</v>
      </c>
      <c r="G129" t="inlineStr">
        <is>
          <t>MANUFACTURING</t>
        </is>
      </c>
      <c r="H129" t="inlineStr">
        <is>
          <t>STEEL WORKS ETC</t>
        </is>
      </c>
      <c r="I129" t="inlineStr">
        <is>
          <t>PRIMARY PRODUCTION OF ALUMINUM</t>
        </is>
      </c>
    </row>
    <row r="130">
      <c r="A130" t="inlineStr">
        <is>
          <t>AIRNET TECHNOLOGY INC.</t>
        </is>
      </c>
      <c r="B130" t="inlineStr">
        <is>
          <t>ANTE</t>
        </is>
      </c>
      <c r="C130" t="inlineStr">
        <is>
          <t>AIRNET TECHNOLOGY INC.</t>
        </is>
      </c>
      <c r="D130" t="n">
        <v>7311</v>
      </c>
      <c r="F130" t="n">
        <v>3341</v>
      </c>
      <c r="G130" t="inlineStr">
        <is>
          <t>MANUFACTURING</t>
        </is>
      </c>
      <c r="H130" t="inlineStr">
        <is>
          <t>STEEL WORKS ETC</t>
        </is>
      </c>
      <c r="I130" t="inlineStr">
        <is>
          <t>SECONDARY SMELTING &amp; REFINING OF NONFERROUS METALS</t>
        </is>
      </c>
    </row>
    <row r="131">
      <c r="A131" t="inlineStr">
        <is>
          <t>AIRSCULPT TECHNOLOGIES, INC.</t>
        </is>
      </c>
      <c r="B131" t="inlineStr">
        <is>
          <t>AIRS</t>
        </is>
      </c>
      <c r="C131" t="inlineStr">
        <is>
          <t>AIRSCULPT TECHNOLOGIES, INC.</t>
        </is>
      </c>
      <c r="D131" t="n">
        <v>8011</v>
      </c>
      <c r="F131" t="n">
        <v>3350</v>
      </c>
      <c r="G131" t="inlineStr">
        <is>
          <t>MANUFACTURING</t>
        </is>
      </c>
      <c r="H131" t="inlineStr">
        <is>
          <t>STEEL WORKS ETC</t>
        </is>
      </c>
      <c r="I131" t="inlineStr">
        <is>
          <t>ROLLING DRAWING &amp; EXTRUDING OF NONFERROUS METALS</t>
        </is>
      </c>
    </row>
    <row r="132">
      <c r="A132" t="inlineStr">
        <is>
          <t>AIRSPAN NETWORKS HOLDINGS INC.</t>
        </is>
      </c>
      <c r="B132" t="inlineStr">
        <is>
          <t>MIMO</t>
        </is>
      </c>
      <c r="C132" t="inlineStr">
        <is>
          <t>AIRSPAN NETWORKS HOLDINGS INC.</t>
        </is>
      </c>
      <c r="D132" t="n">
        <v>3663</v>
      </c>
      <c r="F132" t="n">
        <v>3357</v>
      </c>
      <c r="G132" t="inlineStr">
        <is>
          <t>MANUFACTURING</t>
        </is>
      </c>
      <c r="H132" t="inlineStr">
        <is>
          <t>STEEL WORKS ETC</t>
        </is>
      </c>
      <c r="I132" t="inlineStr">
        <is>
          <t>DRAWING &amp; INSULATING OF NONFERROUS WIRE</t>
        </is>
      </c>
    </row>
    <row r="133">
      <c r="A133" t="inlineStr">
        <is>
          <t>AKAMAI TECHNOLOGIES INC</t>
        </is>
      </c>
      <c r="B133" t="inlineStr">
        <is>
          <t>AKAM</t>
        </is>
      </c>
      <c r="C133" t="inlineStr">
        <is>
          <t>AKAMAI TECHNOLOGIES INC</t>
        </is>
      </c>
      <c r="D133" t="n">
        <v>7389</v>
      </c>
      <c r="F133" t="n">
        <v>3360</v>
      </c>
      <c r="G133" t="inlineStr">
        <is>
          <t>MANUFACTURING</t>
        </is>
      </c>
      <c r="H133" t="inlineStr">
        <is>
          <t>STEEL WORKS ETC</t>
        </is>
      </c>
      <c r="I133" t="inlineStr">
        <is>
          <t>NONFERROUS FOUNDRIES (CASTINGS)</t>
        </is>
      </c>
    </row>
    <row r="134">
      <c r="A134" t="inlineStr">
        <is>
          <t>AKEBIA THERAPEUTICS, INC.</t>
        </is>
      </c>
      <c r="B134" t="inlineStr">
        <is>
          <t>AKBA</t>
        </is>
      </c>
      <c r="C134" t="inlineStr">
        <is>
          <t>AKEBIA THERAPEUTICS, INC.</t>
        </is>
      </c>
      <c r="D134" t="n">
        <v>2834</v>
      </c>
      <c r="F134" t="n">
        <v>3390</v>
      </c>
      <c r="G134" t="inlineStr">
        <is>
          <t>MANUFACTURING</t>
        </is>
      </c>
      <c r="H134" t="inlineStr">
        <is>
          <t>STEEL WORKS ETC</t>
        </is>
      </c>
      <c r="I134" t="inlineStr">
        <is>
          <t>MISCELLANEOUS PRIMARY METAL PRODUCTS</t>
        </is>
      </c>
    </row>
    <row r="135">
      <c r="A135" t="inlineStr">
        <is>
          <t>AKOUSTIS TECHNOLOGIES, INC.</t>
        </is>
      </c>
      <c r="B135" t="inlineStr">
        <is>
          <t>AKTS</t>
        </is>
      </c>
      <c r="C135" t="inlineStr">
        <is>
          <t>AKOUSTIS TECHNOLOGIES, INC.</t>
        </is>
      </c>
      <c r="D135" t="n">
        <v>3661</v>
      </c>
      <c r="F135" t="n">
        <v>3411</v>
      </c>
      <c r="G135" t="inlineStr">
        <is>
          <t>MANUFACTURING</t>
        </is>
      </c>
      <c r="H135" t="inlineStr">
        <is>
          <t>SHIPPING CONTAINERS</t>
        </is>
      </c>
      <c r="I135" t="inlineStr">
        <is>
          <t>METAL CANS</t>
        </is>
      </c>
    </row>
    <row r="136">
      <c r="A136" t="inlineStr">
        <is>
          <t>AKOYA BIOSCIENCES, INC.</t>
        </is>
      </c>
      <c r="B136" t="inlineStr">
        <is>
          <t>AKYA</t>
        </is>
      </c>
      <c r="C136" t="inlineStr">
        <is>
          <t>AKOYA BIOSCIENCES, INC.</t>
        </is>
      </c>
      <c r="D136" t="n">
        <v>3826</v>
      </c>
      <c r="F136" t="n">
        <v>3412</v>
      </c>
      <c r="G136" t="inlineStr">
        <is>
          <t>MANUFACTURING</t>
        </is>
      </c>
      <c r="H136" t="inlineStr">
        <is>
          <t>SHIPPING CONTAINERS</t>
        </is>
      </c>
      <c r="I136" t="inlineStr">
        <is>
          <t>METAL SHIPPING BARRELS, DRUMS, KEGS &amp; PAILS</t>
        </is>
      </c>
    </row>
    <row r="137">
      <c r="A137" t="inlineStr">
        <is>
          <t>AKUMIN INC.</t>
        </is>
      </c>
      <c r="B137" t="inlineStr">
        <is>
          <t>AKU</t>
        </is>
      </c>
      <c r="C137" t="inlineStr">
        <is>
          <t>AKUMIN INC.</t>
        </is>
      </c>
      <c r="D137" t="n">
        <v>8071</v>
      </c>
      <c r="F137" t="n">
        <v>3420</v>
      </c>
      <c r="G137" t="inlineStr">
        <is>
          <t>MANUFACTURING</t>
        </is>
      </c>
      <c r="H137" t="inlineStr">
        <is>
          <t>CONSTRUCTION MATERIALS</t>
        </is>
      </c>
      <c r="I137" t="inlineStr">
        <is>
          <t>CUTLERY, HANDTOOLS &amp; GENERAL HARDWARE</t>
        </is>
      </c>
    </row>
    <row r="138">
      <c r="A138" t="inlineStr">
        <is>
          <t>ALAMO GROUP INC</t>
        </is>
      </c>
      <c r="B138" t="inlineStr">
        <is>
          <t>ALG</t>
        </is>
      </c>
      <c r="C138" t="inlineStr">
        <is>
          <t>ALAMO GROUP INC</t>
        </is>
      </c>
      <c r="D138" t="n">
        <v>3523</v>
      </c>
      <c r="F138" t="n">
        <v>3430</v>
      </c>
      <c r="G138" t="inlineStr">
        <is>
          <t>MANUFACTURING</t>
        </is>
      </c>
      <c r="H138" t="inlineStr">
        <is>
          <t>CONSTRUCTION MATERIALS</t>
        </is>
      </c>
      <c r="I138" t="inlineStr">
        <is>
          <t>HEATING EQUIP, EXCEPT ELEC &amp; WARM AIR; &amp; PLUMBING FIXTURES</t>
        </is>
      </c>
    </row>
    <row r="139">
      <c r="A139" t="inlineStr">
        <is>
          <t>ALARM.COM HOLDINGS, INC.</t>
        </is>
      </c>
      <c r="B139" t="inlineStr">
        <is>
          <t>ALRM</t>
        </is>
      </c>
      <c r="C139" t="inlineStr">
        <is>
          <t>ALARM.COM HOLDINGS, INC.</t>
        </is>
      </c>
      <c r="D139" t="n">
        <v>7372</v>
      </c>
      <c r="F139" t="n">
        <v>3433</v>
      </c>
      <c r="G139" t="inlineStr">
        <is>
          <t>MANUFACTURING</t>
        </is>
      </c>
      <c r="H139" t="inlineStr">
        <is>
          <t>CONSTRUCTION MATERIALS</t>
        </is>
      </c>
      <c r="I139" t="inlineStr">
        <is>
          <t>HEATING EQUIPMENT, EXCEPT ELECTRIC &amp; WARM AIR FURNACES</t>
        </is>
      </c>
    </row>
    <row r="140">
      <c r="A140" t="inlineStr">
        <is>
          <t>ALASKA AIR GROUP, INC.</t>
        </is>
      </c>
      <c r="B140" t="inlineStr">
        <is>
          <t>ALK</t>
        </is>
      </c>
      <c r="C140" t="inlineStr">
        <is>
          <t>ALASKA AIR GROUP, INC.</t>
        </is>
      </c>
      <c r="D140" t="n">
        <v>4512</v>
      </c>
      <c r="F140" t="n">
        <v>3440</v>
      </c>
      <c r="G140" t="inlineStr">
        <is>
          <t>MANUFACTURING</t>
        </is>
      </c>
      <c r="H140" t="inlineStr">
        <is>
          <t>CONSTRUCTION MATERIALS</t>
        </is>
      </c>
      <c r="I140" t="inlineStr">
        <is>
          <t>FABRICATED STRUCTURAL METAL PRODUCTS</t>
        </is>
      </c>
    </row>
    <row r="141">
      <c r="A141" t="inlineStr">
        <is>
          <t>ALBANY INTERNATIONAL CORP /DE/</t>
        </is>
      </c>
      <c r="B141" t="inlineStr">
        <is>
          <t>AIN</t>
        </is>
      </c>
      <c r="C141" t="inlineStr">
        <is>
          <t>ALBANY INTERNATIONAL CORP /DE/</t>
        </is>
      </c>
      <c r="D141" t="n">
        <v>2221</v>
      </c>
      <c r="F141" t="n">
        <v>3442</v>
      </c>
      <c r="G141" t="inlineStr">
        <is>
          <t>MANUFACTURING</t>
        </is>
      </c>
      <c r="H141" t="inlineStr">
        <is>
          <t>CONSTRUCTION MATERIALS</t>
        </is>
      </c>
      <c r="I141" t="inlineStr">
        <is>
          <t>METAL DOORS, SASH, FRAMES, MOLDINGS &amp; TRIM</t>
        </is>
      </c>
    </row>
    <row r="142">
      <c r="A142" t="inlineStr">
        <is>
          <t>ALBEMARLE CORP</t>
        </is>
      </c>
      <c r="B142" t="inlineStr">
        <is>
          <t>ALB</t>
        </is>
      </c>
      <c r="C142" t="inlineStr">
        <is>
          <t>ALBEMARLE CORP</t>
        </is>
      </c>
      <c r="D142" t="n">
        <v>2821</v>
      </c>
      <c r="F142" t="n">
        <v>3443</v>
      </c>
      <c r="G142" t="inlineStr">
        <is>
          <t>MANUFACTURING</t>
        </is>
      </c>
      <c r="H142" t="inlineStr">
        <is>
          <t>FABRICATED PRODUCTS</t>
        </is>
      </c>
      <c r="I142" t="inlineStr">
        <is>
          <t>FABRICATED PLATE WORK (BOILER SHOPS)</t>
        </is>
      </c>
    </row>
    <row r="143">
      <c r="A143" t="inlineStr">
        <is>
          <t>ALBERTSONS COMPANIES, INC.</t>
        </is>
      </c>
      <c r="B143" t="inlineStr">
        <is>
          <t>ACI</t>
        </is>
      </c>
      <c r="C143" t="inlineStr">
        <is>
          <t>ALBERTSONS COMPANIES, INC.</t>
        </is>
      </c>
      <c r="D143" t="n">
        <v>5411</v>
      </c>
      <c r="F143" t="n">
        <v>3444</v>
      </c>
      <c r="G143" t="inlineStr">
        <is>
          <t>MANUFACTURING</t>
        </is>
      </c>
      <c r="H143" t="inlineStr">
        <is>
          <t>FABRICATED PRODUCTS</t>
        </is>
      </c>
      <c r="I143" t="inlineStr">
        <is>
          <t>SHEET METAL WORK</t>
        </is>
      </c>
    </row>
    <row r="144">
      <c r="A144" t="inlineStr">
        <is>
          <t>ALBIREO PHARMA, INC.</t>
        </is>
      </c>
      <c r="B144" t="inlineStr">
        <is>
          <t>ALBO</t>
        </is>
      </c>
      <c r="C144" t="inlineStr">
        <is>
          <t>ALBIREO PHARMA, INC.</t>
        </is>
      </c>
      <c r="D144" t="n">
        <v>2834</v>
      </c>
      <c r="F144" t="n">
        <v>3448</v>
      </c>
      <c r="G144" t="inlineStr">
        <is>
          <t>MANUFACTURING</t>
        </is>
      </c>
      <c r="H144" t="inlineStr">
        <is>
          <t>CONSTRUCTION MATERIALS</t>
        </is>
      </c>
      <c r="I144" t="inlineStr">
        <is>
          <t>PREFABRICATED METAL BUILDINGS &amp; COMPONENTS</t>
        </is>
      </c>
    </row>
    <row r="145">
      <c r="A145" t="inlineStr">
        <is>
          <t>ALCOA CORP</t>
        </is>
      </c>
      <c r="B145" t="inlineStr">
        <is>
          <t>AA</t>
        </is>
      </c>
      <c r="C145" t="inlineStr">
        <is>
          <t>ALCOA CORP</t>
        </is>
      </c>
      <c r="D145" t="n">
        <v>3334</v>
      </c>
      <c r="F145" t="n">
        <v>3451</v>
      </c>
      <c r="G145" t="inlineStr">
        <is>
          <t>MANUFACTURING</t>
        </is>
      </c>
      <c r="H145" t="inlineStr">
        <is>
          <t>CONSTRUCTION MATERIALS</t>
        </is>
      </c>
      <c r="I145" t="inlineStr">
        <is>
          <t>SCREW MACHINE PRODUCTS</t>
        </is>
      </c>
    </row>
    <row r="146">
      <c r="A146" t="inlineStr">
        <is>
          <t>ALECTOR, INC.</t>
        </is>
      </c>
      <c r="B146" t="inlineStr">
        <is>
          <t>ALEC</t>
        </is>
      </c>
      <c r="C146" t="inlineStr">
        <is>
          <t>ALECTOR, INC.</t>
        </is>
      </c>
      <c r="D146" t="n">
        <v>2836</v>
      </c>
      <c r="F146" t="n">
        <v>3452</v>
      </c>
      <c r="G146" t="inlineStr">
        <is>
          <t>MANUFACTURING</t>
        </is>
      </c>
      <c r="H146" t="inlineStr">
        <is>
          <t>CONSTRUCTION MATERIALS</t>
        </is>
      </c>
      <c r="I146" t="inlineStr">
        <is>
          <t>BOLTS, NUTS, SCREWS, RIVETS &amp; WASHERS</t>
        </is>
      </c>
    </row>
    <row r="147">
      <c r="A147" t="inlineStr">
        <is>
          <t>ALERUS FINANCIAL CORP</t>
        </is>
      </c>
      <c r="B147" t="inlineStr">
        <is>
          <t>ALRS</t>
        </is>
      </c>
      <c r="C147" t="inlineStr">
        <is>
          <t>ALERUS FINANCIAL CORP</t>
        </is>
      </c>
      <c r="D147" t="n">
        <v>6021</v>
      </c>
      <c r="F147" t="n">
        <v>3460</v>
      </c>
      <c r="G147" t="inlineStr">
        <is>
          <t>MANUFACTURING</t>
        </is>
      </c>
      <c r="H147" t="inlineStr">
        <is>
          <t>FABRICATED PRODUCTS</t>
        </is>
      </c>
      <c r="I147" t="inlineStr">
        <is>
          <t>METAL FORGINGS &amp; STAMPINGS</t>
        </is>
      </c>
    </row>
    <row r="148">
      <c r="A148" t="inlineStr">
        <is>
          <t>ALEXANDER &amp; BALDWIN, INC.</t>
        </is>
      </c>
      <c r="B148" t="inlineStr">
        <is>
          <t>ALEX</t>
        </is>
      </c>
      <c r="C148" t="inlineStr">
        <is>
          <t>ALEXANDER &amp; BALDWIN, INC.</t>
        </is>
      </c>
      <c r="D148" t="n">
        <v>6798</v>
      </c>
      <c r="F148" t="n">
        <v>3470</v>
      </c>
      <c r="G148" t="inlineStr">
        <is>
          <t>MANUFACTURING</t>
        </is>
      </c>
      <c r="H148" t="inlineStr">
        <is>
          <t>FABRICATED PRODUCTS</t>
        </is>
      </c>
      <c r="I148" t="inlineStr">
        <is>
          <t>COATING, ENGRAVING &amp; ALLIED SERVICES</t>
        </is>
      </c>
    </row>
    <row r="149">
      <c r="A149" t="inlineStr">
        <is>
          <t>ALEXANDERS INC</t>
        </is>
      </c>
      <c r="B149" t="inlineStr">
        <is>
          <t>ALX</t>
        </is>
      </c>
      <c r="C149" t="inlineStr">
        <is>
          <t>ALEXANDERS INC</t>
        </is>
      </c>
      <c r="D149" t="n">
        <v>6798</v>
      </c>
      <c r="F149" t="n">
        <v>3480</v>
      </c>
      <c r="G149" t="inlineStr">
        <is>
          <t>MANUFACTURING</t>
        </is>
      </c>
      <c r="H149" t="inlineStr">
        <is>
          <t>DEFENSE</t>
        </is>
      </c>
      <c r="I149" t="inlineStr">
        <is>
          <t>ORDNANCE &amp; ACCESSORIES, (NO VEHICLES/GUIDED MISSILES)</t>
        </is>
      </c>
    </row>
    <row r="150">
      <c r="A150" t="inlineStr">
        <is>
          <t>ALEXANDRIA REAL ESTATE EQUITIES, INC.</t>
        </is>
      </c>
      <c r="B150" t="inlineStr">
        <is>
          <t>ARE</t>
        </is>
      </c>
      <c r="C150" t="inlineStr">
        <is>
          <t>ALEXANDRIA REAL ESTATE EQUITIES, INC.</t>
        </is>
      </c>
      <c r="D150" t="n">
        <v>6798</v>
      </c>
      <c r="F150" t="n">
        <v>3490</v>
      </c>
      <c r="G150" t="inlineStr">
        <is>
          <t>MANUFACTURING</t>
        </is>
      </c>
      <c r="H150" t="inlineStr">
        <is>
          <t>CONSTRUCTION MATERIALS</t>
        </is>
      </c>
      <c r="I150" t="inlineStr">
        <is>
          <t>MISCELLANEOUS FABRICATED METAL PRODUCTS</t>
        </is>
      </c>
    </row>
    <row r="151">
      <c r="A151" t="inlineStr">
        <is>
          <t>ALGONQUIN POWER &amp; UTILITIES CORP.</t>
        </is>
      </c>
      <c r="B151" t="inlineStr">
        <is>
          <t>AQN</t>
        </is>
      </c>
      <c r="C151" t="inlineStr">
        <is>
          <t>ALGONQUIN POWER &amp; UTILITIES CORP.</t>
        </is>
      </c>
      <c r="D151" t="n">
        <v>4911</v>
      </c>
      <c r="F151" t="n">
        <v>3510</v>
      </c>
      <c r="G151" t="inlineStr">
        <is>
          <t>MANUFACTURING</t>
        </is>
      </c>
      <c r="H151" t="inlineStr">
        <is>
          <t>MACHINERY</t>
        </is>
      </c>
      <c r="I151" t="inlineStr">
        <is>
          <t>ENGINES &amp; TURBINES</t>
        </is>
      </c>
    </row>
    <row r="152">
      <c r="A152" t="inlineStr">
        <is>
          <t>ALIBABA GROUP HOLDING LTD</t>
        </is>
      </c>
      <c r="B152" t="inlineStr">
        <is>
          <t>BABA</t>
        </is>
      </c>
      <c r="C152" t="inlineStr">
        <is>
          <t>ALIBABA GROUP HOLDING LTD</t>
        </is>
      </c>
      <c r="D152" t="n">
        <v>7389</v>
      </c>
      <c r="F152" t="n">
        <v>3523</v>
      </c>
      <c r="G152" t="inlineStr">
        <is>
          <t>MANUFACTURING</t>
        </is>
      </c>
      <c r="H152" t="inlineStr">
        <is>
          <t>MACHINERY</t>
        </is>
      </c>
      <c r="I152" t="inlineStr">
        <is>
          <t>FARM MACHINERY &amp; EQUIPMENT</t>
        </is>
      </c>
    </row>
    <row r="153">
      <c r="A153" t="inlineStr">
        <is>
          <t>ALICO, INC.</t>
        </is>
      </c>
      <c r="B153" t="inlineStr">
        <is>
          <t>ALCO</t>
        </is>
      </c>
      <c r="C153" t="inlineStr">
        <is>
          <t>ALICO, INC.</t>
        </is>
      </c>
      <c r="D153" t="n">
        <v>100</v>
      </c>
      <c r="F153" t="n">
        <v>3524</v>
      </c>
      <c r="G153" t="inlineStr">
        <is>
          <t>MANUFACTURING</t>
        </is>
      </c>
      <c r="H153" t="inlineStr">
        <is>
          <t>MACHINERY</t>
        </is>
      </c>
      <c r="I153" t="inlineStr">
        <is>
          <t>LAWN &amp; GARDEN TRACTORS &amp; HOME LAWN &amp; GARDENS EQUIP</t>
        </is>
      </c>
    </row>
    <row r="154">
      <c r="A154" t="inlineStr">
        <is>
          <t>ALIGN TECHNOLOGY INC</t>
        </is>
      </c>
      <c r="B154" t="inlineStr">
        <is>
          <t>ALGN</t>
        </is>
      </c>
      <c r="C154" t="inlineStr">
        <is>
          <t>ALIGN TECHNOLOGY INC</t>
        </is>
      </c>
      <c r="D154" t="n">
        <v>3842</v>
      </c>
      <c r="F154" t="n">
        <v>3530</v>
      </c>
      <c r="G154" t="inlineStr">
        <is>
          <t>MANUFACTURING</t>
        </is>
      </c>
      <c r="H154" t="inlineStr">
        <is>
          <t>MACHINERY</t>
        </is>
      </c>
      <c r="I154" t="inlineStr">
        <is>
          <t>CONSTRUCTION, MINING &amp; MATERIALS HANDLING MACHINERY &amp; EQUIP</t>
        </is>
      </c>
    </row>
    <row r="155">
      <c r="A155" t="inlineStr">
        <is>
          <t>ALIGNMENT HEALTHCARE, INC.</t>
        </is>
      </c>
      <c r="B155" t="inlineStr">
        <is>
          <t>ALHC</t>
        </is>
      </c>
      <c r="C155" t="inlineStr">
        <is>
          <t>ALIGNMENT HEALTHCARE, INC.</t>
        </is>
      </c>
      <c r="D155" t="n">
        <v>6324</v>
      </c>
      <c r="F155" t="n">
        <v>3531</v>
      </c>
      <c r="G155" t="inlineStr">
        <is>
          <t>MANUFACTURING</t>
        </is>
      </c>
      <c r="H155" t="inlineStr">
        <is>
          <t>MACHINERY</t>
        </is>
      </c>
      <c r="I155" t="inlineStr">
        <is>
          <t>CONSTRUCTION MACHINERY &amp; EQUIP</t>
        </is>
      </c>
    </row>
    <row r="156">
      <c r="A156" t="inlineStr">
        <is>
          <t>ALIMERA SCIENCES INC</t>
        </is>
      </c>
      <c r="B156" t="inlineStr">
        <is>
          <t>ALIM</t>
        </is>
      </c>
      <c r="C156" t="inlineStr">
        <is>
          <t>ALIMERA SCIENCES INC</t>
        </is>
      </c>
      <c r="D156" t="n">
        <v>2834</v>
      </c>
      <c r="F156" t="n">
        <v>3532</v>
      </c>
      <c r="G156" t="inlineStr">
        <is>
          <t>MANUFACTURING</t>
        </is>
      </c>
      <c r="H156" t="inlineStr">
        <is>
          <t>MACHINERY</t>
        </is>
      </c>
      <c r="I156" t="inlineStr">
        <is>
          <t>MINING MACHINERY &amp; EQUIP (NO OIL &amp; GAS FIELD MACH &amp; EQUIP)</t>
        </is>
      </c>
    </row>
    <row r="157">
      <c r="A157" t="inlineStr">
        <is>
          <t>ALJ REGIONAL HOLDINGS INC</t>
        </is>
      </c>
      <c r="B157" t="inlineStr">
        <is>
          <t>ALJJ</t>
        </is>
      </c>
      <c r="C157" t="inlineStr">
        <is>
          <t>ALJ REGIONAL HOLDINGS INC</t>
        </is>
      </c>
      <c r="D157" t="n">
        <v>7389</v>
      </c>
      <c r="F157" t="n">
        <v>3533</v>
      </c>
      <c r="G157" t="inlineStr">
        <is>
          <t>MANUFACTURING</t>
        </is>
      </c>
      <c r="H157" t="inlineStr">
        <is>
          <t>MACHINERY</t>
        </is>
      </c>
      <c r="I157" t="inlineStr">
        <is>
          <t>OIL &amp; GAS FIELD MACHINERY &amp; EQUIPMENT</t>
        </is>
      </c>
    </row>
    <row r="158">
      <c r="A158" t="inlineStr">
        <is>
          <t>ALKALINE WATER CO INC</t>
        </is>
      </c>
      <c r="B158" t="inlineStr">
        <is>
          <t>WTER</t>
        </is>
      </c>
      <c r="C158" t="inlineStr">
        <is>
          <t>ALKALINE WATER CO INC</t>
        </is>
      </c>
      <c r="D158" t="n">
        <v>5140</v>
      </c>
      <c r="F158" t="n">
        <v>3537</v>
      </c>
      <c r="G158" t="inlineStr">
        <is>
          <t>MANUFACTURING</t>
        </is>
      </c>
      <c r="H158" t="inlineStr">
        <is>
          <t>AUTOMOBILES AND TRUCKS</t>
        </is>
      </c>
      <c r="I158" t="inlineStr">
        <is>
          <t>INDUSTRIAL TRUCKS, TRACTORS, TRAILORS &amp; STACKERS</t>
        </is>
      </c>
    </row>
    <row r="159">
      <c r="A159" t="inlineStr">
        <is>
          <t>ALKAMI TECHNOLOGY, INC.</t>
        </is>
      </c>
      <c r="B159" t="inlineStr">
        <is>
          <t>ALKT</t>
        </is>
      </c>
      <c r="C159" t="inlineStr">
        <is>
          <t>ALKAMI TECHNOLOGY, INC.</t>
        </is>
      </c>
      <c r="D159" t="n">
        <v>7372</v>
      </c>
      <c r="F159" t="n">
        <v>3540</v>
      </c>
      <c r="G159" t="inlineStr">
        <is>
          <t>MANUFACTURING</t>
        </is>
      </c>
      <c r="H159" t="inlineStr">
        <is>
          <t>MACHINERY</t>
        </is>
      </c>
      <c r="I159" t="inlineStr">
        <is>
          <t>METALWORKG MACHINERY &amp; EQUIPMENT</t>
        </is>
      </c>
    </row>
    <row r="160">
      <c r="A160" t="inlineStr">
        <is>
          <t>ALKERMES PLC.</t>
        </is>
      </c>
      <c r="B160" t="inlineStr">
        <is>
          <t>ALKS</t>
        </is>
      </c>
      <c r="C160" t="inlineStr">
        <is>
          <t>ALKERMES PLC.</t>
        </is>
      </c>
      <c r="D160" t="n">
        <v>2834</v>
      </c>
      <c r="F160" t="n">
        <v>3541</v>
      </c>
      <c r="G160" t="inlineStr">
        <is>
          <t>MANUFACTURING</t>
        </is>
      </c>
      <c r="H160" t="inlineStr">
        <is>
          <t>MACHINERY</t>
        </is>
      </c>
      <c r="I160" t="inlineStr">
        <is>
          <t>MACHINE TOOLS, METAL CUTTING TYPES</t>
        </is>
      </c>
    </row>
    <row r="161">
      <c r="A161" t="inlineStr">
        <is>
          <t>ALLBIRDS, INC.</t>
        </is>
      </c>
      <c r="B161" t="inlineStr">
        <is>
          <t>BIRD</t>
        </is>
      </c>
      <c r="C161" t="inlineStr">
        <is>
          <t>ALLBIRDS, INC.</t>
        </is>
      </c>
      <c r="D161" t="n">
        <v>2300</v>
      </c>
      <c r="F161" t="n">
        <v>3550</v>
      </c>
      <c r="G161" t="inlineStr">
        <is>
          <t>MANUFACTURING</t>
        </is>
      </c>
      <c r="H161" t="inlineStr">
        <is>
          <t>MACHINERY</t>
        </is>
      </c>
      <c r="I161" t="inlineStr">
        <is>
          <t>SPECIAL INDUSTRY MACHINERY (NO METALWORKING MACHINERY)</t>
        </is>
      </c>
    </row>
    <row r="162">
      <c r="A162" t="inlineStr">
        <is>
          <t>ALLEGHANY CORP /DE</t>
        </is>
      </c>
      <c r="B162" t="inlineStr">
        <is>
          <t>Y</t>
        </is>
      </c>
      <c r="C162" t="inlineStr">
        <is>
          <t>ALLEGHANY CORP /DE</t>
        </is>
      </c>
      <c r="D162" t="n">
        <v>6331</v>
      </c>
      <c r="F162" t="n">
        <v>3555</v>
      </c>
      <c r="G162" t="inlineStr">
        <is>
          <t>MANUFACTURING</t>
        </is>
      </c>
      <c r="H162" t="inlineStr">
        <is>
          <t>MACHINERY</t>
        </is>
      </c>
      <c r="I162" t="inlineStr">
        <is>
          <t>PRINTING TRADES MACHINERY &amp; EQUIPMENT</t>
        </is>
      </c>
    </row>
    <row r="163">
      <c r="A163" t="inlineStr">
        <is>
          <t>ALLEGHENY TECHNOLOGIES INC</t>
        </is>
      </c>
      <c r="B163" t="inlineStr">
        <is>
          <t>ATI</t>
        </is>
      </c>
      <c r="C163" t="inlineStr">
        <is>
          <t>ALLEGHENY TECHNOLOGIES INC</t>
        </is>
      </c>
      <c r="D163" t="n">
        <v>3317</v>
      </c>
      <c r="F163" t="n">
        <v>3559</v>
      </c>
      <c r="G163" t="inlineStr">
        <is>
          <t>MANUFACTURING</t>
        </is>
      </c>
      <c r="H163" t="inlineStr">
        <is>
          <t>MACHINERY</t>
        </is>
      </c>
      <c r="I163" t="inlineStr">
        <is>
          <t>SPECIAL INDUSTRY MACHINERY, NEC</t>
        </is>
      </c>
    </row>
    <row r="164">
      <c r="A164" t="inlineStr">
        <is>
          <t>ALLEGIANCE BANCSHARES, INC.</t>
        </is>
      </c>
      <c r="B164" t="inlineStr">
        <is>
          <t>ABTX</t>
        </is>
      </c>
      <c r="C164" t="inlineStr">
        <is>
          <t>ALLEGIANCE BANCSHARES, INC.</t>
        </is>
      </c>
      <c r="D164" t="n">
        <v>6022</v>
      </c>
      <c r="F164" t="n">
        <v>3560</v>
      </c>
      <c r="G164" t="inlineStr">
        <is>
          <t>MANUFACTURING</t>
        </is>
      </c>
      <c r="H164" t="inlineStr">
        <is>
          <t>MACHINERY</t>
        </is>
      </c>
      <c r="I164" t="inlineStr">
        <is>
          <t>GENERAL INDUSTRIAL MACHINERY &amp; EQUIPMENT</t>
        </is>
      </c>
    </row>
    <row r="165">
      <c r="A165" t="inlineStr">
        <is>
          <t>ALLEGIANT TRAVEL CO</t>
        </is>
      </c>
      <c r="B165" t="inlineStr">
        <is>
          <t>ALGT</t>
        </is>
      </c>
      <c r="C165" t="inlineStr">
        <is>
          <t>ALLEGIANT TRAVEL CO</t>
        </is>
      </c>
      <c r="D165" t="n">
        <v>4512</v>
      </c>
      <c r="F165" t="n">
        <v>3561</v>
      </c>
      <c r="G165" t="inlineStr">
        <is>
          <t>MANUFACTURING</t>
        </is>
      </c>
      <c r="H165" t="inlineStr">
        <is>
          <t>MACHINERY</t>
        </is>
      </c>
      <c r="I165" t="inlineStr">
        <is>
          <t>PUMPS &amp; PUMPING EQUIPMENT</t>
        </is>
      </c>
    </row>
    <row r="166">
      <c r="A166" t="inlineStr">
        <is>
          <t>ALLEGION PLC</t>
        </is>
      </c>
      <c r="B166" t="inlineStr">
        <is>
          <t>ALLE</t>
        </is>
      </c>
      <c r="C166" t="inlineStr">
        <is>
          <t>ALLEGION PLC</t>
        </is>
      </c>
      <c r="D166" t="n">
        <v>7381</v>
      </c>
      <c r="F166" t="n">
        <v>3562</v>
      </c>
      <c r="G166" t="inlineStr">
        <is>
          <t>MANUFACTURING</t>
        </is>
      </c>
      <c r="H166" t="inlineStr">
        <is>
          <t>MACHINERY</t>
        </is>
      </c>
      <c r="I166" t="inlineStr">
        <is>
          <t>BALL &amp; ROLLER BEARINGS</t>
        </is>
      </c>
    </row>
    <row r="167">
      <c r="A167" t="inlineStr">
        <is>
          <t>ALLEGRO MICROSYSTEMS, INC.</t>
        </is>
      </c>
      <c r="B167" t="inlineStr">
        <is>
          <t>ALGM</t>
        </is>
      </c>
      <c r="C167" t="inlineStr">
        <is>
          <t>ALLEGRO MICROSYSTEMS, INC.</t>
        </is>
      </c>
      <c r="D167" t="n">
        <v>3674</v>
      </c>
      <c r="F167" t="n">
        <v>3564</v>
      </c>
      <c r="G167" t="inlineStr">
        <is>
          <t>MANUFACTURING</t>
        </is>
      </c>
      <c r="H167" t="inlineStr">
        <is>
          <t>MACHINERY</t>
        </is>
      </c>
      <c r="I167" t="inlineStr">
        <is>
          <t>INDUSTRIAL &amp; COMMERCIAL FANS &amp; BLOWERS &amp; AIR PURIFING EQUIP</t>
        </is>
      </c>
    </row>
    <row r="168">
      <c r="A168" t="inlineStr">
        <is>
          <t>ALLETE INC</t>
        </is>
      </c>
      <c r="B168" t="inlineStr">
        <is>
          <t>ALE</t>
        </is>
      </c>
      <c r="C168" t="inlineStr">
        <is>
          <t>ALLETE INC</t>
        </is>
      </c>
      <c r="D168" t="n">
        <v>4931</v>
      </c>
      <c r="F168" t="n">
        <v>3567</v>
      </c>
      <c r="G168" t="inlineStr">
        <is>
          <t>MANUFACTURING</t>
        </is>
      </c>
      <c r="H168" t="inlineStr">
        <is>
          <t>MACHINERY</t>
        </is>
      </c>
      <c r="I168" t="inlineStr">
        <is>
          <t>INDUSTRIAL PROCESS FURNACES &amp; OVENS</t>
        </is>
      </c>
    </row>
    <row r="169">
      <c r="A169" t="inlineStr">
        <is>
          <t>ALLIANCE RESOURCE PARTNERS LP</t>
        </is>
      </c>
      <c r="B169" t="inlineStr">
        <is>
          <t>ARLP</t>
        </is>
      </c>
      <c r="C169" t="inlineStr">
        <is>
          <t>ALLIANCE RESOURCE PARTNERS LP</t>
        </is>
      </c>
      <c r="D169" t="n">
        <v>1221</v>
      </c>
      <c r="F169" t="n">
        <v>3569</v>
      </c>
      <c r="G169" t="inlineStr">
        <is>
          <t>MANUFACTURING</t>
        </is>
      </c>
      <c r="H169" t="inlineStr">
        <is>
          <t>MACHINERY</t>
        </is>
      </c>
      <c r="I169" t="inlineStr">
        <is>
          <t>GENERAL INDUSTRIAL MACHINERY &amp; EQUIPMENT, NEC</t>
        </is>
      </c>
    </row>
    <row r="170">
      <c r="A170" t="inlineStr">
        <is>
          <t>ALLIANT ENERGY CORP</t>
        </is>
      </c>
      <c r="B170" t="inlineStr">
        <is>
          <t>LNT</t>
        </is>
      </c>
      <c r="C170" t="inlineStr">
        <is>
          <t>ALLIANT ENERGY CORP</t>
        </is>
      </c>
      <c r="D170" t="n">
        <v>4931</v>
      </c>
      <c r="F170" t="n">
        <v>3570</v>
      </c>
      <c r="G170" t="inlineStr">
        <is>
          <t>TECHNOLOGY</t>
        </is>
      </c>
      <c r="H170" t="inlineStr">
        <is>
          <t>COMPUTERS</t>
        </is>
      </c>
      <c r="I170" t="inlineStr">
        <is>
          <t>COMPUTER &amp; OFFICE EQUIPMENT</t>
        </is>
      </c>
    </row>
    <row r="171">
      <c r="A171" t="inlineStr">
        <is>
          <t>ALLIED ESPORTS ENTERTAINMENT, INC.</t>
        </is>
      </c>
      <c r="B171" t="inlineStr">
        <is>
          <t>AESE</t>
        </is>
      </c>
      <c r="C171" t="inlineStr">
        <is>
          <t>ALLIED ESPORTS ENTERTAINMENT, INC.</t>
        </is>
      </c>
      <c r="D171" t="n">
        <v>7900</v>
      </c>
      <c r="F171" t="n">
        <v>3571</v>
      </c>
      <c r="G171" t="inlineStr">
        <is>
          <t>TECHNOLOGY</t>
        </is>
      </c>
      <c r="H171" t="inlineStr">
        <is>
          <t>COMPUTERS</t>
        </is>
      </c>
      <c r="I171" t="inlineStr">
        <is>
          <t>ELECTRONIC COMPUTERS</t>
        </is>
      </c>
    </row>
    <row r="172">
      <c r="A172" t="inlineStr">
        <is>
          <t>ALLIED MOTION TECHNOLOGIES INC</t>
        </is>
      </c>
      <c r="B172" t="inlineStr">
        <is>
          <t>AMOT</t>
        </is>
      </c>
      <c r="C172" t="inlineStr">
        <is>
          <t>ALLIED MOTION TECHNOLOGIES INC</t>
        </is>
      </c>
      <c r="D172" t="n">
        <v>3825</v>
      </c>
      <c r="F172" t="n">
        <v>3572</v>
      </c>
      <c r="G172" t="inlineStr">
        <is>
          <t>TECHNOLOGY</t>
        </is>
      </c>
      <c r="H172" t="inlineStr">
        <is>
          <t>COMPUTERS</t>
        </is>
      </c>
      <c r="I172" t="inlineStr">
        <is>
          <t>COMPUTER STORAGE DEVICES</t>
        </is>
      </c>
    </row>
    <row r="173">
      <c r="A173" t="inlineStr">
        <is>
          <t>ALLISON TRANSMISSION HOLDINGS INC</t>
        </is>
      </c>
      <c r="B173" t="inlineStr">
        <is>
          <t>ALSN</t>
        </is>
      </c>
      <c r="C173" t="inlineStr">
        <is>
          <t>ALLISON TRANSMISSION HOLDINGS INC</t>
        </is>
      </c>
      <c r="D173" t="n">
        <v>3714</v>
      </c>
      <c r="F173" t="n">
        <v>3575</v>
      </c>
      <c r="G173" t="inlineStr">
        <is>
          <t>TECHNOLOGY</t>
        </is>
      </c>
      <c r="H173" t="inlineStr">
        <is>
          <t>COMPUTERS</t>
        </is>
      </c>
      <c r="I173" t="inlineStr">
        <is>
          <t>COMPUTER TERMINALS</t>
        </is>
      </c>
    </row>
    <row r="174">
      <c r="A174" t="inlineStr">
        <is>
          <t>ALLOT LTD.</t>
        </is>
      </c>
      <c r="B174" t="inlineStr">
        <is>
          <t>ALLT</t>
        </is>
      </c>
      <c r="C174" t="inlineStr">
        <is>
          <t>ALLOT LTD.</t>
        </is>
      </c>
      <c r="D174" t="n">
        <v>3576</v>
      </c>
      <c r="F174" t="n">
        <v>3576</v>
      </c>
      <c r="G174" t="inlineStr">
        <is>
          <t>TECHNOLOGY</t>
        </is>
      </c>
      <c r="H174" t="inlineStr">
        <is>
          <t>COMPUTERS</t>
        </is>
      </c>
      <c r="I174" t="inlineStr">
        <is>
          <t>COMPUTER COMMUNICATIONS EQUIPMENT</t>
        </is>
      </c>
    </row>
    <row r="175">
      <c r="A175" t="inlineStr">
        <is>
          <t>ALLSCRIPTS HEALTHCARE SOLUTIONS, INC.</t>
        </is>
      </c>
      <c r="B175" t="inlineStr">
        <is>
          <t>MDRX</t>
        </is>
      </c>
      <c r="C175" t="inlineStr">
        <is>
          <t>ALLSCRIPTS HEALTHCARE SOLUTIONS, INC.</t>
        </is>
      </c>
      <c r="D175" t="n">
        <v>7373</v>
      </c>
      <c r="F175" t="n">
        <v>3577</v>
      </c>
      <c r="G175" t="inlineStr">
        <is>
          <t>TECHNOLOGY</t>
        </is>
      </c>
      <c r="H175" t="inlineStr">
        <is>
          <t>COMPUTERS</t>
        </is>
      </c>
      <c r="I175" t="inlineStr">
        <is>
          <t>COMPUTER PERIPHERAL EQUIPMENT, NEC</t>
        </is>
      </c>
    </row>
    <row r="176">
      <c r="A176" t="inlineStr">
        <is>
          <t>ALLSTATE CORP</t>
        </is>
      </c>
      <c r="B176" t="inlineStr">
        <is>
          <t>ALL</t>
        </is>
      </c>
      <c r="C176" t="inlineStr">
        <is>
          <t>ALLSTATE CORP</t>
        </is>
      </c>
      <c r="D176" t="n">
        <v>6331</v>
      </c>
      <c r="F176" t="n">
        <v>3578</v>
      </c>
      <c r="G176" t="inlineStr">
        <is>
          <t>TECHNOLOGY</t>
        </is>
      </c>
      <c r="H176" t="inlineStr">
        <is>
          <t>COMPUTERS</t>
        </is>
      </c>
      <c r="I176" t="inlineStr">
        <is>
          <t>CALCULATING &amp; ACCOUNTING MACHINES (NO ELECTRONIC COMPUTERS)</t>
        </is>
      </c>
    </row>
    <row r="177">
      <c r="A177" t="inlineStr">
        <is>
          <t>ALLY FINANCIAL INC.</t>
        </is>
      </c>
      <c r="B177" t="inlineStr">
        <is>
          <t>ALLY</t>
        </is>
      </c>
      <c r="C177" t="inlineStr">
        <is>
          <t>ALLY FINANCIAL INC.</t>
        </is>
      </c>
      <c r="D177" t="n">
        <v>6022</v>
      </c>
      <c r="F177" t="n">
        <v>3579</v>
      </c>
      <c r="G177" t="inlineStr">
        <is>
          <t>TECHNOLOGY</t>
        </is>
      </c>
      <c r="H177" t="inlineStr">
        <is>
          <t>COMPUTERS</t>
        </is>
      </c>
      <c r="I177" t="inlineStr">
        <is>
          <t>OFFICE MACHINES, NEC</t>
        </is>
      </c>
    </row>
    <row r="178">
      <c r="A178" t="inlineStr">
        <is>
          <t>ALNYLAM PHARMACEUTICALS, INC.</t>
        </is>
      </c>
      <c r="B178" t="inlineStr">
        <is>
          <t>ALNY</t>
        </is>
      </c>
      <c r="C178" t="inlineStr">
        <is>
          <t>ALNYLAM PHARMACEUTICALS, INC.</t>
        </is>
      </c>
      <c r="D178" t="n">
        <v>2834</v>
      </c>
      <c r="F178" t="n">
        <v>3580</v>
      </c>
      <c r="G178" t="inlineStr">
        <is>
          <t>MANUFACTURING</t>
        </is>
      </c>
      <c r="H178" t="inlineStr">
        <is>
          <t>MACHINERY</t>
        </is>
      </c>
      <c r="I178" t="inlineStr">
        <is>
          <t>REFRIGERATION &amp; SERVICE INDUSTRY MACHINERY</t>
        </is>
      </c>
    </row>
    <row r="179">
      <c r="A179" t="inlineStr">
        <is>
          <t>ALPHA &amp; OMEGA SEMICONDUCTOR LTD</t>
        </is>
      </c>
      <c r="B179" t="inlineStr">
        <is>
          <t>AOSL</t>
        </is>
      </c>
      <c r="C179" t="inlineStr">
        <is>
          <t>ALPHA &amp; OMEGA SEMICONDUCTOR LTD</t>
        </is>
      </c>
      <c r="D179" t="n">
        <v>3674</v>
      </c>
      <c r="F179" t="n">
        <v>3585</v>
      </c>
      <c r="G179" t="inlineStr">
        <is>
          <t>MANUFACTURING</t>
        </is>
      </c>
      <c r="H179" t="inlineStr">
        <is>
          <t>MACHINERY</t>
        </is>
      </c>
      <c r="I179" t="inlineStr">
        <is>
          <t>AIR-COND &amp; WARM AIR HEATG EQUIP &amp; COMM &amp; INDL REFRIG EQUIP</t>
        </is>
      </c>
    </row>
    <row r="180">
      <c r="A180" t="inlineStr">
        <is>
          <t>ALPHA METALLURGICAL RESOURCES, INC.</t>
        </is>
      </c>
      <c r="B180" t="inlineStr">
        <is>
          <t>AMR</t>
        </is>
      </c>
      <c r="C180" t="inlineStr">
        <is>
          <t>ALPHA METALLURGICAL RESOURCES, INC.</t>
        </is>
      </c>
      <c r="D180" t="n">
        <v>1221</v>
      </c>
      <c r="F180" t="n">
        <v>3590</v>
      </c>
      <c r="G180" t="inlineStr">
        <is>
          <t>MANUFACTURING</t>
        </is>
      </c>
      <c r="H180" t="inlineStr">
        <is>
          <t>MACHINERY</t>
        </is>
      </c>
      <c r="I180" t="inlineStr">
        <is>
          <t>MISC INDUSTRIAL &amp; COMMERCIAL MACHINERY &amp; EQUIPMENT</t>
        </is>
      </c>
    </row>
    <row r="181">
      <c r="A181" t="inlineStr">
        <is>
          <t>ALPHA PRO TECH LTD</t>
        </is>
      </c>
      <c r="B181" t="inlineStr">
        <is>
          <t>APT</t>
        </is>
      </c>
      <c r="C181" t="inlineStr">
        <is>
          <t>ALPHA PRO TECH LTD</t>
        </is>
      </c>
      <c r="D181" t="n">
        <v>3842</v>
      </c>
      <c r="F181" t="n">
        <v>3600</v>
      </c>
      <c r="G181" t="inlineStr">
        <is>
          <t>MANUFACTURING</t>
        </is>
      </c>
      <c r="H181" t="inlineStr">
        <is>
          <t>ELECTRICAL EQUIPMENT</t>
        </is>
      </c>
      <c r="I181" t="inlineStr">
        <is>
          <t>ELECTRONIC &amp; OTHER ELECTRICAL EQUIPMENT (NO COMPUTER EQUIP)</t>
        </is>
      </c>
    </row>
    <row r="182">
      <c r="A182" t="inlineStr">
        <is>
          <t>ALPHA TEKNOVA, INC.</t>
        </is>
      </c>
      <c r="B182" t="inlineStr">
        <is>
          <t>TKNO</t>
        </is>
      </c>
      <c r="C182" t="inlineStr">
        <is>
          <t>ALPHA TEKNOVA, INC.</t>
        </is>
      </c>
      <c r="D182" t="n">
        <v>2835</v>
      </c>
      <c r="F182" t="n">
        <v>3612</v>
      </c>
      <c r="G182" t="inlineStr">
        <is>
          <t>MANUFACTURING</t>
        </is>
      </c>
      <c r="H182" t="inlineStr">
        <is>
          <t>ELECTRICAL EQUIPMENT</t>
        </is>
      </c>
      <c r="I182" t="inlineStr">
        <is>
          <t>POWER, DISTRIBUTION &amp; SPECIALTY TRANSFORMERS</t>
        </is>
      </c>
    </row>
    <row r="183">
      <c r="A183" t="inlineStr">
        <is>
          <t>ALPHABET INC.</t>
        </is>
      </c>
      <c r="B183" t="inlineStr">
        <is>
          <t>GOOGL</t>
        </is>
      </c>
      <c r="C183" t="inlineStr">
        <is>
          <t>ALPHABET INC.</t>
        </is>
      </c>
      <c r="D183" t="n">
        <v>7370</v>
      </c>
      <c r="F183" t="n">
        <v>3613</v>
      </c>
      <c r="G183" t="inlineStr">
        <is>
          <t>MANUFACTURING</t>
        </is>
      </c>
      <c r="H183" t="inlineStr">
        <is>
          <t>ELECTRICAL EQUIPMENT</t>
        </is>
      </c>
      <c r="I183" t="inlineStr">
        <is>
          <t>SWITCHGEAR &amp; SWITCHBOARD APPARATUS</t>
        </is>
      </c>
    </row>
    <row r="184">
      <c r="A184" t="inlineStr">
        <is>
          <t>ALPHATEC HOLDINGS, INC.</t>
        </is>
      </c>
      <c r="B184" t="inlineStr">
        <is>
          <t>ATEC</t>
        </is>
      </c>
      <c r="C184" t="inlineStr">
        <is>
          <t>ALPHATEC HOLDINGS, INC.</t>
        </is>
      </c>
      <c r="D184" t="n">
        <v>3841</v>
      </c>
      <c r="F184" t="n">
        <v>3620</v>
      </c>
      <c r="G184" t="inlineStr">
        <is>
          <t>MANUFACTURING</t>
        </is>
      </c>
      <c r="H184" t="inlineStr">
        <is>
          <t>ELECTRICAL EQUIPMENT</t>
        </is>
      </c>
      <c r="I184" t="inlineStr">
        <is>
          <t>ELECTRICAL INDUSTRIAL APPARATUS</t>
        </is>
      </c>
    </row>
    <row r="185">
      <c r="A185" t="inlineStr">
        <is>
          <t>ALPINE 4 HOLDINGS, INC.</t>
        </is>
      </c>
      <c r="B185" t="inlineStr">
        <is>
          <t>ALPP</t>
        </is>
      </c>
      <c r="C185" t="inlineStr">
        <is>
          <t>ALPINE 4 HOLDINGS, INC.</t>
        </is>
      </c>
      <c r="D185" t="n">
        <v>3669</v>
      </c>
      <c r="F185" t="n">
        <v>3621</v>
      </c>
      <c r="G185" t="inlineStr">
        <is>
          <t>MANUFACTURING</t>
        </is>
      </c>
      <c r="H185" t="inlineStr">
        <is>
          <t>ELECTRICAL EQUIPMENT</t>
        </is>
      </c>
      <c r="I185" t="inlineStr">
        <is>
          <t>MOTORS &amp; GENERATORS</t>
        </is>
      </c>
    </row>
    <row r="186">
      <c r="A186" t="inlineStr">
        <is>
          <t>ALPINE IMMUNE SCIENCES, INC.</t>
        </is>
      </c>
      <c r="B186" t="inlineStr">
        <is>
          <t>ALPN</t>
        </is>
      </c>
      <c r="C186" t="inlineStr">
        <is>
          <t>ALPINE IMMUNE SCIENCES, INC.</t>
        </is>
      </c>
      <c r="D186" t="n">
        <v>2834</v>
      </c>
      <c r="F186" t="n">
        <v>3630</v>
      </c>
      <c r="G186" t="inlineStr">
        <is>
          <t>CONSUMER DURABLES</t>
        </is>
      </c>
      <c r="H186" t="inlineStr">
        <is>
          <t>CONSUMER GOODS</t>
        </is>
      </c>
      <c r="I186" t="inlineStr">
        <is>
          <t>HOUSEHOLD APPLIANCES</t>
        </is>
      </c>
    </row>
    <row r="187">
      <c r="A187" t="inlineStr">
        <is>
          <t>ALPINE INCOME PROPERTY TRUST, INC.</t>
        </is>
      </c>
      <c r="B187" t="inlineStr">
        <is>
          <t>PINE</t>
        </is>
      </c>
      <c r="C187" t="inlineStr">
        <is>
          <t>ALPINE INCOME PROPERTY TRUST, INC.</t>
        </is>
      </c>
      <c r="D187" t="n">
        <v>6798</v>
      </c>
      <c r="F187" t="n">
        <v>3634</v>
      </c>
      <c r="G187" t="inlineStr">
        <is>
          <t>CONSUMER DURABLES</t>
        </is>
      </c>
      <c r="H187" t="inlineStr">
        <is>
          <t>CONSUMER GOODS</t>
        </is>
      </c>
      <c r="I187" t="inlineStr">
        <is>
          <t>ELECTRIC HOUSEWARES &amp; FANS</t>
        </is>
      </c>
    </row>
    <row r="188">
      <c r="A188" t="inlineStr">
        <is>
          <t>ALSET EHOME INTERNATIONAL INC.</t>
        </is>
      </c>
      <c r="B188" t="inlineStr">
        <is>
          <t>AEI</t>
        </is>
      </c>
      <c r="C188" t="inlineStr">
        <is>
          <t>ALSET EHOME INTERNATIONAL INC.</t>
        </is>
      </c>
      <c r="D188" t="n">
        <v>6500</v>
      </c>
      <c r="F188" t="n">
        <v>3640</v>
      </c>
      <c r="G188" t="inlineStr">
        <is>
          <t>CONSUMER DURABLES</t>
        </is>
      </c>
      <c r="H188" t="inlineStr">
        <is>
          <t>ELECTRICAL EQUIPMENT</t>
        </is>
      </c>
      <c r="I188" t="inlineStr">
        <is>
          <t>ELECTRIC LIGHTING &amp; WIRING EQUIPMENT</t>
        </is>
      </c>
    </row>
    <row r="189">
      <c r="A189" t="inlineStr">
        <is>
          <t>ALTA EQUIPMENT GROUP INC.</t>
        </is>
      </c>
      <c r="B189" t="inlineStr">
        <is>
          <t>ALTG</t>
        </is>
      </c>
      <c r="C189" t="inlineStr">
        <is>
          <t>ALTA EQUIPMENT GROUP INC.</t>
        </is>
      </c>
      <c r="D189" t="n">
        <v>5084</v>
      </c>
      <c r="F189" t="n">
        <v>3651</v>
      </c>
      <c r="G189" t="inlineStr">
        <is>
          <t>CONSUMER DURABLES</t>
        </is>
      </c>
      <c r="H189" t="inlineStr">
        <is>
          <t>RECREATION</t>
        </is>
      </c>
      <c r="I189" t="inlineStr">
        <is>
          <t>HOUSEHOLD AUDIO &amp; VIDEO EQUIPMENT</t>
        </is>
      </c>
    </row>
    <row r="190">
      <c r="A190" t="inlineStr">
        <is>
          <t>ALTAIR ENGINEERING INC.</t>
        </is>
      </c>
      <c r="B190" t="inlineStr">
        <is>
          <t>ALTR</t>
        </is>
      </c>
      <c r="C190" t="inlineStr">
        <is>
          <t>ALTAIR ENGINEERING INC.</t>
        </is>
      </c>
      <c r="D190" t="n">
        <v>7372</v>
      </c>
      <c r="F190" t="n">
        <v>3652</v>
      </c>
      <c r="G190" t="inlineStr">
        <is>
          <t>CONSUMER DURABLES</t>
        </is>
      </c>
      <c r="H190" t="inlineStr">
        <is>
          <t>RECREATION</t>
        </is>
      </c>
      <c r="I190" t="inlineStr">
        <is>
          <t>PHONOGRAPH RECORDS &amp; PRERECORDED AUDIO TAPES &amp; DISKS</t>
        </is>
      </c>
    </row>
    <row r="191">
      <c r="A191" t="inlineStr">
        <is>
          <t>ALTERYX, INC.</t>
        </is>
      </c>
      <c r="B191" t="inlineStr">
        <is>
          <t>AYX</t>
        </is>
      </c>
      <c r="C191" t="inlineStr">
        <is>
          <t>ALTERYX, INC.</t>
        </is>
      </c>
      <c r="D191" t="n">
        <v>7372</v>
      </c>
      <c r="F191" t="n">
        <v>3661</v>
      </c>
      <c r="G191" t="inlineStr">
        <is>
          <t>TECHNOLOGY</t>
        </is>
      </c>
      <c r="H191" t="inlineStr">
        <is>
          <t>ELECTRONIC EQUIPMENT</t>
        </is>
      </c>
      <c r="I191" t="inlineStr">
        <is>
          <t>TELEPHONE &amp; TELEGRAPH APPARATUS</t>
        </is>
      </c>
    </row>
    <row r="192">
      <c r="A192" t="inlineStr">
        <is>
          <t>ALTICE USA, INC.</t>
        </is>
      </c>
      <c r="B192" t="inlineStr">
        <is>
          <t>ATUS</t>
        </is>
      </c>
      <c r="C192" t="inlineStr">
        <is>
          <t>ALTICE USA, INC.</t>
        </is>
      </c>
      <c r="D192" t="n">
        <v>4841</v>
      </c>
      <c r="F192" t="n">
        <v>3663</v>
      </c>
      <c r="G192" t="inlineStr">
        <is>
          <t>TECHNOLOGY</t>
        </is>
      </c>
      <c r="H192" t="inlineStr">
        <is>
          <t>ELECTRONIC EQUIPMENT</t>
        </is>
      </c>
      <c r="I192" t="inlineStr">
        <is>
          <t>RADIO &amp; TV BROADCASTING &amp; COMMUNICATIONS EQUIPMENT</t>
        </is>
      </c>
    </row>
    <row r="193">
      <c r="A193" t="inlineStr">
        <is>
          <t>ALTIMMUNE, INC.</t>
        </is>
      </c>
      <c r="B193" t="inlineStr">
        <is>
          <t>ALT</t>
        </is>
      </c>
      <c r="C193" t="inlineStr">
        <is>
          <t>ALTIMMUNE, INC.</t>
        </is>
      </c>
      <c r="D193" t="n">
        <v>2834</v>
      </c>
      <c r="F193" t="n">
        <v>3669</v>
      </c>
      <c r="G193" t="inlineStr">
        <is>
          <t>TECHNOLOGY</t>
        </is>
      </c>
      <c r="H193" t="inlineStr">
        <is>
          <t>ELECTRONIC EQUIPMENT</t>
        </is>
      </c>
      <c r="I193" t="inlineStr">
        <is>
          <t>COMMUNICATIONS EQUIPMENT, NEC</t>
        </is>
      </c>
    </row>
    <row r="194">
      <c r="A194" t="inlineStr">
        <is>
          <t>ALTISOURCE PORTFOLIO SOLUTIONS S.A.</t>
        </is>
      </c>
      <c r="B194" t="inlineStr">
        <is>
          <t>ASPS</t>
        </is>
      </c>
      <c r="C194" t="inlineStr">
        <is>
          <t>ALTISOURCE PORTFOLIO SOLUTIONS S.A.</t>
        </is>
      </c>
      <c r="D194" t="n">
        <v>7380</v>
      </c>
      <c r="F194" t="n">
        <v>3670</v>
      </c>
      <c r="G194" t="inlineStr">
        <is>
          <t>TECHNOLOGY</t>
        </is>
      </c>
      <c r="H194" t="inlineStr">
        <is>
          <t>ELECTRONIC EQUIPMENT</t>
        </is>
      </c>
      <c r="I194" t="inlineStr">
        <is>
          <t>ELECTRONIC COMPONENTS &amp; ACCESSORIES</t>
        </is>
      </c>
    </row>
    <row r="195">
      <c r="A195" t="inlineStr">
        <is>
          <t>ALTO INGREDIENTS, INC.</t>
        </is>
      </c>
      <c r="B195" t="inlineStr">
        <is>
          <t>ALTO</t>
        </is>
      </c>
      <c r="C195" t="inlineStr">
        <is>
          <t>ALTO INGREDIENTS, INC.</t>
        </is>
      </c>
      <c r="D195" t="n">
        <v>2860</v>
      </c>
      <c r="F195" t="n">
        <v>3672</v>
      </c>
      <c r="G195" t="inlineStr">
        <is>
          <t>TECHNOLOGY</t>
        </is>
      </c>
      <c r="H195" t="inlineStr">
        <is>
          <t>ELECTRONIC EQUIPMENT</t>
        </is>
      </c>
      <c r="I195" t="inlineStr">
        <is>
          <t>PRINTED CIRCUIT BOARDS</t>
        </is>
      </c>
    </row>
    <row r="196">
      <c r="A196" t="inlineStr">
        <is>
          <t>ALTRA INDUSTRIAL MOTION CORP.</t>
        </is>
      </c>
      <c r="B196" t="inlineStr">
        <is>
          <t>AIMC</t>
        </is>
      </c>
      <c r="C196" t="inlineStr">
        <is>
          <t>ALTRA INDUSTRIAL MOTION CORP.</t>
        </is>
      </c>
      <c r="D196" t="n">
        <v>3569</v>
      </c>
      <c r="F196" t="n">
        <v>3674</v>
      </c>
      <c r="G196" t="inlineStr">
        <is>
          <t>TECHNOLOGY</t>
        </is>
      </c>
      <c r="H196" t="inlineStr">
        <is>
          <t>ELECTRONIC EQUIPMENT</t>
        </is>
      </c>
      <c r="I196" t="inlineStr">
        <is>
          <t>SEMICONDUCTORS &amp; RELATED DEVICES</t>
        </is>
      </c>
    </row>
    <row r="197">
      <c r="A197" t="inlineStr">
        <is>
          <t>ALTRIA GROUP, INC.</t>
        </is>
      </c>
      <c r="B197" t="inlineStr">
        <is>
          <t>MO</t>
        </is>
      </c>
      <c r="C197" t="inlineStr">
        <is>
          <t>ALTRIA GROUP, INC.</t>
        </is>
      </c>
      <c r="D197" t="n">
        <v>2111</v>
      </c>
      <c r="F197" t="n">
        <v>3677</v>
      </c>
      <c r="G197" t="inlineStr">
        <is>
          <t>TECHNOLOGY</t>
        </is>
      </c>
      <c r="H197" t="inlineStr">
        <is>
          <t>ELECTRONIC EQUIPMENT</t>
        </is>
      </c>
      <c r="I197" t="inlineStr">
        <is>
          <t>ELECTRONIC COILS, TRANSFORMERS &amp; OTHER INDUCTORS</t>
        </is>
      </c>
    </row>
    <row r="198">
      <c r="A198" t="inlineStr">
        <is>
          <t>ALTUS POWER, INC.</t>
        </is>
      </c>
      <c r="B198" t="inlineStr">
        <is>
          <t>AMPS</t>
        </is>
      </c>
      <c r="C198" t="inlineStr">
        <is>
          <t>ALTUS POWER, INC.</t>
        </is>
      </c>
      <c r="D198" t="n">
        <v>4911</v>
      </c>
      <c r="F198" t="n">
        <v>3678</v>
      </c>
      <c r="G198" t="inlineStr">
        <is>
          <t>TECHNOLOGY</t>
        </is>
      </c>
      <c r="H198" t="inlineStr">
        <is>
          <t>ELECTRONIC EQUIPMENT</t>
        </is>
      </c>
      <c r="I198" t="inlineStr">
        <is>
          <t>ELECTRONIC CONNECTORS</t>
        </is>
      </c>
    </row>
    <row r="199">
      <c r="A199" t="inlineStr">
        <is>
          <t>ALX ONCOLOGY HOLDINGS INC</t>
        </is>
      </c>
      <c r="B199" t="inlineStr">
        <is>
          <t>ALXO</t>
        </is>
      </c>
      <c r="C199" t="inlineStr">
        <is>
          <t>ALX ONCOLOGY HOLDINGS INC</t>
        </is>
      </c>
      <c r="D199" t="n">
        <v>2834</v>
      </c>
      <c r="F199" t="n">
        <v>3679</v>
      </c>
      <c r="G199" t="inlineStr">
        <is>
          <t>TECHNOLOGY</t>
        </is>
      </c>
      <c r="H199" t="inlineStr">
        <is>
          <t>ELECTRONIC EQUIPMENT</t>
        </is>
      </c>
      <c r="I199" t="inlineStr">
        <is>
          <t>ELECTRONIC COMPONENTS, NEC</t>
        </is>
      </c>
    </row>
    <row r="200">
      <c r="A200" t="inlineStr">
        <is>
          <t>AMALGAMATED FINANCIAL CORP.</t>
        </is>
      </c>
      <c r="B200" t="inlineStr">
        <is>
          <t>AMAL</t>
        </is>
      </c>
      <c r="C200" t="inlineStr">
        <is>
          <t>AMALGAMATED FINANCIAL CORP.</t>
        </is>
      </c>
      <c r="D200" t="n">
        <v>6022</v>
      </c>
      <c r="F200" t="n">
        <v>3690</v>
      </c>
      <c r="G200" t="inlineStr">
        <is>
          <t>TECHNOLOGY</t>
        </is>
      </c>
      <c r="H200" t="inlineStr">
        <is>
          <t>ELECTRICAL EQUIPMENT</t>
        </is>
      </c>
      <c r="I200" t="inlineStr">
        <is>
          <t>MISCELLANEOUS ELECTRICAL MACHINERY, EQUIPMENT &amp; SUPPLIES</t>
        </is>
      </c>
    </row>
    <row r="201">
      <c r="A201" t="inlineStr">
        <is>
          <t>AMARIN CORP PLCUK</t>
        </is>
      </c>
      <c r="B201" t="inlineStr">
        <is>
          <t>AMRN</t>
        </is>
      </c>
      <c r="C201" t="inlineStr">
        <is>
          <t>AMARIN CORP PLCUK</t>
        </is>
      </c>
      <c r="D201" t="n">
        <v>2834</v>
      </c>
      <c r="F201" t="n">
        <v>3695</v>
      </c>
      <c r="G201" t="inlineStr">
        <is>
          <t>TECHNOLOGY</t>
        </is>
      </c>
      <c r="H201" t="inlineStr">
        <is>
          <t>COMPUTERS</t>
        </is>
      </c>
      <c r="I201" t="inlineStr">
        <is>
          <t>MAGNETIC &amp; OPTICAL RECORDING MEDIA</t>
        </is>
      </c>
    </row>
    <row r="202">
      <c r="A202" t="inlineStr">
        <is>
          <t>AMAZON COM INC</t>
        </is>
      </c>
      <c r="B202" t="inlineStr">
        <is>
          <t>AMZN</t>
        </is>
      </c>
      <c r="C202" t="inlineStr">
        <is>
          <t>AMAZON COM INC</t>
        </is>
      </c>
      <c r="D202" t="n">
        <v>5961</v>
      </c>
      <c r="F202" t="n">
        <v>3711</v>
      </c>
      <c r="G202" t="inlineStr">
        <is>
          <t>CONSUMER DURABLES</t>
        </is>
      </c>
      <c r="H202" t="inlineStr">
        <is>
          <t>AUTOMOBILES AND TRUCKS</t>
        </is>
      </c>
      <c r="I202" t="inlineStr">
        <is>
          <t>MOTOR VEHICLES &amp; PASSENGER CAR BODIES</t>
        </is>
      </c>
    </row>
    <row r="203">
      <c r="A203" t="inlineStr">
        <is>
          <t>AMBAC FINANCIAL GROUP INC</t>
        </is>
      </c>
      <c r="B203" t="inlineStr">
        <is>
          <t>AMBC</t>
        </is>
      </c>
      <c r="C203" t="inlineStr">
        <is>
          <t>AMBAC FINANCIAL GROUP INC</t>
        </is>
      </c>
      <c r="D203" t="n">
        <v>6351</v>
      </c>
      <c r="F203" t="n">
        <v>3713</v>
      </c>
      <c r="G203" t="inlineStr">
        <is>
          <t>MANUFACTURING</t>
        </is>
      </c>
      <c r="H203" t="inlineStr">
        <is>
          <t>AUTOMOBILES AND TRUCKS</t>
        </is>
      </c>
      <c r="I203" t="inlineStr">
        <is>
          <t>TRUCK &amp; BUS BODIES</t>
        </is>
      </c>
    </row>
    <row r="204">
      <c r="A204" t="inlineStr">
        <is>
          <t>AMBARELLA INC</t>
        </is>
      </c>
      <c r="B204" t="inlineStr">
        <is>
          <t>AMBA</t>
        </is>
      </c>
      <c r="C204" t="inlineStr">
        <is>
          <t>AMBARELLA INC</t>
        </is>
      </c>
      <c r="D204" t="n">
        <v>3674</v>
      </c>
      <c r="F204" t="n">
        <v>3714</v>
      </c>
      <c r="G204" t="inlineStr">
        <is>
          <t>CONSUMER DURABLES</t>
        </is>
      </c>
      <c r="H204" t="inlineStr">
        <is>
          <t>AUTOMOBILES AND TRUCKS</t>
        </is>
      </c>
      <c r="I204" t="inlineStr">
        <is>
          <t>MOTOR VEHICLE PARTS &amp; ACCESSORIES</t>
        </is>
      </c>
    </row>
    <row r="205">
      <c r="A205" t="inlineStr">
        <is>
          <t>AMBRX BIOPHARMA INC.</t>
        </is>
      </c>
      <c r="B205" t="inlineStr">
        <is>
          <t>AMAM</t>
        </is>
      </c>
      <c r="C205" t="inlineStr">
        <is>
          <t>AMBRX BIOPHARMA INC.</t>
        </is>
      </c>
      <c r="D205" t="n">
        <v>2836</v>
      </c>
      <c r="F205" t="n">
        <v>3715</v>
      </c>
      <c r="G205" t="inlineStr">
        <is>
          <t>MANUFACTURING</t>
        </is>
      </c>
      <c r="H205" t="inlineStr">
        <is>
          <t>AUTOMOBILES AND TRUCKS</t>
        </is>
      </c>
      <c r="I205" t="inlineStr">
        <is>
          <t>TRUCK TRAILERS</t>
        </is>
      </c>
    </row>
    <row r="206">
      <c r="A206" t="inlineStr">
        <is>
          <t>AMC ENTERTAINMENT HOLDINGS, INC.</t>
        </is>
      </c>
      <c r="B206" t="inlineStr">
        <is>
          <t>AMC</t>
        </is>
      </c>
      <c r="C206" t="inlineStr">
        <is>
          <t>AMC ENTERTAINMENT HOLDINGS, INC.</t>
        </is>
      </c>
      <c r="D206" t="n">
        <v>7830</v>
      </c>
      <c r="F206" t="n">
        <v>3716</v>
      </c>
      <c r="G206" t="inlineStr">
        <is>
          <t>CONSUMER DURABLES</t>
        </is>
      </c>
      <c r="H206" t="inlineStr">
        <is>
          <t>AUTOMOBILES AND TRUCKS</t>
        </is>
      </c>
      <c r="I206" t="inlineStr">
        <is>
          <t>MOTOR HOMES</t>
        </is>
      </c>
    </row>
    <row r="207">
      <c r="A207" t="inlineStr">
        <is>
          <t>AMC NETWORKS INC.</t>
        </is>
      </c>
      <c r="B207" t="inlineStr">
        <is>
          <t>AMCX</t>
        </is>
      </c>
      <c r="C207" t="inlineStr">
        <is>
          <t>AMC NETWORKS INC.</t>
        </is>
      </c>
      <c r="D207" t="n">
        <v>4841</v>
      </c>
      <c r="F207" t="n">
        <v>3720</v>
      </c>
      <c r="G207" t="inlineStr">
        <is>
          <t>MANUFACTURING</t>
        </is>
      </c>
      <c r="H207" t="inlineStr">
        <is>
          <t>AIRCRAFT</t>
        </is>
      </c>
      <c r="I207" t="inlineStr">
        <is>
          <t>AIRCRAFT &amp; PARTS</t>
        </is>
      </c>
    </row>
    <row r="208">
      <c r="A208" t="inlineStr">
        <is>
          <t>AMCON DISTRIBUTING CO</t>
        </is>
      </c>
      <c r="B208" t="inlineStr">
        <is>
          <t>DIT</t>
        </is>
      </c>
      <c r="C208" t="inlineStr">
        <is>
          <t>AMCON DISTRIBUTING CO</t>
        </is>
      </c>
      <c r="D208" t="n">
        <v>5141</v>
      </c>
      <c r="F208" t="n">
        <v>3721</v>
      </c>
      <c r="G208" t="inlineStr">
        <is>
          <t>MANUFACTURING</t>
        </is>
      </c>
      <c r="H208" t="inlineStr">
        <is>
          <t>AIRCRAFT</t>
        </is>
      </c>
      <c r="I208" t="inlineStr">
        <is>
          <t>AIRCRAFT</t>
        </is>
      </c>
    </row>
    <row r="209">
      <c r="A209" t="inlineStr">
        <is>
          <t>AMCOR PLC</t>
        </is>
      </c>
      <c r="B209" t="inlineStr">
        <is>
          <t>AMCR</t>
        </is>
      </c>
      <c r="C209" t="inlineStr">
        <is>
          <t>AMCOR PLC</t>
        </is>
      </c>
      <c r="D209" t="n">
        <v>3990</v>
      </c>
      <c r="F209" t="n">
        <v>3724</v>
      </c>
      <c r="G209" t="inlineStr">
        <is>
          <t>MANUFACTURING</t>
        </is>
      </c>
      <c r="H209" t="inlineStr">
        <is>
          <t>AIRCRAFT</t>
        </is>
      </c>
      <c r="I209" t="inlineStr">
        <is>
          <t>AIRCRAFT ENGINES &amp; ENGINE PARTS</t>
        </is>
      </c>
    </row>
    <row r="210">
      <c r="A210" t="inlineStr">
        <is>
          <t>AMDOCS LTD</t>
        </is>
      </c>
      <c r="B210" t="inlineStr">
        <is>
          <t>DOX</t>
        </is>
      </c>
      <c r="C210" t="inlineStr">
        <is>
          <t>AMDOCS LTD</t>
        </is>
      </c>
      <c r="D210" t="n">
        <v>7371</v>
      </c>
      <c r="F210" t="n">
        <v>3728</v>
      </c>
      <c r="G210" t="inlineStr">
        <is>
          <t>MANUFACTURING</t>
        </is>
      </c>
      <c r="H210" t="inlineStr">
        <is>
          <t>AIRCRAFT</t>
        </is>
      </c>
      <c r="I210" t="inlineStr">
        <is>
          <t>AIRCRAFT PARTS &amp; AUXILIARY EQUIPMENT, NEC</t>
        </is>
      </c>
    </row>
    <row r="211">
      <c r="A211" t="inlineStr">
        <is>
          <t>AMERANT BANCORP INC.</t>
        </is>
      </c>
      <c r="B211" t="inlineStr">
        <is>
          <t>AMTB</t>
        </is>
      </c>
      <c r="C211" t="inlineStr">
        <is>
          <t>AMERANT BANCORP INC.</t>
        </is>
      </c>
      <c r="D211" t="n">
        <v>6021</v>
      </c>
      <c r="F211" t="n">
        <v>3730</v>
      </c>
      <c r="G211" t="inlineStr">
        <is>
          <t>MANUFACTURING</t>
        </is>
      </c>
      <c r="H211" t="inlineStr">
        <is>
          <t>SHIPBUILDING, RAILROAD EQUIPMENT</t>
        </is>
      </c>
      <c r="I211" t="inlineStr">
        <is>
          <t>SHIP &amp; BOAT BUILDING &amp; REPAIRING</t>
        </is>
      </c>
    </row>
    <row r="212">
      <c r="A212" t="inlineStr">
        <is>
          <t>AMERCO /NV/</t>
        </is>
      </c>
      <c r="B212" t="inlineStr">
        <is>
          <t>UHAL</t>
        </is>
      </c>
      <c r="C212" t="inlineStr">
        <is>
          <t>AMERCO /NV/</t>
        </is>
      </c>
      <c r="D212" t="n">
        <v>7510</v>
      </c>
      <c r="F212" t="n">
        <v>3743</v>
      </c>
      <c r="G212" t="inlineStr">
        <is>
          <t>MANUFACTURING</t>
        </is>
      </c>
      <c r="H212" t="inlineStr">
        <is>
          <t>SHIPBUILDING, RAILROAD EQUIPMENT</t>
        </is>
      </c>
      <c r="I212" t="inlineStr">
        <is>
          <t>RAILROAD EQUIPMENT</t>
        </is>
      </c>
    </row>
    <row r="213">
      <c r="A213" t="inlineStr">
        <is>
          <t>AMEREN CORP</t>
        </is>
      </c>
      <c r="B213" t="inlineStr">
        <is>
          <t>AEE</t>
        </is>
      </c>
      <c r="C213" t="inlineStr">
        <is>
          <t>AMEREN CORP</t>
        </is>
      </c>
      <c r="D213" t="n">
        <v>4931</v>
      </c>
      <c r="F213" t="n">
        <v>3751</v>
      </c>
      <c r="G213" t="inlineStr">
        <is>
          <t>CONSUMER DURABLES</t>
        </is>
      </c>
      <c r="H213" t="inlineStr">
        <is>
          <t>CONSUMER GOODS</t>
        </is>
      </c>
      <c r="I213" t="inlineStr">
        <is>
          <t>MOTORCYCLES, BICYCLES &amp; PARTS</t>
        </is>
      </c>
    </row>
    <row r="214">
      <c r="A214" t="inlineStr">
        <is>
          <t>AMERESCO, INC.</t>
        </is>
      </c>
      <c r="B214" t="inlineStr">
        <is>
          <t>AMRC</t>
        </is>
      </c>
      <c r="C214" t="inlineStr">
        <is>
          <t>AMERESCO, INC.</t>
        </is>
      </c>
      <c r="D214" t="n">
        <v>1700</v>
      </c>
      <c r="F214" t="n">
        <v>3760</v>
      </c>
      <c r="G214" t="inlineStr">
        <is>
          <t>MANUFACTURING</t>
        </is>
      </c>
      <c r="H214" t="inlineStr">
        <is>
          <t>DEFENSE</t>
        </is>
      </c>
      <c r="I214" t="inlineStr">
        <is>
          <t>GUIDED MISSILES &amp; SPACE VEHICLES &amp; PARTS</t>
        </is>
      </c>
    </row>
    <row r="215">
      <c r="A215" t="inlineStr">
        <is>
          <t>AMERICA FIRST MULTIFAMILY INVESTORS, L.P.</t>
        </is>
      </c>
      <c r="B215" t="inlineStr">
        <is>
          <t>ATAX</t>
        </is>
      </c>
      <c r="C215" t="inlineStr">
        <is>
          <t>AMERICA FIRST MULTIFAMILY INVESTORS, L.P.</t>
        </is>
      </c>
      <c r="D215" t="n">
        <v>6199</v>
      </c>
      <c r="F215" t="n">
        <v>3790</v>
      </c>
      <c r="G215" t="inlineStr">
        <is>
          <t>MANUFACTURING</t>
        </is>
      </c>
      <c r="H215" t="inlineStr">
        <is>
          <t>AUTOMOBILES AND TRUCKS</t>
        </is>
      </c>
      <c r="I215" t="inlineStr">
        <is>
          <t>MISCELLANEOUS TRANSPORTATION EQUIPMENT</t>
        </is>
      </c>
    </row>
    <row r="216">
      <c r="A216" t="inlineStr">
        <is>
          <t>AMERICAN AIRLINES GROUP INC.</t>
        </is>
      </c>
      <c r="B216" t="inlineStr">
        <is>
          <t>AAL</t>
        </is>
      </c>
      <c r="C216" t="inlineStr">
        <is>
          <t>AMERICAN AIRLINES GROUP INC.</t>
        </is>
      </c>
      <c r="D216" t="n">
        <v>4512</v>
      </c>
      <c r="F216" t="n">
        <v>3812</v>
      </c>
      <c r="G216" t="inlineStr">
        <is>
          <t>TECHNOLOGY</t>
        </is>
      </c>
      <c r="H216" t="inlineStr">
        <is>
          <t>ELECTRONIC EQUIPMENT</t>
        </is>
      </c>
      <c r="I216" t="inlineStr">
        <is>
          <t>SEARCH, DETECTION, NAVAGATION, GUIDANCE, AERONAUTICAL SYS</t>
        </is>
      </c>
    </row>
    <row r="217">
      <c r="A217" t="inlineStr">
        <is>
          <t>AMERICAN ASSETS TRUST, INC.</t>
        </is>
      </c>
      <c r="B217" t="inlineStr">
        <is>
          <t>AAT</t>
        </is>
      </c>
      <c r="C217" t="inlineStr">
        <is>
          <t>AMERICAN ASSETS TRUST, INC.</t>
        </is>
      </c>
      <c r="D217" t="n">
        <v>6798</v>
      </c>
      <c r="F217" t="n">
        <v>3821</v>
      </c>
      <c r="G217" t="inlineStr">
        <is>
          <t>TECHNOLOGY</t>
        </is>
      </c>
      <c r="H217" t="inlineStr">
        <is>
          <t>MEASURING AND CONTROL EQUIPMENT</t>
        </is>
      </c>
      <c r="I217" t="inlineStr">
        <is>
          <t>LABORATORY APPARATUS &amp; FURNITURE</t>
        </is>
      </c>
    </row>
    <row r="218">
      <c r="A218" t="inlineStr">
        <is>
          <t>AMERICAN AXLE &amp; MANUFACTURING HOLDINGS INC</t>
        </is>
      </c>
      <c r="B218" t="inlineStr">
        <is>
          <t>AXL</t>
        </is>
      </c>
      <c r="C218" t="inlineStr">
        <is>
          <t>AMERICAN AXLE &amp; MANUFACTURING HOLDINGS INC</t>
        </is>
      </c>
      <c r="D218" t="n">
        <v>3714</v>
      </c>
      <c r="F218" t="n">
        <v>3822</v>
      </c>
      <c r="G218" t="inlineStr">
        <is>
          <t>TECHNOLOGY</t>
        </is>
      </c>
      <c r="H218" t="inlineStr">
        <is>
          <t>MEASURING AND CONTROL EQUIPMENT</t>
        </is>
      </c>
      <c r="I218" t="inlineStr">
        <is>
          <t>AUTO CONTROLS FOR REGULATING RESIDENTIAL &amp; COMML ENVIRONMENTS</t>
        </is>
      </c>
    </row>
    <row r="219">
      <c r="A219" t="inlineStr">
        <is>
          <t>AMERICAN CAMPUS COMMUNITIES INC</t>
        </is>
      </c>
      <c r="B219" t="inlineStr">
        <is>
          <t>ACC</t>
        </is>
      </c>
      <c r="C219" t="inlineStr">
        <is>
          <t>AMERICAN CAMPUS COMMUNITIES INC</t>
        </is>
      </c>
      <c r="D219" t="n">
        <v>6798</v>
      </c>
      <c r="F219" t="n">
        <v>3823</v>
      </c>
      <c r="G219" t="inlineStr">
        <is>
          <t>TECHNOLOGY</t>
        </is>
      </c>
      <c r="H219" t="inlineStr">
        <is>
          <t>MEASURING AND CONTROL EQUIPMENT</t>
        </is>
      </c>
      <c r="I219" t="inlineStr">
        <is>
          <t>INDUSTRIAL INSTRUMENTS FOR MEASUREMENT, DISPLAY, AND CONTROL</t>
        </is>
      </c>
    </row>
    <row r="220">
      <c r="A220" t="inlineStr">
        <is>
          <t>AMERICAN EAGLE OUTFITTERS INC</t>
        </is>
      </c>
      <c r="B220" t="inlineStr">
        <is>
          <t>AEO</t>
        </is>
      </c>
      <c r="C220" t="inlineStr">
        <is>
          <t>AMERICAN EAGLE OUTFITTERS INC</t>
        </is>
      </c>
      <c r="D220" t="n">
        <v>5651</v>
      </c>
      <c r="F220" t="n">
        <v>3824</v>
      </c>
      <c r="G220" t="inlineStr">
        <is>
          <t>TECHNOLOGY</t>
        </is>
      </c>
      <c r="H220" t="inlineStr">
        <is>
          <t>MEASURING AND CONTROL EQUIPMENT</t>
        </is>
      </c>
      <c r="I220" t="inlineStr">
        <is>
          <t>TOTALIZING FLUID METERS &amp; COUNTING DEVICES</t>
        </is>
      </c>
    </row>
    <row r="221">
      <c r="A221" t="inlineStr">
        <is>
          <t>AMERICAN ELECTRIC POWER CO INC</t>
        </is>
      </c>
      <c r="B221" t="inlineStr">
        <is>
          <t>AEP</t>
        </is>
      </c>
      <c r="C221" t="inlineStr">
        <is>
          <t>AMERICAN ELECTRIC POWER CO INC</t>
        </is>
      </c>
      <c r="D221" t="n">
        <v>4911</v>
      </c>
      <c r="F221" t="n">
        <v>3825</v>
      </c>
      <c r="G221" t="inlineStr">
        <is>
          <t>TECHNOLOGY</t>
        </is>
      </c>
      <c r="H221" t="inlineStr">
        <is>
          <t>MEASURING AND CONTROL EQUIPMENT</t>
        </is>
      </c>
      <c r="I221" t="inlineStr">
        <is>
          <t>INSTRUMENTS FOR MEAS &amp; TESTING OF ELECTRICITY &amp; ELEC SIGNALS</t>
        </is>
      </c>
    </row>
    <row r="222">
      <c r="A222" t="inlineStr">
        <is>
          <t>AMERICAN EQUITY INVESTMENT LIFE HOLDING CO</t>
        </is>
      </c>
      <c r="B222" t="inlineStr">
        <is>
          <t>AEL</t>
        </is>
      </c>
      <c r="C222" t="inlineStr">
        <is>
          <t>AMERICAN EQUITY INVESTMENT LIFE HOLDING CO</t>
        </is>
      </c>
      <c r="D222" t="n">
        <v>6311</v>
      </c>
      <c r="F222" t="n">
        <v>3826</v>
      </c>
      <c r="G222" t="inlineStr">
        <is>
          <t>TECHNOLOGY</t>
        </is>
      </c>
      <c r="H222" t="inlineStr">
        <is>
          <t>MEASURING AND CONTROL EQUIPMENT</t>
        </is>
      </c>
      <c r="I222" t="inlineStr">
        <is>
          <t>LABORATORY ANALYTICAL INSTRUMENTS</t>
        </is>
      </c>
    </row>
    <row r="223">
      <c r="A223" t="inlineStr">
        <is>
          <t>AMERICAN EXPRESS CO</t>
        </is>
      </c>
      <c r="B223" t="inlineStr">
        <is>
          <t>AXP</t>
        </is>
      </c>
      <c r="C223" t="inlineStr">
        <is>
          <t>AMERICAN EXPRESS CO</t>
        </is>
      </c>
      <c r="D223" t="n">
        <v>6199</v>
      </c>
      <c r="F223" t="n">
        <v>3827</v>
      </c>
      <c r="G223" t="inlineStr">
        <is>
          <t>TECHNOLOGY</t>
        </is>
      </c>
      <c r="H223" t="inlineStr">
        <is>
          <t>MEASURING AND CONTROL EQUIPMENT</t>
        </is>
      </c>
      <c r="I223" t="inlineStr">
        <is>
          <t>OPTICAL INSTRUMENTS &amp; LENSES</t>
        </is>
      </c>
    </row>
    <row r="224">
      <c r="A224" t="inlineStr">
        <is>
          <t>AMERICAN FINANCIAL GROUP INC</t>
        </is>
      </c>
      <c r="B224" t="inlineStr">
        <is>
          <t>AFG</t>
        </is>
      </c>
      <c r="C224" t="inlineStr">
        <is>
          <t>AMERICAN FINANCIAL GROUP INC</t>
        </is>
      </c>
      <c r="D224" t="n">
        <v>6331</v>
      </c>
      <c r="F224" t="n">
        <v>3829</v>
      </c>
      <c r="G224" t="inlineStr">
        <is>
          <t>TECHNOLOGY</t>
        </is>
      </c>
      <c r="H224" t="inlineStr">
        <is>
          <t>MEASURING AND CONTROL EQUIPMENT</t>
        </is>
      </c>
      <c r="I224" t="inlineStr">
        <is>
          <t>MEASURING &amp; CONTROLLING DEVICES, NEC</t>
        </is>
      </c>
    </row>
    <row r="225">
      <c r="A225" t="inlineStr">
        <is>
          <t>AMERICAN HOMES 4 RENT</t>
        </is>
      </c>
      <c r="B225" t="inlineStr">
        <is>
          <t>AMH</t>
        </is>
      </c>
      <c r="C225" t="inlineStr">
        <is>
          <t>AMERICAN HOMES 4 RENT</t>
        </is>
      </c>
      <c r="D225" t="n">
        <v>6798</v>
      </c>
      <c r="F225" t="n">
        <v>3841</v>
      </c>
      <c r="G225" t="inlineStr">
        <is>
          <t>HEALTHCARE</t>
        </is>
      </c>
      <c r="H225" t="inlineStr">
        <is>
          <t>MEDICAL EQUIPMENT</t>
        </is>
      </c>
      <c r="I225" t="inlineStr">
        <is>
          <t>SURGICAL &amp; MEDICAL INSTRUMENTS &amp; APPARATUS</t>
        </is>
      </c>
    </row>
    <row r="226">
      <c r="A226" t="inlineStr">
        <is>
          <t>AMERICAN INTERNATIONAL GROUP, INC.</t>
        </is>
      </c>
      <c r="B226" t="inlineStr">
        <is>
          <t>AIG</t>
        </is>
      </c>
      <c r="C226" t="inlineStr">
        <is>
          <t>AMERICAN INTERNATIONAL GROUP, INC.</t>
        </is>
      </c>
      <c r="D226" t="n">
        <v>6331</v>
      </c>
      <c r="F226" t="n">
        <v>3842</v>
      </c>
      <c r="G226" t="inlineStr">
        <is>
          <t>HEALTHCARE</t>
        </is>
      </c>
      <c r="H226" t="inlineStr">
        <is>
          <t>MEDICAL EQUIPMENT</t>
        </is>
      </c>
      <c r="I226" t="inlineStr">
        <is>
          <t>ORTHOPEDIC, PROSTHETIC &amp; SURGICAL APPLIANCES &amp; SUPPLIES</t>
        </is>
      </c>
    </row>
    <row r="227">
      <c r="A227" t="inlineStr">
        <is>
          <t>AMERICAN NATIONAL BANKSHARES INC.</t>
        </is>
      </c>
      <c r="B227" t="inlineStr">
        <is>
          <t>AMNB</t>
        </is>
      </c>
      <c r="C227" t="inlineStr">
        <is>
          <t>AMERICAN NATIONAL BANKSHARES INC.</t>
        </is>
      </c>
      <c r="D227" t="n">
        <v>6021</v>
      </c>
      <c r="F227" t="n">
        <v>3843</v>
      </c>
      <c r="G227" t="inlineStr">
        <is>
          <t>HEALTHCARE</t>
        </is>
      </c>
      <c r="H227" t="inlineStr">
        <is>
          <t>MEDICAL EQUIPMENT</t>
        </is>
      </c>
      <c r="I227" t="inlineStr">
        <is>
          <t>DENTAL EQUIPMENT &amp; SUPPLIES</t>
        </is>
      </c>
    </row>
    <row r="228">
      <c r="A228" t="inlineStr">
        <is>
          <t>AMERICAN OUTDOOR BRANDS, INC.</t>
        </is>
      </c>
      <c r="B228" t="inlineStr">
        <is>
          <t>AOUT</t>
        </is>
      </c>
      <c r="C228" t="inlineStr">
        <is>
          <t>AMERICAN OUTDOOR BRANDS, INC.</t>
        </is>
      </c>
      <c r="D228" t="n">
        <v>3949</v>
      </c>
      <c r="F228" t="n">
        <v>3844</v>
      </c>
      <c r="G228" t="inlineStr">
        <is>
          <t>HEALTHCARE</t>
        </is>
      </c>
      <c r="H228" t="inlineStr">
        <is>
          <t>MEDICAL EQUIPMENT</t>
        </is>
      </c>
      <c r="I228" t="inlineStr">
        <is>
          <t>X-RAY APPARATUS &amp; TUBES &amp; RELATED IRRADIATION APPARATUS</t>
        </is>
      </c>
    </row>
    <row r="229">
      <c r="A229" t="inlineStr">
        <is>
          <t>AMERICAN PUBLIC EDUCATION INC</t>
        </is>
      </c>
      <c r="B229" t="inlineStr">
        <is>
          <t>APEI</t>
        </is>
      </c>
      <c r="C229" t="inlineStr">
        <is>
          <t>AMERICAN PUBLIC EDUCATION INC</t>
        </is>
      </c>
      <c r="D229" t="n">
        <v>8200</v>
      </c>
      <c r="F229" t="n">
        <v>3845</v>
      </c>
      <c r="G229" t="inlineStr">
        <is>
          <t>HEALTHCARE</t>
        </is>
      </c>
      <c r="H229" t="inlineStr">
        <is>
          <t>MEDICAL EQUIPMENT</t>
        </is>
      </c>
      <c r="I229" t="inlineStr">
        <is>
          <t>ELECTROMEDICAL &amp; ELECTROTHERAPEUTIC APPARATUS</t>
        </is>
      </c>
    </row>
    <row r="230">
      <c r="A230" t="inlineStr">
        <is>
          <t>AMERICAN REALTY INVESTORS INC</t>
        </is>
      </c>
      <c r="B230" t="inlineStr">
        <is>
          <t>ARL</t>
        </is>
      </c>
      <c r="C230" t="inlineStr">
        <is>
          <t>AMERICAN REALTY INVESTORS INC</t>
        </is>
      </c>
      <c r="D230" t="n">
        <v>6510</v>
      </c>
      <c r="F230" t="n">
        <v>3851</v>
      </c>
      <c r="G230" t="inlineStr">
        <is>
          <t>HEALTHCARE</t>
        </is>
      </c>
      <c r="H230" t="inlineStr">
        <is>
          <t>MEDICAL EQUIPMENT</t>
        </is>
      </c>
      <c r="I230" t="inlineStr">
        <is>
          <t>OPHTHALMIC GOODS</t>
        </is>
      </c>
    </row>
    <row r="231">
      <c r="A231" t="inlineStr">
        <is>
          <t>AMERICAN RESOURCES CORP</t>
        </is>
      </c>
      <c r="B231" t="inlineStr">
        <is>
          <t>AREC</t>
        </is>
      </c>
      <c r="C231" t="inlineStr">
        <is>
          <t>AMERICAN RESOURCES CORP</t>
        </is>
      </c>
      <c r="D231" t="n">
        <v>1220</v>
      </c>
      <c r="F231" t="n">
        <v>3861</v>
      </c>
      <c r="G231" t="inlineStr">
        <is>
          <t>MANUFACTURING</t>
        </is>
      </c>
      <c r="H231" t="inlineStr">
        <is>
          <t>CONSUMER GOODS</t>
        </is>
      </c>
      <c r="I231" t="inlineStr">
        <is>
          <t>PHOTOGRAPHIC EQUIPMENT &amp; SUPPLIES</t>
        </is>
      </c>
    </row>
    <row r="232">
      <c r="A232" t="inlineStr">
        <is>
          <t>AMERICAN SHARED HOSPITAL SERVICES</t>
        </is>
      </c>
      <c r="B232" t="inlineStr">
        <is>
          <t>AMS</t>
        </is>
      </c>
      <c r="C232" t="inlineStr">
        <is>
          <t>AMERICAN SHARED HOSPITAL SERVICES</t>
        </is>
      </c>
      <c r="D232" t="n">
        <v>8071</v>
      </c>
      <c r="F232" t="n">
        <v>3873</v>
      </c>
      <c r="G232" t="inlineStr">
        <is>
          <t>MANUFACTURING</t>
        </is>
      </c>
      <c r="H232" t="inlineStr">
        <is>
          <t>CONSUMER GOODS</t>
        </is>
      </c>
      <c r="I232" t="inlineStr">
        <is>
          <t>WATCHES, CLOCKS, CLOCKWORK OPERATED DEVICES/PARTS</t>
        </is>
      </c>
    </row>
    <row r="233">
      <c r="A233" t="inlineStr">
        <is>
          <t>AMERICAN SOFTWARE INC</t>
        </is>
      </c>
      <c r="B233" t="inlineStr">
        <is>
          <t>AMSWA</t>
        </is>
      </c>
      <c r="C233" t="inlineStr">
        <is>
          <t>AMERICAN SOFTWARE INC</t>
        </is>
      </c>
      <c r="D233" t="n">
        <v>7372</v>
      </c>
      <c r="F233" t="n">
        <v>3910</v>
      </c>
      <c r="G233" t="inlineStr">
        <is>
          <t>CONSUMER DURABLES</t>
        </is>
      </c>
      <c r="H233" t="inlineStr">
        <is>
          <t>CONSUMER GOODS</t>
        </is>
      </c>
      <c r="I233" t="inlineStr">
        <is>
          <t>JEWELRY, SILVERWARE &amp; PLATED WARE</t>
        </is>
      </c>
    </row>
    <row r="234">
      <c r="A234" t="inlineStr">
        <is>
          <t>AMERICAN STATES WATER CO</t>
        </is>
      </c>
      <c r="B234" t="inlineStr">
        <is>
          <t>AWR</t>
        </is>
      </c>
      <c r="C234" t="inlineStr">
        <is>
          <t>AMERICAN STATES WATER CO</t>
        </is>
      </c>
      <c r="D234" t="n">
        <v>4941</v>
      </c>
      <c r="F234" t="n">
        <v>3911</v>
      </c>
      <c r="G234" t="inlineStr">
        <is>
          <t>CONSUMER DURABLES</t>
        </is>
      </c>
      <c r="H234" t="inlineStr">
        <is>
          <t>CONSUMER GOODS</t>
        </is>
      </c>
      <c r="I234" t="inlineStr">
        <is>
          <t>JEWELRY, PRECIOUS METAL</t>
        </is>
      </c>
    </row>
    <row r="235">
      <c r="A235" t="inlineStr">
        <is>
          <t>AMERICAN SUPERCONDUCTOR CORP /DE/</t>
        </is>
      </c>
      <c r="B235" t="inlineStr">
        <is>
          <t>AMSC</t>
        </is>
      </c>
      <c r="C235" t="inlineStr">
        <is>
          <t>AMERICAN SUPERCONDUCTOR CORP /DE/</t>
        </is>
      </c>
      <c r="D235" t="n">
        <v>3621</v>
      </c>
      <c r="F235" t="n">
        <v>3931</v>
      </c>
      <c r="G235" t="inlineStr">
        <is>
          <t>CONSUMER DURABLES</t>
        </is>
      </c>
      <c r="H235" t="inlineStr">
        <is>
          <t>RECREATION</t>
        </is>
      </c>
      <c r="I235" t="inlineStr">
        <is>
          <t>MUSICAL INSTRUMENTS</t>
        </is>
      </c>
    </row>
    <row r="236">
      <c r="A236" t="inlineStr">
        <is>
          <t>AMERICAN TOWER CORP /MA/</t>
        </is>
      </c>
      <c r="B236" t="inlineStr">
        <is>
          <t>AMT</t>
        </is>
      </c>
      <c r="C236" t="inlineStr">
        <is>
          <t>AMERICAN TOWER CORP /MA/</t>
        </is>
      </c>
      <c r="D236" t="n">
        <v>6798</v>
      </c>
      <c r="F236" t="n">
        <v>3942</v>
      </c>
      <c r="G236" t="inlineStr">
        <is>
          <t>CONSUMER NONDURABLES</t>
        </is>
      </c>
      <c r="H236" t="inlineStr">
        <is>
          <t>RECREATION</t>
        </is>
      </c>
      <c r="I236" t="inlineStr">
        <is>
          <t>DOLLS &amp; STUFFED TOYS</t>
        </is>
      </c>
    </row>
    <row r="237">
      <c r="A237" t="inlineStr">
        <is>
          <t>AMERICAN VANGUARD CORP</t>
        </is>
      </c>
      <c r="B237" t="inlineStr">
        <is>
          <t>AVD</t>
        </is>
      </c>
      <c r="C237" t="inlineStr">
        <is>
          <t>AMERICAN VANGUARD CORP</t>
        </is>
      </c>
      <c r="D237" t="n">
        <v>2870</v>
      </c>
      <c r="F237" t="n">
        <v>3944</v>
      </c>
      <c r="G237" t="inlineStr">
        <is>
          <t>CONSUMER NONDURABLES</t>
        </is>
      </c>
      <c r="H237" t="inlineStr">
        <is>
          <t>RECREATION</t>
        </is>
      </c>
      <c r="I237" t="inlineStr">
        <is>
          <t>GAMES, TOYS &amp; CHILDREN'S VEHICLES (NO DOLLS &amp; BICYCLES)</t>
        </is>
      </c>
    </row>
    <row r="238">
      <c r="A238" t="inlineStr">
        <is>
          <t>AMERICAN WATER WORKS COMPANY, INC.</t>
        </is>
      </c>
      <c r="B238" t="inlineStr">
        <is>
          <t>AWK</t>
        </is>
      </c>
      <c r="C238" t="inlineStr">
        <is>
          <t>AMERICAN WATER WORKS COMPANY, INC.</t>
        </is>
      </c>
      <c r="D238" t="n">
        <v>4941</v>
      </c>
      <c r="F238" t="n">
        <v>3949</v>
      </c>
      <c r="G238" t="inlineStr">
        <is>
          <t>CONSUMER NONDURABLES</t>
        </is>
      </c>
      <c r="H238" t="inlineStr">
        <is>
          <t>RECREATION</t>
        </is>
      </c>
      <c r="I238" t="inlineStr">
        <is>
          <t>SPORTING &amp; ATHLETIC GOODS, NEC</t>
        </is>
      </c>
    </row>
    <row r="239">
      <c r="A239" t="inlineStr">
        <is>
          <t>AMERICAN WELL CORP</t>
        </is>
      </c>
      <c r="B239" t="inlineStr">
        <is>
          <t>AMWL</t>
        </is>
      </c>
      <c r="C239" t="inlineStr">
        <is>
          <t>AMERICAN WELL CORP</t>
        </is>
      </c>
      <c r="D239" t="n">
        <v>7389</v>
      </c>
      <c r="F239" t="n">
        <v>3950</v>
      </c>
      <c r="G239" t="inlineStr">
        <is>
          <t>CONSUMER NONDURABLES</t>
        </is>
      </c>
      <c r="H239" t="inlineStr">
        <is>
          <t>BUSINESS SUPPLIES</t>
        </is>
      </c>
      <c r="I239" t="inlineStr">
        <is>
          <t>PENS, PENCILS &amp; OTHER ARTISTS' MATERIALS</t>
        </is>
      </c>
    </row>
    <row r="240">
      <c r="A240" t="inlineStr">
        <is>
          <t>AMERICAN WOODMARK CORP</t>
        </is>
      </c>
      <c r="B240" t="inlineStr">
        <is>
          <t>AMWD</t>
        </is>
      </c>
      <c r="C240" t="inlineStr">
        <is>
          <t>AMERICAN WOODMARK CORP</t>
        </is>
      </c>
      <c r="D240" t="n">
        <v>2430</v>
      </c>
      <c r="F240" t="n">
        <v>3960</v>
      </c>
      <c r="G240" t="inlineStr">
        <is>
          <t>CONSUMER NONDURABLES</t>
        </is>
      </c>
      <c r="H240" t="inlineStr">
        <is>
          <t>CONSUMER GOODS</t>
        </is>
      </c>
      <c r="I240" t="inlineStr">
        <is>
          <t>COSTUME JEWELRY &amp; NOVELTIES</t>
        </is>
      </c>
    </row>
    <row r="241">
      <c r="A241" t="inlineStr">
        <is>
          <t>AMERICANN, INC.</t>
        </is>
      </c>
      <c r="B241" t="inlineStr">
        <is>
          <t>ACAN</t>
        </is>
      </c>
      <c r="C241" t="inlineStr">
        <is>
          <t>AMERICANN, INC.</t>
        </is>
      </c>
      <c r="D241" t="n">
        <v>8742</v>
      </c>
      <c r="F241" t="n">
        <v>3990</v>
      </c>
      <c r="G241" t="inlineStr">
        <is>
          <t>CONSUMER DURABLES</t>
        </is>
      </c>
      <c r="H241" t="inlineStr">
        <is>
          <t>ALMOST NOTHING</t>
        </is>
      </c>
      <c r="I241" t="inlineStr">
        <is>
          <t>MISCELLANEOUS MANUFACTURING INDUSTRIES</t>
        </is>
      </c>
    </row>
    <row r="242">
      <c r="A242" t="inlineStr">
        <is>
          <t>AMERICAS CARMART INC</t>
        </is>
      </c>
      <c r="B242" t="inlineStr">
        <is>
          <t>CRMT</t>
        </is>
      </c>
      <c r="C242" t="inlineStr">
        <is>
          <t>AMERICAS CARMART INC</t>
        </is>
      </c>
      <c r="D242" t="n">
        <v>5500</v>
      </c>
      <c r="F242" t="n">
        <v>4011</v>
      </c>
      <c r="G242" t="inlineStr">
        <is>
          <t>OTHER</t>
        </is>
      </c>
      <c r="H242" t="inlineStr">
        <is>
          <t>TRANSPORTATION</t>
        </is>
      </c>
      <c r="I242" t="inlineStr">
        <is>
          <t>RAILROADS, LINE-HAUL OPERATING</t>
        </is>
      </c>
    </row>
    <row r="243">
      <c r="A243" t="inlineStr">
        <is>
          <t>AMERICOLD REALTY TRUST</t>
        </is>
      </c>
      <c r="B243" t="inlineStr">
        <is>
          <t>COLD</t>
        </is>
      </c>
      <c r="C243" t="inlineStr">
        <is>
          <t>AMERICOLD REALTY TRUST</t>
        </is>
      </c>
      <c r="D243" t="n">
        <v>6798</v>
      </c>
      <c r="F243" t="n">
        <v>4013</v>
      </c>
      <c r="G243" t="inlineStr">
        <is>
          <t>OTHER</t>
        </is>
      </c>
      <c r="H243" t="inlineStr">
        <is>
          <t>TRANSPORTATION</t>
        </is>
      </c>
      <c r="I243" t="inlineStr">
        <is>
          <t>RAILROAD SWITCHING &amp; TERMINAL ESTABLISHMENTS</t>
        </is>
      </c>
    </row>
    <row r="244">
      <c r="A244" t="inlineStr">
        <is>
          <t>AMERIPRISE FINANCIAL INC</t>
        </is>
      </c>
      <c r="B244" t="inlineStr">
        <is>
          <t>AMP</t>
        </is>
      </c>
      <c r="C244" t="inlineStr">
        <is>
          <t>AMERIPRISE FINANCIAL INC</t>
        </is>
      </c>
      <c r="D244" t="n">
        <v>6282</v>
      </c>
      <c r="F244" t="n">
        <v>4100</v>
      </c>
      <c r="G244" t="inlineStr">
        <is>
          <t>OTHER</t>
        </is>
      </c>
      <c r="H244" t="inlineStr">
        <is>
          <t>TRANSPORTATION</t>
        </is>
      </c>
      <c r="I244" t="inlineStr">
        <is>
          <t>LOCAL &amp; SUBURBAN TRANSIT &amp; INTERURBAN HWY PASSENGER TRANS</t>
        </is>
      </c>
    </row>
    <row r="245">
      <c r="A245" t="inlineStr">
        <is>
          <t>AMERIS BANCORP</t>
        </is>
      </c>
      <c r="B245" t="inlineStr">
        <is>
          <t>ABCB</t>
        </is>
      </c>
      <c r="C245" t="inlineStr">
        <is>
          <t>AMERIS BANCORP</t>
        </is>
      </c>
      <c r="D245" t="n">
        <v>6022</v>
      </c>
      <c r="F245" t="n">
        <v>4210</v>
      </c>
      <c r="G245" t="inlineStr">
        <is>
          <t>OTHER</t>
        </is>
      </c>
      <c r="H245" t="inlineStr">
        <is>
          <t>TRANSPORTATION</t>
        </is>
      </c>
      <c r="I245" t="inlineStr">
        <is>
          <t>TRUCKING &amp; COURIER SERVICES (NO AIR)</t>
        </is>
      </c>
    </row>
    <row r="246">
      <c r="A246" t="inlineStr">
        <is>
          <t>AMERISAFE INC</t>
        </is>
      </c>
      <c r="B246" t="inlineStr">
        <is>
          <t>AMSF</t>
        </is>
      </c>
      <c r="C246" t="inlineStr">
        <is>
          <t>AMERISAFE INC</t>
        </is>
      </c>
      <c r="D246" t="n">
        <v>6331</v>
      </c>
      <c r="F246" t="n">
        <v>4213</v>
      </c>
      <c r="G246" t="inlineStr">
        <is>
          <t>OTHER</t>
        </is>
      </c>
      <c r="H246" t="inlineStr">
        <is>
          <t>TRANSPORTATION</t>
        </is>
      </c>
      <c r="I246" t="inlineStr">
        <is>
          <t>TRUCKING (NO LOCAL)</t>
        </is>
      </c>
    </row>
    <row r="247">
      <c r="A247" t="inlineStr">
        <is>
          <t>AMERISERV FINANCIAL INC /PA/</t>
        </is>
      </c>
      <c r="B247" t="inlineStr">
        <is>
          <t>ASRV</t>
        </is>
      </c>
      <c r="C247" t="inlineStr">
        <is>
          <t>AMERISERV FINANCIAL INC /PA/</t>
        </is>
      </c>
      <c r="D247" t="n">
        <v>6021</v>
      </c>
      <c r="F247" t="n">
        <v>4220</v>
      </c>
      <c r="G247" t="inlineStr">
        <is>
          <t>OTHER</t>
        </is>
      </c>
      <c r="H247" t="inlineStr">
        <is>
          <t>BUSINESS SERVICES</t>
        </is>
      </c>
      <c r="I247" t="inlineStr">
        <is>
          <t>PUBLIC WAREHOUSING &amp; STORAGE</t>
        </is>
      </c>
    </row>
    <row r="248">
      <c r="A248" t="inlineStr">
        <is>
          <t>AMERISOURCEBERGEN CORP</t>
        </is>
      </c>
      <c r="B248" t="inlineStr">
        <is>
          <t>ABC</t>
        </is>
      </c>
      <c r="C248" t="inlineStr">
        <is>
          <t>AMERISOURCEBERGEN CORP</t>
        </is>
      </c>
      <c r="D248" t="n">
        <v>5122</v>
      </c>
      <c r="F248" t="n">
        <v>4231</v>
      </c>
      <c r="G248" t="inlineStr">
        <is>
          <t>OTHER</t>
        </is>
      </c>
      <c r="H248" t="inlineStr">
        <is>
          <t>TRANSPORTATION</t>
        </is>
      </c>
      <c r="I248" t="inlineStr">
        <is>
          <t>TERMINAL MAINTENANCE FACILITIES FOR MOTOR FREIGHT TRANSPORT</t>
        </is>
      </c>
    </row>
    <row r="249">
      <c r="A249" t="inlineStr">
        <is>
          <t>AMES NATIONAL CORP</t>
        </is>
      </c>
      <c r="B249" t="inlineStr">
        <is>
          <t>ATLO</t>
        </is>
      </c>
      <c r="C249" t="inlineStr">
        <is>
          <t>AMES NATIONAL CORP</t>
        </is>
      </c>
      <c r="D249" t="n">
        <v>6021</v>
      </c>
      <c r="F249" t="n">
        <v>4400</v>
      </c>
      <c r="G249" t="inlineStr">
        <is>
          <t>OTHER</t>
        </is>
      </c>
      <c r="H249" t="inlineStr">
        <is>
          <t>TRANSPORTATION</t>
        </is>
      </c>
      <c r="I249" t="inlineStr">
        <is>
          <t>WATER TRANSPORTATION</t>
        </is>
      </c>
    </row>
    <row r="250">
      <c r="A250" t="inlineStr">
        <is>
          <t>AMETEK INC/</t>
        </is>
      </c>
      <c r="B250" t="inlineStr">
        <is>
          <t>AME</t>
        </is>
      </c>
      <c r="C250" t="inlineStr">
        <is>
          <t>AMETEK INC/</t>
        </is>
      </c>
      <c r="D250" t="n">
        <v>3823</v>
      </c>
      <c r="F250" t="n">
        <v>4412</v>
      </c>
      <c r="G250" t="inlineStr">
        <is>
          <t>OTHER</t>
        </is>
      </c>
      <c r="H250" t="inlineStr">
        <is>
          <t>TRANSPORTATION</t>
        </is>
      </c>
      <c r="I250" t="inlineStr">
        <is>
          <t>DEEP SEA FOREIGN TRANSPORTATION OF FREIGHT</t>
        </is>
      </c>
    </row>
    <row r="251">
      <c r="A251" t="inlineStr">
        <is>
          <t>AMGEN INC</t>
        </is>
      </c>
      <c r="B251" t="inlineStr">
        <is>
          <t>AMGN</t>
        </is>
      </c>
      <c r="C251" t="inlineStr">
        <is>
          <t>AMGEN INC</t>
        </is>
      </c>
      <c r="D251" t="n">
        <v>2836</v>
      </c>
      <c r="F251" t="n">
        <v>4512</v>
      </c>
      <c r="G251" t="inlineStr">
        <is>
          <t>OTHER</t>
        </is>
      </c>
      <c r="H251" t="inlineStr">
        <is>
          <t>TRANSPORTATION</t>
        </is>
      </c>
      <c r="I251" t="inlineStr">
        <is>
          <t>AIR TRANSPORTATION, SCHEDULED</t>
        </is>
      </c>
    </row>
    <row r="252">
      <c r="A252" t="inlineStr">
        <is>
          <t>AMICUS THERAPEUTICS, INC.</t>
        </is>
      </c>
      <c r="B252" t="inlineStr">
        <is>
          <t>FOLD</t>
        </is>
      </c>
      <c r="C252" t="inlineStr">
        <is>
          <t>AMICUS THERAPEUTICS, INC.</t>
        </is>
      </c>
      <c r="D252" t="n">
        <v>2834</v>
      </c>
      <c r="F252" t="n">
        <v>4513</v>
      </c>
      <c r="G252" t="inlineStr">
        <is>
          <t>OTHER</t>
        </is>
      </c>
      <c r="H252" t="inlineStr">
        <is>
          <t>TRANSPORTATION</t>
        </is>
      </c>
      <c r="I252" t="inlineStr">
        <is>
          <t>AIR COURIER SERVICES</t>
        </is>
      </c>
    </row>
    <row r="253">
      <c r="A253" t="inlineStr">
        <is>
          <t>AMKOR TECHNOLOGY, INC.</t>
        </is>
      </c>
      <c r="B253" t="inlineStr">
        <is>
          <t>AMKR</t>
        </is>
      </c>
      <c r="C253" t="inlineStr">
        <is>
          <t>AMKOR TECHNOLOGY, INC.</t>
        </is>
      </c>
      <c r="D253" t="n">
        <v>3674</v>
      </c>
      <c r="F253" t="n">
        <v>4522</v>
      </c>
      <c r="G253" t="inlineStr">
        <is>
          <t>OTHER</t>
        </is>
      </c>
      <c r="H253" t="inlineStr">
        <is>
          <t>TRANSPORTATION</t>
        </is>
      </c>
      <c r="I253" t="inlineStr">
        <is>
          <t>AIR TRANSPORTATION, NONSCHEDULED</t>
        </is>
      </c>
    </row>
    <row r="254">
      <c r="A254" t="inlineStr">
        <is>
          <t>AMMO, INC.</t>
        </is>
      </c>
      <c r="B254" t="inlineStr">
        <is>
          <t>POWW</t>
        </is>
      </c>
      <c r="C254" t="inlineStr">
        <is>
          <t>AMMO, INC.</t>
        </is>
      </c>
      <c r="D254" t="n">
        <v>3480</v>
      </c>
      <c r="F254" t="n">
        <v>4581</v>
      </c>
      <c r="G254" t="inlineStr">
        <is>
          <t>OTHER</t>
        </is>
      </c>
      <c r="H254" t="inlineStr">
        <is>
          <t>TRANSPORTATION</t>
        </is>
      </c>
      <c r="I254" t="inlineStr">
        <is>
          <t>AIRPORTS, FLYING FIELDS &amp; AIRPORT TERMINAL SERVICES</t>
        </is>
      </c>
    </row>
    <row r="255">
      <c r="A255" t="inlineStr">
        <is>
          <t>AMN HEALTHCARE SERVICES INC</t>
        </is>
      </c>
      <c r="B255" t="inlineStr">
        <is>
          <t>AMN</t>
        </is>
      </c>
      <c r="C255" t="inlineStr">
        <is>
          <t>AMN HEALTHCARE SERVICES INC</t>
        </is>
      </c>
      <c r="D255" t="n">
        <v>7363</v>
      </c>
      <c r="F255" t="n">
        <v>4610</v>
      </c>
      <c r="G255" t="inlineStr">
        <is>
          <t>OTHER</t>
        </is>
      </c>
      <c r="H255" t="inlineStr">
        <is>
          <t>TRANSPORTATION</t>
        </is>
      </c>
      <c r="I255" t="inlineStr">
        <is>
          <t>PIPE LINES (NO NATURAL GAS)</t>
        </is>
      </c>
    </row>
    <row r="256">
      <c r="A256" t="inlineStr">
        <is>
          <t>AMNEAL PHARMACEUTICALS, INC.</t>
        </is>
      </c>
      <c r="B256" t="inlineStr">
        <is>
          <t>AMRX</t>
        </is>
      </c>
      <c r="C256" t="inlineStr">
        <is>
          <t>AMNEAL PHARMACEUTICALS, INC.</t>
        </is>
      </c>
      <c r="D256" t="n">
        <v>2834</v>
      </c>
      <c r="F256" t="n">
        <v>4700</v>
      </c>
      <c r="G256" t="inlineStr">
        <is>
          <t>OTHER</t>
        </is>
      </c>
      <c r="H256" t="inlineStr">
        <is>
          <t>TRANSPORTATION</t>
        </is>
      </c>
      <c r="I256" t="inlineStr">
        <is>
          <t>TRANSPORTATION SERVICES</t>
        </is>
      </c>
    </row>
    <row r="257">
      <c r="A257" t="inlineStr">
        <is>
          <t>AMPCO PITTSBURGH CORP</t>
        </is>
      </c>
      <c r="B257" t="inlineStr">
        <is>
          <t>AP</t>
        </is>
      </c>
      <c r="C257" t="inlineStr">
        <is>
          <t>AMPCO PITTSBURGH CORP</t>
        </is>
      </c>
      <c r="D257" t="n">
        <v>3561</v>
      </c>
      <c r="F257" t="n">
        <v>4731</v>
      </c>
      <c r="G257" t="inlineStr">
        <is>
          <t>OTHER</t>
        </is>
      </c>
      <c r="H257" t="inlineStr">
        <is>
          <t>TRANSPORTATION</t>
        </is>
      </c>
      <c r="I257" t="inlineStr">
        <is>
          <t>ARRANGEMENT OF TRANSPORTATION OF FREIGHT &amp; CARGO</t>
        </is>
      </c>
    </row>
    <row r="258">
      <c r="A258" t="inlineStr">
        <is>
          <t>AMPHASTAR PHARMACEUTICALS, INC.</t>
        </is>
      </c>
      <c r="B258" t="inlineStr">
        <is>
          <t>AMPH</t>
        </is>
      </c>
      <c r="C258" t="inlineStr">
        <is>
          <t>AMPHASTAR PHARMACEUTICALS, INC.</t>
        </is>
      </c>
      <c r="D258" t="n">
        <v>2834</v>
      </c>
      <c r="F258" t="n">
        <v>4812</v>
      </c>
      <c r="G258" t="inlineStr">
        <is>
          <t>TELECOMMUNICATIONS</t>
        </is>
      </c>
      <c r="H258" t="inlineStr">
        <is>
          <t>COMMUNICATION</t>
        </is>
      </c>
      <c r="I258" t="inlineStr">
        <is>
          <t>RADIOTELEPHONE COMMUNICATIONS</t>
        </is>
      </c>
    </row>
    <row r="259">
      <c r="A259" t="inlineStr">
        <is>
          <t>AMPHENOL CORP /DE/</t>
        </is>
      </c>
      <c r="B259" t="inlineStr">
        <is>
          <t>APH</t>
        </is>
      </c>
      <c r="C259" t="inlineStr">
        <is>
          <t>AMPHENOL CORP /DE/</t>
        </is>
      </c>
      <c r="D259" t="n">
        <v>3678</v>
      </c>
      <c r="F259" t="n">
        <v>4813</v>
      </c>
      <c r="G259" t="inlineStr">
        <is>
          <t>TELECOMMUNICATIONS</t>
        </is>
      </c>
      <c r="H259" t="inlineStr">
        <is>
          <t>COMMUNICATION</t>
        </is>
      </c>
      <c r="I259" t="inlineStr">
        <is>
          <t>TELEPHONE COMMUNICATIONS (NO RADIOTELEPHONE)</t>
        </is>
      </c>
    </row>
    <row r="260">
      <c r="A260" t="inlineStr">
        <is>
          <t>AMPLIFY ENERGY CORP.</t>
        </is>
      </c>
      <c r="B260" t="inlineStr">
        <is>
          <t>AMPY</t>
        </is>
      </c>
      <c r="C260" t="inlineStr">
        <is>
          <t>AMPLIFY ENERGY CORP.</t>
        </is>
      </c>
      <c r="D260" t="n">
        <v>1311</v>
      </c>
      <c r="F260" t="n">
        <v>4822</v>
      </c>
      <c r="G260" t="inlineStr">
        <is>
          <t>TELECOMMUNICATIONS</t>
        </is>
      </c>
      <c r="H260" t="inlineStr">
        <is>
          <t>COMMUNICATION</t>
        </is>
      </c>
      <c r="I260" t="inlineStr">
        <is>
          <t>TELEGRAPH &amp; OTHER MESSAGE COMMUNICATIONS</t>
        </is>
      </c>
    </row>
    <row r="261">
      <c r="A261" t="inlineStr">
        <is>
          <t>AMPLITUDE, INC.</t>
        </is>
      </c>
      <c r="B261" t="inlineStr">
        <is>
          <t>AMPL</t>
        </is>
      </c>
      <c r="C261" t="inlineStr">
        <is>
          <t>AMPLITUDE, INC.</t>
        </is>
      </c>
      <c r="D261" t="n">
        <v>7372</v>
      </c>
      <c r="F261" t="n">
        <v>4832</v>
      </c>
      <c r="G261" t="inlineStr">
        <is>
          <t>TELECOMMUNICATIONS</t>
        </is>
      </c>
      <c r="H261" t="inlineStr">
        <is>
          <t>COMMUNICATION</t>
        </is>
      </c>
      <c r="I261" t="inlineStr">
        <is>
          <t>RADIO BROADCASTING STATIONS</t>
        </is>
      </c>
    </row>
    <row r="262">
      <c r="A262" t="inlineStr">
        <is>
          <t>AMREP CORP.</t>
        </is>
      </c>
      <c r="B262" t="inlineStr">
        <is>
          <t>AXR</t>
        </is>
      </c>
      <c r="C262" t="inlineStr">
        <is>
          <t>AMREP CORP.</t>
        </is>
      </c>
      <c r="D262" t="n">
        <v>2721</v>
      </c>
      <c r="F262" t="n">
        <v>4833</v>
      </c>
      <c r="G262" t="inlineStr">
        <is>
          <t>TELECOMMUNICATIONS</t>
        </is>
      </c>
      <c r="H262" t="inlineStr">
        <is>
          <t>COMMUNICATION</t>
        </is>
      </c>
      <c r="I262" t="inlineStr">
        <is>
          <t>TELEVISION BROADCASTING STATIONS</t>
        </is>
      </c>
    </row>
    <row r="263">
      <c r="A263" t="inlineStr">
        <is>
          <t>AMTECH SYSTEMS INC</t>
        </is>
      </c>
      <c r="B263" t="inlineStr">
        <is>
          <t>ASYS</t>
        </is>
      </c>
      <c r="C263" t="inlineStr">
        <is>
          <t>AMTECH SYSTEMS INC</t>
        </is>
      </c>
      <c r="D263" t="n">
        <v>3559</v>
      </c>
      <c r="F263" t="n">
        <v>4841</v>
      </c>
      <c r="G263" t="inlineStr">
        <is>
          <t>TELECOMMUNICATIONS</t>
        </is>
      </c>
      <c r="H263" t="inlineStr">
        <is>
          <t>COMMUNICATION</t>
        </is>
      </c>
      <c r="I263" t="inlineStr">
        <is>
          <t>CABLE &amp; OTHER PAY TELEVISION SERVICES</t>
        </is>
      </c>
    </row>
    <row r="264">
      <c r="A264" t="inlineStr">
        <is>
          <t>AMYRIS, INC.</t>
        </is>
      </c>
      <c r="B264" t="inlineStr">
        <is>
          <t>AMRS</t>
        </is>
      </c>
      <c r="C264" t="inlineStr">
        <is>
          <t>AMYRIS, INC.</t>
        </is>
      </c>
      <c r="D264" t="n">
        <v>2860</v>
      </c>
      <c r="F264" t="n">
        <v>4899</v>
      </c>
      <c r="G264" t="inlineStr">
        <is>
          <t>TELECOMMUNICATIONS</t>
        </is>
      </c>
      <c r="H264" t="inlineStr">
        <is>
          <t>COMMUNICATION</t>
        </is>
      </c>
      <c r="I264" t="inlineStr">
        <is>
          <t>COMMUNICATIONS SERVICES, NEC</t>
        </is>
      </c>
    </row>
    <row r="265">
      <c r="A265" t="inlineStr">
        <is>
          <t>ANALOG DEVICES INC</t>
        </is>
      </c>
      <c r="B265" t="inlineStr">
        <is>
          <t>ADI</t>
        </is>
      </c>
      <c r="C265" t="inlineStr">
        <is>
          <t>ANALOG DEVICES INC</t>
        </is>
      </c>
      <c r="D265" t="n">
        <v>3674</v>
      </c>
      <c r="F265" t="n">
        <v>4900</v>
      </c>
      <c r="G265" t="inlineStr">
        <is>
          <t>UTILITIES</t>
        </is>
      </c>
      <c r="H265" t="inlineStr">
        <is>
          <t>UTILITIES</t>
        </is>
      </c>
      <c r="I265" t="inlineStr">
        <is>
          <t>ELECTRIC, GAS &amp; SANITARY SERVICES</t>
        </is>
      </c>
    </row>
    <row r="266">
      <c r="A266" t="inlineStr">
        <is>
          <t>ANAPTYSBIO, INC</t>
        </is>
      </c>
      <c r="B266" t="inlineStr">
        <is>
          <t>ANAB</t>
        </is>
      </c>
      <c r="C266" t="inlineStr">
        <is>
          <t>ANAPTYSBIO, INC</t>
        </is>
      </c>
      <c r="D266" t="n">
        <v>2834</v>
      </c>
      <c r="F266" t="n">
        <v>4911</v>
      </c>
      <c r="G266" t="inlineStr">
        <is>
          <t>UTILITIES</t>
        </is>
      </c>
      <c r="H266" t="inlineStr">
        <is>
          <t>UTILITIES</t>
        </is>
      </c>
      <c r="I266" t="inlineStr">
        <is>
          <t>ELECTRIC SERVICES</t>
        </is>
      </c>
    </row>
    <row r="267">
      <c r="A267" t="inlineStr">
        <is>
          <t>ANAVEX LIFE SCIENCES CORP.</t>
        </is>
      </c>
      <c r="B267" t="inlineStr">
        <is>
          <t>AVXL</t>
        </is>
      </c>
      <c r="C267" t="inlineStr">
        <is>
          <t>ANAVEX LIFE SCIENCES CORP.</t>
        </is>
      </c>
      <c r="D267" t="n">
        <v>8731</v>
      </c>
      <c r="F267" t="n">
        <v>4922</v>
      </c>
      <c r="G267" t="inlineStr">
        <is>
          <t>UTILITIES</t>
        </is>
      </c>
      <c r="H267" t="inlineStr">
        <is>
          <t>UTILITIES</t>
        </is>
      </c>
      <c r="I267" t="inlineStr">
        <is>
          <t>NATURAL GAS TRANSMISSION</t>
        </is>
      </c>
    </row>
    <row r="268">
      <c r="A268" t="inlineStr">
        <is>
          <t>ANDERSONS, INC.</t>
        </is>
      </c>
      <c r="B268" t="inlineStr">
        <is>
          <t>ANDE</t>
        </is>
      </c>
      <c r="C268" t="inlineStr">
        <is>
          <t>ANDERSONS, INC.</t>
        </is>
      </c>
      <c r="D268" t="n">
        <v>5150</v>
      </c>
      <c r="F268" t="n">
        <v>4923</v>
      </c>
      <c r="G268" t="inlineStr">
        <is>
          <t>UTILITIES</t>
        </is>
      </c>
      <c r="H268" t="inlineStr">
        <is>
          <t>UTILITIES</t>
        </is>
      </c>
      <c r="I268" t="inlineStr">
        <is>
          <t>NATURAL GAS TRANSMISISON &amp; DISTRIBUTION</t>
        </is>
      </c>
    </row>
    <row r="269">
      <c r="A269" t="inlineStr">
        <is>
          <t>ANGEL OAK MORTGAGE, INC.</t>
        </is>
      </c>
      <c r="B269" t="inlineStr">
        <is>
          <t>AOMR</t>
        </is>
      </c>
      <c r="C269" t="inlineStr">
        <is>
          <t>ANGEL OAK MORTGAGE, INC.</t>
        </is>
      </c>
      <c r="D269" t="n">
        <v>6500</v>
      </c>
      <c r="F269" t="n">
        <v>4924</v>
      </c>
      <c r="G269" t="inlineStr">
        <is>
          <t>UTILITIES</t>
        </is>
      </c>
      <c r="H269" t="inlineStr">
        <is>
          <t>UTILITIES</t>
        </is>
      </c>
      <c r="I269" t="inlineStr">
        <is>
          <t>NATURAL GAS DISTRIBUTION</t>
        </is>
      </c>
    </row>
    <row r="270">
      <c r="A270" t="inlineStr">
        <is>
          <t>ANGI INC.</t>
        </is>
      </c>
      <c r="B270" t="inlineStr">
        <is>
          <t>ANGI</t>
        </is>
      </c>
      <c r="C270" t="inlineStr">
        <is>
          <t>ANGI INC.</t>
        </is>
      </c>
      <c r="D270" t="n">
        <v>7310</v>
      </c>
      <c r="F270" t="n">
        <v>4931</v>
      </c>
      <c r="G270" t="inlineStr">
        <is>
          <t>UTILITIES</t>
        </is>
      </c>
      <c r="H270" t="inlineStr">
        <is>
          <t>UTILITIES</t>
        </is>
      </c>
      <c r="I270" t="inlineStr">
        <is>
          <t>ELECTRIC &amp; OTHER SERVICES COMBINED</t>
        </is>
      </c>
    </row>
    <row r="271">
      <c r="A271" t="inlineStr">
        <is>
          <t>ANGIODYNAMICS INC</t>
        </is>
      </c>
      <c r="B271" t="inlineStr">
        <is>
          <t>ANGO</t>
        </is>
      </c>
      <c r="C271" t="inlineStr">
        <is>
          <t>ANGIODYNAMICS INC</t>
        </is>
      </c>
      <c r="D271" t="n">
        <v>3841</v>
      </c>
      <c r="F271" t="n">
        <v>4932</v>
      </c>
      <c r="G271" t="inlineStr">
        <is>
          <t>UTILITIES</t>
        </is>
      </c>
      <c r="H271" t="inlineStr">
        <is>
          <t>UTILITIES</t>
        </is>
      </c>
      <c r="I271" t="inlineStr">
        <is>
          <t>GAS &amp; OTHER SERVICES COMBINED</t>
        </is>
      </c>
    </row>
    <row r="272">
      <c r="A272" t="inlineStr">
        <is>
          <t>ANGION BIOMEDICA CORP.</t>
        </is>
      </c>
      <c r="B272" t="inlineStr">
        <is>
          <t>ANGN</t>
        </is>
      </c>
      <c r="C272" t="inlineStr">
        <is>
          <t>ANGION BIOMEDICA CORP.</t>
        </is>
      </c>
      <c r="D272" t="n">
        <v>2834</v>
      </c>
      <c r="F272" t="n">
        <v>4941</v>
      </c>
      <c r="G272" t="inlineStr">
        <is>
          <t>UTILITIES</t>
        </is>
      </c>
      <c r="H272" t="inlineStr">
        <is>
          <t>UTILITIES</t>
        </is>
      </c>
      <c r="I272" t="inlineStr">
        <is>
          <t>WATER SUPPLY</t>
        </is>
      </c>
    </row>
    <row r="273">
      <c r="A273" t="inlineStr">
        <is>
          <t>ANI PHARMACEUTICALS INC</t>
        </is>
      </c>
      <c r="B273" t="inlineStr">
        <is>
          <t>ANIP</t>
        </is>
      </c>
      <c r="C273" t="inlineStr">
        <is>
          <t>ANI PHARMACEUTICALS INC</t>
        </is>
      </c>
      <c r="D273" t="n">
        <v>2834</v>
      </c>
      <c r="F273" t="n">
        <v>4950</v>
      </c>
      <c r="G273" t="inlineStr">
        <is>
          <t>OTHER</t>
        </is>
      </c>
      <c r="H273" t="inlineStr">
        <is>
          <t>ALMOST NOTHING</t>
        </is>
      </c>
      <c r="I273" t="inlineStr">
        <is>
          <t>SANITARY SERVICES</t>
        </is>
      </c>
    </row>
    <row r="274">
      <c r="A274" t="inlineStr">
        <is>
          <t>ANIKA THERAPEUTICS, INC.</t>
        </is>
      </c>
      <c r="B274" t="inlineStr">
        <is>
          <t>ANIK</t>
        </is>
      </c>
      <c r="C274" t="inlineStr">
        <is>
          <t>ANIKA THERAPEUTICS, INC.</t>
        </is>
      </c>
      <c r="D274" t="n">
        <v>3841</v>
      </c>
      <c r="F274" t="n">
        <v>4953</v>
      </c>
      <c r="G274" t="inlineStr">
        <is>
          <t>OTHER</t>
        </is>
      </c>
      <c r="H274" t="inlineStr">
        <is>
          <t>ALMOST NOTHING</t>
        </is>
      </c>
      <c r="I274" t="inlineStr">
        <is>
          <t>REFUSE SYSTEMS</t>
        </is>
      </c>
    </row>
    <row r="275">
      <c r="A275" t="inlineStr">
        <is>
          <t>ANNALY CAPITAL MANAGEMENT INC</t>
        </is>
      </c>
      <c r="B275" t="inlineStr">
        <is>
          <t>NLY</t>
        </is>
      </c>
      <c r="C275" t="inlineStr">
        <is>
          <t>ANNALY CAPITAL MANAGEMENT INC</t>
        </is>
      </c>
      <c r="D275" t="n">
        <v>6798</v>
      </c>
      <c r="F275" t="n">
        <v>4955</v>
      </c>
      <c r="G275" t="inlineStr">
        <is>
          <t>OTHER</t>
        </is>
      </c>
      <c r="H275" t="inlineStr">
        <is>
          <t>ALMOST NOTHING</t>
        </is>
      </c>
      <c r="I275" t="inlineStr">
        <is>
          <t>HAZARDOUS WASTE MANAGEMENT</t>
        </is>
      </c>
    </row>
    <row r="276">
      <c r="A276" t="inlineStr">
        <is>
          <t>ANSYS INC</t>
        </is>
      </c>
      <c r="B276" t="inlineStr">
        <is>
          <t>ANSS</t>
        </is>
      </c>
      <c r="C276" t="inlineStr">
        <is>
          <t>ANSYS INC</t>
        </is>
      </c>
      <c r="D276" t="n">
        <v>7372</v>
      </c>
      <c r="F276" t="n">
        <v>4961</v>
      </c>
      <c r="G276" t="inlineStr">
        <is>
          <t>OTHER</t>
        </is>
      </c>
      <c r="H276" t="inlineStr">
        <is>
          <t>ALMOST NOTHING</t>
        </is>
      </c>
      <c r="I276" t="inlineStr">
        <is>
          <t>STEAM &amp; AIR-CONDITIONING SUPPLY</t>
        </is>
      </c>
    </row>
    <row r="277">
      <c r="A277" t="inlineStr">
        <is>
          <t>ANTERIX INC.</t>
        </is>
      </c>
      <c r="B277" t="inlineStr">
        <is>
          <t>ATEX</t>
        </is>
      </c>
      <c r="C277" t="inlineStr">
        <is>
          <t>ANTERIX INC.</t>
        </is>
      </c>
      <c r="D277" t="n">
        <v>4813</v>
      </c>
      <c r="F277" t="n">
        <v>4991</v>
      </c>
      <c r="G277" t="inlineStr">
        <is>
          <t>OTHER</t>
        </is>
      </c>
      <c r="H277" t="inlineStr">
        <is>
          <t>ALMOST NOTHING</t>
        </is>
      </c>
      <c r="I277" t="inlineStr">
        <is>
          <t>COGENERATION SERVICES &amp; SMALL POWER PRODUCERS</t>
        </is>
      </c>
    </row>
    <row r="278">
      <c r="A278" t="inlineStr">
        <is>
          <t>ANTERO MIDSTREAM CORP</t>
        </is>
      </c>
      <c r="B278" t="inlineStr">
        <is>
          <t>AM</t>
        </is>
      </c>
      <c r="C278" t="inlineStr">
        <is>
          <t>ANTERO MIDSTREAM CORP</t>
        </is>
      </c>
      <c r="D278" t="n">
        <v>4922</v>
      </c>
      <c r="F278" t="n">
        <v>5000</v>
      </c>
      <c r="G278" t="inlineStr">
        <is>
          <t>RETAIL &amp; WHOLESALE</t>
        </is>
      </c>
      <c r="H278" t="inlineStr">
        <is>
          <t>WHOLESALE</t>
        </is>
      </c>
      <c r="I278" t="inlineStr">
        <is>
          <t>WHOLESALE-DURABLE GOODS</t>
        </is>
      </c>
    </row>
    <row r="279">
      <c r="A279" t="inlineStr">
        <is>
          <t>ANTERO RESOURCES CORP</t>
        </is>
      </c>
      <c r="B279" t="inlineStr">
        <is>
          <t>AR</t>
        </is>
      </c>
      <c r="C279" t="inlineStr">
        <is>
          <t>ANTERO RESOURCES CORP</t>
        </is>
      </c>
      <c r="D279" t="n">
        <v>1311</v>
      </c>
      <c r="F279" t="n">
        <v>5010</v>
      </c>
      <c r="G279" t="inlineStr">
        <is>
          <t>RETAIL &amp; WHOLESALE</t>
        </is>
      </c>
      <c r="H279" t="inlineStr">
        <is>
          <t>WHOLESALE</t>
        </is>
      </c>
      <c r="I279" t="inlineStr">
        <is>
          <t>WHOLESALE-MOTOR VEHICLES &amp; MOTOR VEHICLE PARTS &amp; SUPPLIES</t>
        </is>
      </c>
    </row>
    <row r="280">
      <c r="A280" t="inlineStr">
        <is>
          <t>AON PLC</t>
        </is>
      </c>
      <c r="B280" t="inlineStr">
        <is>
          <t>AON</t>
        </is>
      </c>
      <c r="C280" t="inlineStr">
        <is>
          <t>AON PLC</t>
        </is>
      </c>
      <c r="D280" t="n">
        <v>6411</v>
      </c>
      <c r="F280" t="n">
        <v>5013</v>
      </c>
      <c r="G280" t="inlineStr">
        <is>
          <t>RETAIL &amp; WHOLESALE</t>
        </is>
      </c>
      <c r="H280" t="inlineStr">
        <is>
          <t>WHOLESALE</t>
        </is>
      </c>
      <c r="I280" t="inlineStr">
        <is>
          <t>WHOLESALE-MOTOR VEHICLE SUPPLIES &amp; NEW PARTS</t>
        </is>
      </c>
    </row>
    <row r="281">
      <c r="A281" t="inlineStr">
        <is>
          <t>APARTMENT INCOME REIT CORP.</t>
        </is>
      </c>
      <c r="B281" t="inlineStr">
        <is>
          <t>AIRC</t>
        </is>
      </c>
      <c r="C281" t="inlineStr">
        <is>
          <t>APARTMENT INCOME REIT CORP.</t>
        </is>
      </c>
      <c r="D281" t="n">
        <v>6798</v>
      </c>
      <c r="F281" t="n">
        <v>5020</v>
      </c>
      <c r="G281" t="inlineStr">
        <is>
          <t>RETAIL &amp; WHOLESALE</t>
        </is>
      </c>
      <c r="H281" t="inlineStr">
        <is>
          <t>WHOLESALE</t>
        </is>
      </c>
      <c r="I281" t="inlineStr">
        <is>
          <t>WHOLESALE-FURNITURE &amp; HOME FURNISHINGS</t>
        </is>
      </c>
    </row>
    <row r="282">
      <c r="A282" t="inlineStr">
        <is>
          <t>APARTMENT INVESTMENT &amp; MANAGEMENT CO</t>
        </is>
      </c>
      <c r="B282" t="inlineStr">
        <is>
          <t>AIV</t>
        </is>
      </c>
      <c r="C282" t="inlineStr">
        <is>
          <t>APARTMENT INVESTMENT &amp; MANAGEMENT CO</t>
        </is>
      </c>
      <c r="D282" t="n">
        <v>6798</v>
      </c>
      <c r="F282" t="n">
        <v>5030</v>
      </c>
      <c r="G282" t="inlineStr">
        <is>
          <t>RETAIL &amp; WHOLESALE</t>
        </is>
      </c>
      <c r="H282" t="inlineStr">
        <is>
          <t>WHOLESALE</t>
        </is>
      </c>
      <c r="I282" t="inlineStr">
        <is>
          <t>WHOLESALE-LUMBER &amp; OTHER CONSTRUCTION MATERIALS</t>
        </is>
      </c>
    </row>
    <row r="283">
      <c r="A283" t="inlineStr">
        <is>
          <t>APELLIS PHARMACEUTICALS, INC.</t>
        </is>
      </c>
      <c r="B283" t="inlineStr">
        <is>
          <t>APLS</t>
        </is>
      </c>
      <c r="C283" t="inlineStr">
        <is>
          <t>APELLIS PHARMACEUTICALS, INC.</t>
        </is>
      </c>
      <c r="D283" t="n">
        <v>2834</v>
      </c>
      <c r="F283" t="n">
        <v>5031</v>
      </c>
      <c r="G283" t="inlineStr">
        <is>
          <t>RETAIL &amp; WHOLESALE</t>
        </is>
      </c>
      <c r="H283" t="inlineStr">
        <is>
          <t>WHOLESALE</t>
        </is>
      </c>
      <c r="I283" t="inlineStr">
        <is>
          <t>WHOLESALE-LUMBER, PLYWOOD, MILLWORK &amp; WOOD PANELS</t>
        </is>
      </c>
    </row>
    <row r="284">
      <c r="A284" t="inlineStr">
        <is>
          <t>API GROUP CORP</t>
        </is>
      </c>
      <c r="B284" t="inlineStr">
        <is>
          <t>APG</t>
        </is>
      </c>
      <c r="C284" t="inlineStr">
        <is>
          <t>API GROUP CORP</t>
        </is>
      </c>
      <c r="D284" t="n">
        <v>1700</v>
      </c>
      <c r="F284" t="n">
        <v>5040</v>
      </c>
      <c r="G284" t="inlineStr">
        <is>
          <t>RETAIL &amp; WHOLESALE</t>
        </is>
      </c>
      <c r="H284" t="inlineStr">
        <is>
          <t>WHOLESALE</t>
        </is>
      </c>
      <c r="I284" t="inlineStr">
        <is>
          <t>WHOLESALE-PROFESSIONAL &amp; COMMERCIAL EQUIPMENT &amp; SUPPLIES</t>
        </is>
      </c>
    </row>
    <row r="285">
      <c r="A285" t="inlineStr">
        <is>
          <t>APOGEE ENTERPRISES, INC.</t>
        </is>
      </c>
      <c r="B285" t="inlineStr">
        <is>
          <t>APOG</t>
        </is>
      </c>
      <c r="C285" t="inlineStr">
        <is>
          <t>APOGEE ENTERPRISES, INC.</t>
        </is>
      </c>
      <c r="D285" t="n">
        <v>3231</v>
      </c>
      <c r="F285" t="n">
        <v>5045</v>
      </c>
      <c r="G285" t="inlineStr">
        <is>
          <t>RETAIL &amp; WHOLESALE</t>
        </is>
      </c>
      <c r="H285" t="inlineStr">
        <is>
          <t>WHOLESALE</t>
        </is>
      </c>
      <c r="I285" t="inlineStr">
        <is>
          <t>WHOLESALE-COMPUTERS &amp; PERIPHERAL EQUIPMENT &amp; SOFTWARE</t>
        </is>
      </c>
    </row>
    <row r="286">
      <c r="A286" t="inlineStr">
        <is>
          <t>APOLLO COMMERCIAL REAL ESTATE FINANCE, INC.</t>
        </is>
      </c>
      <c r="B286" t="inlineStr">
        <is>
          <t>ARI</t>
        </is>
      </c>
      <c r="C286" t="inlineStr">
        <is>
          <t>APOLLO COMMERCIAL REAL ESTATE FINANCE, INC.</t>
        </is>
      </c>
      <c r="D286" t="n">
        <v>6798</v>
      </c>
      <c r="F286" t="n">
        <v>5047</v>
      </c>
      <c r="G286" t="inlineStr">
        <is>
          <t>RETAIL &amp; WHOLESALE</t>
        </is>
      </c>
      <c r="H286" t="inlineStr">
        <is>
          <t>WHOLESALE</t>
        </is>
      </c>
      <c r="I286" t="inlineStr">
        <is>
          <t>WHOLESALE-MEDICAL, DENTAL &amp; HOSPITAL EQUIPMENT &amp; SUPPLIES</t>
        </is>
      </c>
    </row>
    <row r="287">
      <c r="A287" t="inlineStr">
        <is>
          <t>APOLLO ENDOSURGERY, INC.</t>
        </is>
      </c>
      <c r="B287" t="inlineStr">
        <is>
          <t>APEN</t>
        </is>
      </c>
      <c r="C287" t="inlineStr">
        <is>
          <t>APOLLO ENDOSURGERY, INC.</t>
        </is>
      </c>
      <c r="D287" t="n">
        <v>3841</v>
      </c>
      <c r="F287" t="n">
        <v>5050</v>
      </c>
      <c r="G287" t="inlineStr">
        <is>
          <t>RETAIL &amp; WHOLESALE</t>
        </is>
      </c>
      <c r="H287" t="inlineStr">
        <is>
          <t>WHOLESALE</t>
        </is>
      </c>
      <c r="I287" t="inlineStr">
        <is>
          <t>WHOLESALE-METALS &amp; MINERALS (NO PETROLEUM)</t>
        </is>
      </c>
    </row>
    <row r="288">
      <c r="A288" t="inlineStr">
        <is>
          <t>APOLLO MEDICAL HOLDINGS, INC.</t>
        </is>
      </c>
      <c r="B288" t="inlineStr">
        <is>
          <t>AMEH</t>
        </is>
      </c>
      <c r="C288" t="inlineStr">
        <is>
          <t>APOLLO MEDICAL HOLDINGS, INC.</t>
        </is>
      </c>
      <c r="D288" t="n">
        <v>8742</v>
      </c>
      <c r="F288" t="n">
        <v>5051</v>
      </c>
      <c r="G288" t="inlineStr">
        <is>
          <t>RETAIL &amp; WHOLESALE</t>
        </is>
      </c>
      <c r="H288" t="inlineStr">
        <is>
          <t>WHOLESALE</t>
        </is>
      </c>
      <c r="I288" t="inlineStr">
        <is>
          <t>WHOLESALE-METALS SERVICE CENTERS &amp; OFFICES</t>
        </is>
      </c>
    </row>
    <row r="289">
      <c r="A289" t="inlineStr">
        <is>
          <t>APPFOLIO INC</t>
        </is>
      </c>
      <c r="B289" t="inlineStr">
        <is>
          <t>APPF</t>
        </is>
      </c>
      <c r="C289" t="inlineStr">
        <is>
          <t>APPFOLIO INC</t>
        </is>
      </c>
      <c r="D289" t="n">
        <v>7372</v>
      </c>
      <c r="F289" t="n">
        <v>5063</v>
      </c>
      <c r="G289" t="inlineStr">
        <is>
          <t>RETAIL &amp; WHOLESALE</t>
        </is>
      </c>
      <c r="H289" t="inlineStr">
        <is>
          <t>WHOLESALE</t>
        </is>
      </c>
      <c r="I289" t="inlineStr">
        <is>
          <t>WHOLESALE-ELECTRICAL APPARATUS &amp; EQUIPMENT, WIRING SUPPLIES</t>
        </is>
      </c>
    </row>
    <row r="290">
      <c r="A290" t="inlineStr">
        <is>
          <t>APPGATE, INC.</t>
        </is>
      </c>
      <c r="B290" t="inlineStr">
        <is>
          <t>APGT</t>
        </is>
      </c>
      <c r="C290" t="inlineStr">
        <is>
          <t>APPGATE, INC.</t>
        </is>
      </c>
      <c r="D290" t="n">
        <v>7372</v>
      </c>
      <c r="F290" t="n">
        <v>5064</v>
      </c>
      <c r="G290" t="inlineStr">
        <is>
          <t>RETAIL &amp; WHOLESALE</t>
        </is>
      </c>
      <c r="H290" t="inlineStr">
        <is>
          <t>WHOLESALE</t>
        </is>
      </c>
      <c r="I290" t="inlineStr">
        <is>
          <t>WHOLESALE-ELECTRICAL APPLIANCES, TV &amp; RADIO SETS</t>
        </is>
      </c>
    </row>
    <row r="291">
      <c r="A291" t="inlineStr">
        <is>
          <t>APPIAN CORP</t>
        </is>
      </c>
      <c r="B291" t="inlineStr">
        <is>
          <t>APPN</t>
        </is>
      </c>
      <c r="C291" t="inlineStr">
        <is>
          <t>APPIAN CORP</t>
        </is>
      </c>
      <c r="D291" t="n">
        <v>7372</v>
      </c>
      <c r="F291" t="n">
        <v>5065</v>
      </c>
      <c r="G291" t="inlineStr">
        <is>
          <t>RETAIL &amp; WHOLESALE</t>
        </is>
      </c>
      <c r="H291" t="inlineStr">
        <is>
          <t>WHOLESALE</t>
        </is>
      </c>
      <c r="I291" t="inlineStr">
        <is>
          <t>WHOLESALE-ELECTRONIC PARTS &amp; EQUIPMENT, NEC</t>
        </is>
      </c>
    </row>
    <row r="292">
      <c r="A292" t="inlineStr">
        <is>
          <t>APPLE HOSPITALITY REIT, INC.</t>
        </is>
      </c>
      <c r="B292" t="inlineStr">
        <is>
          <t>APLE</t>
        </is>
      </c>
      <c r="C292" t="inlineStr">
        <is>
          <t>APPLE HOSPITALITY REIT, INC.</t>
        </is>
      </c>
      <c r="D292" t="n">
        <v>6798</v>
      </c>
      <c r="F292" t="n">
        <v>5070</v>
      </c>
      <c r="G292" t="inlineStr">
        <is>
          <t>RETAIL &amp; WHOLESALE</t>
        </is>
      </c>
      <c r="H292" t="inlineStr">
        <is>
          <t>WHOLESALE</t>
        </is>
      </c>
      <c r="I292" t="inlineStr">
        <is>
          <t>WHOLESALE-HARDWARE &amp; PLUMBING &amp; HEATING EQUIPMENT &amp; SUPPLIES</t>
        </is>
      </c>
    </row>
    <row r="293">
      <c r="A293" t="inlineStr">
        <is>
          <t>APPLE INC</t>
        </is>
      </c>
      <c r="B293" t="inlineStr">
        <is>
          <t>AAPL</t>
        </is>
      </c>
      <c r="C293" t="inlineStr">
        <is>
          <t>APPLE INC</t>
        </is>
      </c>
      <c r="D293" t="n">
        <v>3571</v>
      </c>
      <c r="F293" t="n">
        <v>5072</v>
      </c>
      <c r="G293" t="inlineStr">
        <is>
          <t>RETAIL &amp; WHOLESALE</t>
        </is>
      </c>
      <c r="H293" t="inlineStr">
        <is>
          <t>WHOLESALE</t>
        </is>
      </c>
      <c r="I293" t="inlineStr">
        <is>
          <t>WHOLESALE-HARDWARE</t>
        </is>
      </c>
    </row>
    <row r="294">
      <c r="A294" t="inlineStr">
        <is>
          <t>APPLIED GENETIC TECHNOLOGIES CORP</t>
        </is>
      </c>
      <c r="B294" t="inlineStr">
        <is>
          <t>AGTC</t>
        </is>
      </c>
      <c r="C294" t="inlineStr">
        <is>
          <t>APPLIED GENETIC TECHNOLOGIES CORP</t>
        </is>
      </c>
      <c r="D294" t="n">
        <v>2836</v>
      </c>
      <c r="F294" t="n">
        <v>5080</v>
      </c>
      <c r="G294" t="inlineStr">
        <is>
          <t>RETAIL &amp; WHOLESALE</t>
        </is>
      </c>
      <c r="H294" t="inlineStr">
        <is>
          <t>WHOLESALE</t>
        </is>
      </c>
      <c r="I294" t="inlineStr">
        <is>
          <t>WHOLESALE-MACHINERY, EQUIPMENT &amp; SUPPLIES</t>
        </is>
      </c>
    </row>
    <row r="295">
      <c r="A295" t="inlineStr">
        <is>
          <t>APPLIED INDUSTRIAL TECHNOLOGIES INC</t>
        </is>
      </c>
      <c r="B295" t="inlineStr">
        <is>
          <t>AIT</t>
        </is>
      </c>
      <c r="C295" t="inlineStr">
        <is>
          <t>APPLIED INDUSTRIAL TECHNOLOGIES INC</t>
        </is>
      </c>
      <c r="D295" t="n">
        <v>5080</v>
      </c>
      <c r="F295" t="n">
        <v>5082</v>
      </c>
      <c r="G295" t="inlineStr">
        <is>
          <t>RETAIL &amp; WHOLESALE</t>
        </is>
      </c>
      <c r="H295" t="inlineStr">
        <is>
          <t>WHOLESALE</t>
        </is>
      </c>
      <c r="I295" t="inlineStr">
        <is>
          <t>WHOLESALE-CONSTRUCTION &amp; MINING (NO PETRO) MACHINERY &amp; EQUIP</t>
        </is>
      </c>
    </row>
    <row r="296">
      <c r="A296" t="inlineStr">
        <is>
          <t>APPLIED MATERIALS INC /DE</t>
        </is>
      </c>
      <c r="B296" t="inlineStr">
        <is>
          <t>AMAT</t>
        </is>
      </c>
      <c r="C296" t="inlineStr">
        <is>
          <t>APPLIED MATERIALS INC /DE</t>
        </is>
      </c>
      <c r="D296" t="n">
        <v>3674</v>
      </c>
      <c r="F296" t="n">
        <v>5084</v>
      </c>
      <c r="G296" t="inlineStr">
        <is>
          <t>RETAIL &amp; WHOLESALE</t>
        </is>
      </c>
      <c r="H296" t="inlineStr">
        <is>
          <t>WHOLESALE</t>
        </is>
      </c>
      <c r="I296" t="inlineStr">
        <is>
          <t>WHOLESALE-INDUSTRIAL MACHINERY &amp; EQUIPMENT</t>
        </is>
      </c>
    </row>
    <row r="297">
      <c r="A297" t="inlineStr">
        <is>
          <t>APPLIED OPTOELECTRONICS, INC.</t>
        </is>
      </c>
      <c r="B297" t="inlineStr">
        <is>
          <t>AAOI</t>
        </is>
      </c>
      <c r="C297" t="inlineStr">
        <is>
          <t>APPLIED OPTOELECTRONICS, INC.</t>
        </is>
      </c>
      <c r="D297" t="n">
        <v>3674</v>
      </c>
      <c r="F297" t="n">
        <v>5090</v>
      </c>
      <c r="G297" t="inlineStr">
        <is>
          <t>RETAIL &amp; WHOLESALE</t>
        </is>
      </c>
      <c r="H297" t="inlineStr">
        <is>
          <t>WHOLESALE</t>
        </is>
      </c>
      <c r="I297" t="inlineStr">
        <is>
          <t>WHOLESALE-MISC DURABLE GOODS</t>
        </is>
      </c>
    </row>
    <row r="298">
      <c r="A298" t="inlineStr">
        <is>
          <t>APPLIED UV, INC.</t>
        </is>
      </c>
      <c r="B298" t="inlineStr">
        <is>
          <t>AUVI</t>
        </is>
      </c>
      <c r="C298" t="inlineStr">
        <is>
          <t>APPLIED UV, INC.</t>
        </is>
      </c>
      <c r="D298" t="n">
        <v>3640</v>
      </c>
      <c r="F298" t="n">
        <v>5094</v>
      </c>
      <c r="G298" t="inlineStr">
        <is>
          <t>RETAIL &amp; WHOLESALE</t>
        </is>
      </c>
      <c r="H298" t="inlineStr">
        <is>
          <t>WHOLESALE</t>
        </is>
      </c>
      <c r="I298" t="inlineStr">
        <is>
          <t>WHOLESALE-JEWELRY, WATCHES, PRECIOUS STONES &amp; METALS</t>
        </is>
      </c>
    </row>
    <row r="299">
      <c r="A299" t="inlineStr">
        <is>
          <t>APPLOVIN CORP</t>
        </is>
      </c>
      <c r="B299" t="inlineStr">
        <is>
          <t>APP</t>
        </is>
      </c>
      <c r="C299" t="inlineStr">
        <is>
          <t>APPLOVIN CORP</t>
        </is>
      </c>
      <c r="D299" t="n">
        <v>7370</v>
      </c>
      <c r="F299" t="n">
        <v>5099</v>
      </c>
      <c r="G299" t="inlineStr">
        <is>
          <t>RETAIL &amp; WHOLESALE</t>
        </is>
      </c>
      <c r="H299" t="inlineStr">
        <is>
          <t>WHOLESALE</t>
        </is>
      </c>
      <c r="I299" t="inlineStr">
        <is>
          <t>WHOLESALE-DURABLE GOODS, NEC</t>
        </is>
      </c>
    </row>
    <row r="300">
      <c r="A300" t="inlineStr">
        <is>
          <t>APTARGROUP, INC.</t>
        </is>
      </c>
      <c r="B300" t="inlineStr">
        <is>
          <t>ATR</t>
        </is>
      </c>
      <c r="C300" t="inlineStr">
        <is>
          <t>APTARGROUP, INC.</t>
        </is>
      </c>
      <c r="D300" t="n">
        <v>3089</v>
      </c>
      <c r="F300" t="n">
        <v>5110</v>
      </c>
      <c r="G300" t="inlineStr">
        <is>
          <t>RETAIL &amp; WHOLESALE</t>
        </is>
      </c>
      <c r="H300" t="inlineStr">
        <is>
          <t>WHOLESALE</t>
        </is>
      </c>
      <c r="I300" t="inlineStr">
        <is>
          <t>WHOLESALE-PAPER &amp; PAPER PRODUCTS</t>
        </is>
      </c>
    </row>
    <row r="301">
      <c r="A301" t="inlineStr">
        <is>
          <t>APTEVO THERAPEUTICS INC.</t>
        </is>
      </c>
      <c r="B301" t="inlineStr">
        <is>
          <t>APVO</t>
        </is>
      </c>
      <c r="C301" t="inlineStr">
        <is>
          <t>APTEVO THERAPEUTICS INC.</t>
        </is>
      </c>
      <c r="D301" t="n">
        <v>2834</v>
      </c>
      <c r="F301" t="n">
        <v>5122</v>
      </c>
      <c r="G301" t="inlineStr">
        <is>
          <t>RETAIL &amp; WHOLESALE</t>
        </is>
      </c>
      <c r="H301" t="inlineStr">
        <is>
          <t>WHOLESALE</t>
        </is>
      </c>
      <c r="I301" t="inlineStr">
        <is>
          <t>WHOLESALE-DRUGS, PROPRIETARIES &amp; DRUGGISTS' SUNDRIES</t>
        </is>
      </c>
    </row>
    <row r="302">
      <c r="A302" t="inlineStr">
        <is>
          <t>APTINYX INC.</t>
        </is>
      </c>
      <c r="B302" t="inlineStr">
        <is>
          <t>APTX</t>
        </is>
      </c>
      <c r="C302" t="inlineStr">
        <is>
          <t>APTINYX INC.</t>
        </is>
      </c>
      <c r="D302" t="n">
        <v>2834</v>
      </c>
      <c r="F302" t="n">
        <v>5130</v>
      </c>
      <c r="G302" t="inlineStr">
        <is>
          <t>RETAIL &amp; WHOLESALE</t>
        </is>
      </c>
      <c r="H302" t="inlineStr">
        <is>
          <t>WHOLESALE</t>
        </is>
      </c>
      <c r="I302" t="inlineStr">
        <is>
          <t>WHOLESALE-APPAREL, PIECE GOODS &amp; NOTIONS</t>
        </is>
      </c>
    </row>
    <row r="303">
      <c r="A303" t="inlineStr">
        <is>
          <t>APTIV PLC</t>
        </is>
      </c>
      <c r="B303" t="inlineStr">
        <is>
          <t>APTV</t>
        </is>
      </c>
      <c r="C303" t="inlineStr">
        <is>
          <t>APTIV PLC</t>
        </is>
      </c>
      <c r="D303" t="n">
        <v>3714</v>
      </c>
      <c r="F303" t="n">
        <v>5140</v>
      </c>
      <c r="G303" t="inlineStr">
        <is>
          <t>RETAIL &amp; WHOLESALE</t>
        </is>
      </c>
      <c r="H303" t="inlineStr">
        <is>
          <t>WHOLESALE</t>
        </is>
      </c>
      <c r="I303" t="inlineStr">
        <is>
          <t>WHOLESALE-GROCERIES &amp; RELATED PRODUCTS</t>
        </is>
      </c>
    </row>
    <row r="304">
      <c r="A304" t="inlineStr">
        <is>
          <t>APYX MEDICAL CORP</t>
        </is>
      </c>
      <c r="B304" t="inlineStr">
        <is>
          <t>APYX</t>
        </is>
      </c>
      <c r="C304" t="inlineStr">
        <is>
          <t>APYX MEDICAL CORP</t>
        </is>
      </c>
      <c r="D304" t="n">
        <v>3841</v>
      </c>
      <c r="F304" t="n">
        <v>5141</v>
      </c>
      <c r="G304" t="inlineStr">
        <is>
          <t>RETAIL &amp; WHOLESALE</t>
        </is>
      </c>
      <c r="H304" t="inlineStr">
        <is>
          <t>WHOLESALE</t>
        </is>
      </c>
      <c r="I304" t="inlineStr">
        <is>
          <t>WHOLESALE-GROCERIES, GENERAL LINE</t>
        </is>
      </c>
    </row>
    <row r="305">
      <c r="A305" t="inlineStr">
        <is>
          <t>AQUA METALS, INC.</t>
        </is>
      </c>
      <c r="B305" t="inlineStr">
        <is>
          <t>AQMS</t>
        </is>
      </c>
      <c r="C305" t="inlineStr">
        <is>
          <t>AQUA METALS, INC.</t>
        </is>
      </c>
      <c r="D305" t="n">
        <v>3341</v>
      </c>
      <c r="F305" t="n">
        <v>5150</v>
      </c>
      <c r="G305" t="inlineStr">
        <is>
          <t>RETAIL &amp; WHOLESALE</t>
        </is>
      </c>
      <c r="H305" t="inlineStr">
        <is>
          <t>WHOLESALE</t>
        </is>
      </c>
      <c r="I305" t="inlineStr">
        <is>
          <t>WHOLESALE-FARM PRODUCT RAW MATERIALS</t>
        </is>
      </c>
    </row>
    <row r="306">
      <c r="A306" t="inlineStr">
        <is>
          <t>AQUABOUNTY TECHNOLOGIES, INC.</t>
        </is>
      </c>
      <c r="B306" t="inlineStr">
        <is>
          <t>AQB</t>
        </is>
      </c>
      <c r="C306" t="inlineStr">
        <is>
          <t>AQUABOUNTY TECHNOLOGIES, INC.</t>
        </is>
      </c>
      <c r="D306" t="n">
        <v>900</v>
      </c>
      <c r="F306" t="n">
        <v>5160</v>
      </c>
      <c r="G306" t="inlineStr">
        <is>
          <t>RETAIL &amp; WHOLESALE</t>
        </is>
      </c>
      <c r="H306" t="inlineStr">
        <is>
          <t>WHOLESALE</t>
        </is>
      </c>
      <c r="I306" t="inlineStr">
        <is>
          <t>WHOLESALE-CHEMICALS &amp; ALLIED PRODUCTS</t>
        </is>
      </c>
    </row>
    <row r="307">
      <c r="A307" t="inlineStr">
        <is>
          <t>AQUESTIVE THERAPEUTICS, INC.</t>
        </is>
      </c>
      <c r="B307" t="inlineStr">
        <is>
          <t>AQST</t>
        </is>
      </c>
      <c r="C307" t="inlineStr">
        <is>
          <t>AQUESTIVE THERAPEUTICS, INC.</t>
        </is>
      </c>
      <c r="D307" t="n">
        <v>2834</v>
      </c>
      <c r="F307" t="n">
        <v>5171</v>
      </c>
      <c r="G307" t="inlineStr">
        <is>
          <t>RETAIL &amp; WHOLESALE</t>
        </is>
      </c>
      <c r="H307" t="inlineStr">
        <is>
          <t>WHOLESALE</t>
        </is>
      </c>
      <c r="I307" t="inlineStr">
        <is>
          <t>WHOLESALE-PETROLEUM BULK STATIONS &amp; TERMINALS</t>
        </is>
      </c>
    </row>
    <row r="308">
      <c r="A308" t="inlineStr">
        <is>
          <t>ARAMARK</t>
        </is>
      </c>
      <c r="B308" t="inlineStr">
        <is>
          <t>ARMK</t>
        </is>
      </c>
      <c r="C308" t="inlineStr">
        <is>
          <t>ARAMARK</t>
        </is>
      </c>
      <c r="D308" t="n">
        <v>5812</v>
      </c>
      <c r="F308" t="n">
        <v>5172</v>
      </c>
      <c r="G308" t="inlineStr">
        <is>
          <t>RETAIL &amp; WHOLESALE</t>
        </is>
      </c>
      <c r="H308" t="inlineStr">
        <is>
          <t>WHOLESALE</t>
        </is>
      </c>
      <c r="I308" t="inlineStr">
        <is>
          <t>WHOLESALE-PETROLEUM &amp; PETROLEUM PRODUCTS (NO BULK STATIONS)</t>
        </is>
      </c>
    </row>
    <row r="309">
      <c r="A309" t="inlineStr">
        <is>
          <t>ARAVIVE, INC.</t>
        </is>
      </c>
      <c r="B309" t="inlineStr">
        <is>
          <t>ARAV</t>
        </is>
      </c>
      <c r="C309" t="inlineStr">
        <is>
          <t>ARAVIVE, INC.</t>
        </is>
      </c>
      <c r="D309" t="n">
        <v>2834</v>
      </c>
      <c r="F309" t="n">
        <v>5180</v>
      </c>
      <c r="G309" t="inlineStr">
        <is>
          <t>RETAIL &amp; WHOLESALE</t>
        </is>
      </c>
      <c r="H309" t="inlineStr">
        <is>
          <t>WHOLESALE</t>
        </is>
      </c>
      <c r="I309" t="inlineStr">
        <is>
          <t>WHOLESALE-BEER, WINE &amp; DISTILLED ALCOHOLIC BEVERAGES</t>
        </is>
      </c>
    </row>
    <row r="310">
      <c r="A310" t="inlineStr">
        <is>
          <t>ARBOR REALTY TRUST INC</t>
        </is>
      </c>
      <c r="B310" t="inlineStr">
        <is>
          <t>ABR</t>
        </is>
      </c>
      <c r="C310" t="inlineStr">
        <is>
          <t>ARBOR REALTY TRUST INC</t>
        </is>
      </c>
      <c r="D310" t="n">
        <v>6798</v>
      </c>
      <c r="F310" t="n">
        <v>5190</v>
      </c>
      <c r="G310" t="inlineStr">
        <is>
          <t>RETAIL &amp; WHOLESALE</t>
        </is>
      </c>
      <c r="H310" t="inlineStr">
        <is>
          <t>WHOLESALE</t>
        </is>
      </c>
      <c r="I310" t="inlineStr">
        <is>
          <t>WHOLESALE-MISCELLANEOUS NONDURABLE GOODS</t>
        </is>
      </c>
    </row>
    <row r="311">
      <c r="A311" t="inlineStr">
        <is>
          <t>ARBUTUS BIOPHARMA CORP</t>
        </is>
      </c>
      <c r="B311" t="inlineStr">
        <is>
          <t>ABUS</t>
        </is>
      </c>
      <c r="C311" t="inlineStr">
        <is>
          <t>ARBUTUS BIOPHARMA CORP</t>
        </is>
      </c>
      <c r="D311" t="n">
        <v>2834</v>
      </c>
      <c r="F311" t="n">
        <v>5200</v>
      </c>
      <c r="G311" t="inlineStr">
        <is>
          <t>RETAIL &amp; WHOLESALE</t>
        </is>
      </c>
      <c r="H311" t="inlineStr">
        <is>
          <t>RETAIL</t>
        </is>
      </c>
      <c r="I311" t="inlineStr">
        <is>
          <t>RETAIL-BUILDING MATERIALS, HARDWARE, GARDEN SUPPLY</t>
        </is>
      </c>
    </row>
    <row r="312">
      <c r="A312" t="inlineStr">
        <is>
          <t>ARC DOCUMENT SOLUTIONS, INC.</t>
        </is>
      </c>
      <c r="B312" t="inlineStr">
        <is>
          <t>ARC</t>
        </is>
      </c>
      <c r="C312" t="inlineStr">
        <is>
          <t>ARC DOCUMENT SOLUTIONS, INC.</t>
        </is>
      </c>
      <c r="D312" t="n">
        <v>7330</v>
      </c>
      <c r="F312" t="n">
        <v>5211</v>
      </c>
      <c r="G312" t="inlineStr">
        <is>
          <t>RETAIL &amp; WHOLESALE</t>
        </is>
      </c>
      <c r="H312" t="inlineStr">
        <is>
          <t>RETAIL</t>
        </is>
      </c>
      <c r="I312" t="inlineStr">
        <is>
          <t>RETAIL-LUMBER &amp; OTHER BUILDING MATERIALS DEALERS</t>
        </is>
      </c>
    </row>
    <row r="313">
      <c r="A313" t="inlineStr">
        <is>
          <t>ARCADIA BIOSCIENCES, INC.</t>
        </is>
      </c>
      <c r="B313" t="inlineStr">
        <is>
          <t>RKDA</t>
        </is>
      </c>
      <c r="C313" t="inlineStr">
        <is>
          <t>ARCADIA BIOSCIENCES, INC.</t>
        </is>
      </c>
      <c r="D313" t="n">
        <v>100</v>
      </c>
      <c r="F313" t="n">
        <v>5271</v>
      </c>
      <c r="G313" t="inlineStr">
        <is>
          <t>RETAIL &amp; WHOLESALE</t>
        </is>
      </c>
      <c r="H313" t="inlineStr">
        <is>
          <t>RETAIL</t>
        </is>
      </c>
      <c r="I313" t="inlineStr">
        <is>
          <t>RETAIL-MOBILE HOME DEALERS</t>
        </is>
      </c>
    </row>
    <row r="314">
      <c r="A314" t="inlineStr">
        <is>
          <t>ARCBEST CORP /DE/</t>
        </is>
      </c>
      <c r="B314" t="inlineStr">
        <is>
          <t>ARCB</t>
        </is>
      </c>
      <c r="C314" t="inlineStr">
        <is>
          <t>ARCBEST CORP /DE/</t>
        </is>
      </c>
      <c r="D314" t="n">
        <v>4213</v>
      </c>
      <c r="F314" t="n">
        <v>5311</v>
      </c>
      <c r="G314" t="inlineStr">
        <is>
          <t>RETAIL &amp; WHOLESALE</t>
        </is>
      </c>
      <c r="H314" t="inlineStr">
        <is>
          <t>RETAIL</t>
        </is>
      </c>
      <c r="I314" t="inlineStr">
        <is>
          <t>RETAIL-DEPARTMENT STORES</t>
        </is>
      </c>
    </row>
    <row r="315">
      <c r="A315" t="inlineStr">
        <is>
          <t>ARCH CAPITAL GROUP LTD.</t>
        </is>
      </c>
      <c r="B315" t="inlineStr">
        <is>
          <t>ACGL</t>
        </is>
      </c>
      <c r="C315" t="inlineStr">
        <is>
          <t>ARCH CAPITAL GROUP LTD.</t>
        </is>
      </c>
      <c r="D315" t="n">
        <v>6331</v>
      </c>
      <c r="F315" t="n">
        <v>5331</v>
      </c>
      <c r="G315" t="inlineStr">
        <is>
          <t>RETAIL &amp; WHOLESALE</t>
        </is>
      </c>
      <c r="H315" t="inlineStr">
        <is>
          <t>RETAIL</t>
        </is>
      </c>
      <c r="I315" t="inlineStr">
        <is>
          <t>RETAIL-VARIETY STORES</t>
        </is>
      </c>
    </row>
    <row r="316">
      <c r="A316" t="inlineStr">
        <is>
          <t>ARCH RESOURCES, INC.</t>
        </is>
      </c>
      <c r="B316" t="inlineStr">
        <is>
          <t>ARCH</t>
        </is>
      </c>
      <c r="C316" t="inlineStr">
        <is>
          <t>ARCH RESOURCES, INC.</t>
        </is>
      </c>
      <c r="D316" t="n">
        <v>1221</v>
      </c>
      <c r="F316" t="n">
        <v>5399</v>
      </c>
      <c r="G316" t="inlineStr">
        <is>
          <t>RETAIL &amp; WHOLESALE</t>
        </is>
      </c>
      <c r="H316" t="inlineStr">
        <is>
          <t>RETAIL</t>
        </is>
      </c>
      <c r="I316" t="inlineStr">
        <is>
          <t>RETAIL-MISC GENERAL MERCHANDISE STORES</t>
        </is>
      </c>
    </row>
    <row r="317">
      <c r="A317" t="inlineStr">
        <is>
          <t>ARCHAEA ENERGY INC.</t>
        </is>
      </c>
      <c r="B317" t="inlineStr">
        <is>
          <t>LFG</t>
        </is>
      </c>
      <c r="C317" t="inlineStr">
        <is>
          <t>ARCHAEA ENERGY INC.</t>
        </is>
      </c>
      <c r="D317" t="n">
        <v>4932</v>
      </c>
      <c r="F317" t="n">
        <v>5400</v>
      </c>
      <c r="G317" t="inlineStr">
        <is>
          <t>RETAIL &amp; WHOLESALE</t>
        </is>
      </c>
      <c r="H317" t="inlineStr">
        <is>
          <t>RETAIL</t>
        </is>
      </c>
      <c r="I317" t="inlineStr">
        <is>
          <t>RETAIL-FOOD STORES</t>
        </is>
      </c>
    </row>
    <row r="318">
      <c r="A318" t="inlineStr">
        <is>
          <t>ARCHER-DANIELS-MIDLAND CO</t>
        </is>
      </c>
      <c r="B318" t="inlineStr">
        <is>
          <t>ADM</t>
        </is>
      </c>
      <c r="C318" t="inlineStr">
        <is>
          <t>ARCHER-DANIELS-MIDLAND CO</t>
        </is>
      </c>
      <c r="D318" t="n">
        <v>2070</v>
      </c>
      <c r="F318" t="n">
        <v>5411</v>
      </c>
      <c r="G318" t="inlineStr">
        <is>
          <t>RETAIL &amp; WHOLESALE</t>
        </is>
      </c>
      <c r="H318" t="inlineStr">
        <is>
          <t>RETAIL</t>
        </is>
      </c>
      <c r="I318" t="inlineStr">
        <is>
          <t>RETAIL-GROCERY STORES</t>
        </is>
      </c>
    </row>
    <row r="319">
      <c r="A319" t="inlineStr">
        <is>
          <t>ARCHROCK, INC.</t>
        </is>
      </c>
      <c r="B319" t="inlineStr">
        <is>
          <t>AROC</t>
        </is>
      </c>
      <c r="C319" t="inlineStr">
        <is>
          <t>ARCHROCK, INC.</t>
        </is>
      </c>
      <c r="D319" t="n">
        <v>4922</v>
      </c>
      <c r="F319" t="n">
        <v>5412</v>
      </c>
      <c r="G319" t="inlineStr">
        <is>
          <t>RETAIL &amp; WHOLESALE</t>
        </is>
      </c>
      <c r="H319" t="inlineStr">
        <is>
          <t>RETAIL</t>
        </is>
      </c>
      <c r="I319" t="inlineStr">
        <is>
          <t>RETAIL-CONVENIENCE STORES</t>
        </is>
      </c>
    </row>
    <row r="320">
      <c r="A320" t="inlineStr">
        <is>
          <t>ARCIMOTO INC</t>
        </is>
      </c>
      <c r="B320" t="inlineStr">
        <is>
          <t>FUV</t>
        </is>
      </c>
      <c r="C320" t="inlineStr">
        <is>
          <t>ARCIMOTO INC</t>
        </is>
      </c>
      <c r="D320" t="n">
        <v>3751</v>
      </c>
      <c r="F320" t="n">
        <v>5500</v>
      </c>
      <c r="G320" t="inlineStr">
        <is>
          <t>RETAIL &amp; WHOLESALE</t>
        </is>
      </c>
      <c r="H320" t="inlineStr">
        <is>
          <t>RETAIL</t>
        </is>
      </c>
      <c r="I320" t="inlineStr">
        <is>
          <t>RETAIL-AUTO DEALERS &amp; GASOLINE STATIONS</t>
        </is>
      </c>
    </row>
    <row r="321">
      <c r="A321" t="inlineStr">
        <is>
          <t>ARCONIC CORP</t>
        </is>
      </c>
      <c r="B321" t="inlineStr">
        <is>
          <t>ARNC</t>
        </is>
      </c>
      <c r="C321" t="inlineStr">
        <is>
          <t>ARCONIC CORP</t>
        </is>
      </c>
      <c r="D321" t="n">
        <v>3350</v>
      </c>
      <c r="F321" t="n">
        <v>5531</v>
      </c>
      <c r="G321" t="inlineStr">
        <is>
          <t>RETAIL &amp; WHOLESALE</t>
        </is>
      </c>
      <c r="H321" t="inlineStr">
        <is>
          <t>RETAIL</t>
        </is>
      </c>
      <c r="I321" t="inlineStr">
        <is>
          <t>RETAIL-AUTO &amp; HOME SUPPLY STORES</t>
        </is>
      </c>
    </row>
    <row r="322">
      <c r="A322" t="inlineStr">
        <is>
          <t>ARCOS DORADOS HOLDINGS INC.</t>
        </is>
      </c>
      <c r="B322" t="inlineStr">
        <is>
          <t>ARCO</t>
        </is>
      </c>
      <c r="C322" t="inlineStr">
        <is>
          <t>ARCOS DORADOS HOLDINGS INC.</t>
        </is>
      </c>
      <c r="D322" t="n">
        <v>5812</v>
      </c>
      <c r="F322" t="n">
        <v>5600</v>
      </c>
      <c r="G322" t="inlineStr">
        <is>
          <t>RETAIL &amp; WHOLESALE</t>
        </is>
      </c>
      <c r="H322" t="inlineStr">
        <is>
          <t>RETAIL</t>
        </is>
      </c>
      <c r="I322" t="inlineStr">
        <is>
          <t>RETAIL-APPAREL &amp; ACCESSORY STORES</t>
        </is>
      </c>
    </row>
    <row r="323">
      <c r="A323" t="inlineStr">
        <is>
          <t>ARCOSA, INC.</t>
        </is>
      </c>
      <c r="B323" t="inlineStr">
        <is>
          <t>ACA</t>
        </is>
      </c>
      <c r="C323" t="inlineStr">
        <is>
          <t>ARCOSA, INC.</t>
        </is>
      </c>
      <c r="D323" t="n">
        <v>3440</v>
      </c>
      <c r="F323" t="n">
        <v>5621</v>
      </c>
      <c r="G323" t="inlineStr">
        <is>
          <t>RETAIL &amp; WHOLESALE</t>
        </is>
      </c>
      <c r="H323" t="inlineStr">
        <is>
          <t>RETAIL</t>
        </is>
      </c>
      <c r="I323" t="inlineStr">
        <is>
          <t>RETAIL-WOMEN'S CLOTHING STORES</t>
        </is>
      </c>
    </row>
    <row r="324">
      <c r="A324" t="inlineStr">
        <is>
          <t>ARCTURUS THERAPEUTICS HOLDINGS INC.</t>
        </is>
      </c>
      <c r="B324" t="inlineStr">
        <is>
          <t>ARCT</t>
        </is>
      </c>
      <c r="C324" t="inlineStr">
        <is>
          <t>ARCTURUS THERAPEUTICS HOLDINGS INC.</t>
        </is>
      </c>
      <c r="D324" t="n">
        <v>2834</v>
      </c>
      <c r="F324" t="n">
        <v>5651</v>
      </c>
      <c r="G324" t="inlineStr">
        <is>
          <t>RETAIL &amp; WHOLESALE</t>
        </is>
      </c>
      <c r="H324" t="inlineStr">
        <is>
          <t>RETAIL</t>
        </is>
      </c>
      <c r="I324" t="inlineStr">
        <is>
          <t>RETAIL-FAMILY CLOTHING STORES</t>
        </is>
      </c>
    </row>
    <row r="325">
      <c r="A325" t="inlineStr">
        <is>
          <t>ARCUS BIOSCIENCES, INC.</t>
        </is>
      </c>
      <c r="B325" t="inlineStr">
        <is>
          <t>RCUS</t>
        </is>
      </c>
      <c r="C325" t="inlineStr">
        <is>
          <t>ARCUS BIOSCIENCES, INC.</t>
        </is>
      </c>
      <c r="D325" t="n">
        <v>2834</v>
      </c>
      <c r="F325" t="n">
        <v>5661</v>
      </c>
      <c r="G325" t="inlineStr">
        <is>
          <t>RETAIL &amp; WHOLESALE</t>
        </is>
      </c>
      <c r="H325" t="inlineStr">
        <is>
          <t>RETAIL</t>
        </is>
      </c>
      <c r="I325" t="inlineStr">
        <is>
          <t>RETAIL-SHOE STORES</t>
        </is>
      </c>
    </row>
    <row r="326">
      <c r="A326" t="inlineStr">
        <is>
          <t>ARDELYX, INC.</t>
        </is>
      </c>
      <c r="B326" t="inlineStr">
        <is>
          <t>ARDX</t>
        </is>
      </c>
      <c r="C326" t="inlineStr">
        <is>
          <t>ARDELYX, INC.</t>
        </is>
      </c>
      <c r="D326" t="n">
        <v>2834</v>
      </c>
      <c r="F326" t="n">
        <v>5700</v>
      </c>
      <c r="G326" t="inlineStr">
        <is>
          <t>RETAIL &amp; WHOLESALE</t>
        </is>
      </c>
      <c r="H326" t="inlineStr">
        <is>
          <t>RETAIL</t>
        </is>
      </c>
      <c r="I326" t="inlineStr">
        <is>
          <t>RETAIL-HOME FURNITURE, FURNISHINGS &amp; EQUIPMENT STORES</t>
        </is>
      </c>
    </row>
    <row r="327">
      <c r="A327" t="inlineStr">
        <is>
          <t>ARDMORE SHIPPING CORP</t>
        </is>
      </c>
      <c r="B327" t="inlineStr">
        <is>
          <t>ASC</t>
        </is>
      </c>
      <c r="C327" t="inlineStr">
        <is>
          <t>ARDMORE SHIPPING CORP</t>
        </is>
      </c>
      <c r="D327" t="n">
        <v>4412</v>
      </c>
      <c r="F327" t="n">
        <v>5712</v>
      </c>
      <c r="G327" t="inlineStr">
        <is>
          <t>RETAIL &amp; WHOLESALE</t>
        </is>
      </c>
      <c r="H327" t="inlineStr">
        <is>
          <t>RETAIL</t>
        </is>
      </c>
      <c r="I327" t="inlineStr">
        <is>
          <t>RETAIL-FURNITURE STORES</t>
        </is>
      </c>
    </row>
    <row r="328">
      <c r="A328" t="inlineStr">
        <is>
          <t>ARES COMMERCIAL REAL ESTATE CORP</t>
        </is>
      </c>
      <c r="B328" t="inlineStr">
        <is>
          <t>ACRE</t>
        </is>
      </c>
      <c r="C328" t="inlineStr">
        <is>
          <t>ARES COMMERCIAL REAL ESTATE CORP</t>
        </is>
      </c>
      <c r="D328" t="n">
        <v>6798</v>
      </c>
      <c r="F328" t="n">
        <v>5731</v>
      </c>
      <c r="G328" t="inlineStr">
        <is>
          <t>RETAIL &amp; WHOLESALE</t>
        </is>
      </c>
      <c r="H328" t="inlineStr">
        <is>
          <t>RETAIL</t>
        </is>
      </c>
      <c r="I328" t="inlineStr">
        <is>
          <t>RETAIL-RADIO, TV &amp; CONSUMER ELECTRONICS STORES</t>
        </is>
      </c>
    </row>
    <row r="329">
      <c r="A329" t="inlineStr">
        <is>
          <t>ARES MANAGEMENT CORP</t>
        </is>
      </c>
      <c r="B329" t="inlineStr">
        <is>
          <t>ARES</t>
        </is>
      </c>
      <c r="C329" t="inlineStr">
        <is>
          <t>ARES MANAGEMENT CORP</t>
        </is>
      </c>
      <c r="D329" t="n">
        <v>6282</v>
      </c>
      <c r="F329" t="n">
        <v>5734</v>
      </c>
      <c r="G329" t="inlineStr">
        <is>
          <t>RETAIL &amp; WHOLESALE</t>
        </is>
      </c>
      <c r="H329" t="inlineStr">
        <is>
          <t>RETAIL</t>
        </is>
      </c>
      <c r="I329" t="inlineStr">
        <is>
          <t>RETAIL-COMPUTER &amp; COMPUTER SOFTWARE STORES</t>
        </is>
      </c>
    </row>
    <row r="330">
      <c r="A330" t="inlineStr">
        <is>
          <t>ARGAN INC</t>
        </is>
      </c>
      <c r="B330" t="inlineStr">
        <is>
          <t>AGX</t>
        </is>
      </c>
      <c r="C330" t="inlineStr">
        <is>
          <t>ARGAN INC</t>
        </is>
      </c>
      <c r="D330" t="n">
        <v>1700</v>
      </c>
      <c r="F330" t="n">
        <v>5735</v>
      </c>
      <c r="G330" t="inlineStr">
        <is>
          <t>RETAIL &amp; WHOLESALE</t>
        </is>
      </c>
      <c r="H330" t="inlineStr">
        <is>
          <t>RETAIL</t>
        </is>
      </c>
      <c r="I330" t="inlineStr">
        <is>
          <t>RETAIL-RECORD &amp; PRERECORDED TAPE STORES</t>
        </is>
      </c>
    </row>
    <row r="331">
      <c r="A331" t="inlineStr">
        <is>
          <t>ARGO GROUP INTERNATIONAL HOLDINGS, LTD.</t>
        </is>
      </c>
      <c r="B331" t="inlineStr">
        <is>
          <t>ARGO</t>
        </is>
      </c>
      <c r="C331" t="inlineStr">
        <is>
          <t>ARGO GROUP INTERNATIONAL HOLDINGS, LTD.</t>
        </is>
      </c>
      <c r="D331" t="n">
        <v>6361</v>
      </c>
      <c r="F331" t="n">
        <v>5810</v>
      </c>
      <c r="G331" t="inlineStr">
        <is>
          <t>RETAIL &amp; WHOLESALE</t>
        </is>
      </c>
      <c r="H331" t="inlineStr">
        <is>
          <t>RESTAURANTS, HOTELS, MOTELS</t>
        </is>
      </c>
      <c r="I331" t="inlineStr">
        <is>
          <t>RETAIL-EATING &amp; DRINKING PLACES</t>
        </is>
      </c>
    </row>
    <row r="332">
      <c r="A332" t="inlineStr">
        <is>
          <t>ARHAUS, INC.</t>
        </is>
      </c>
      <c r="B332" t="inlineStr">
        <is>
          <t>ARHS</t>
        </is>
      </c>
      <c r="C332" t="inlineStr">
        <is>
          <t>ARHAUS, INC.</t>
        </is>
      </c>
      <c r="D332" t="n">
        <v>5712</v>
      </c>
      <c r="F332" t="n">
        <v>5812</v>
      </c>
      <c r="G332" t="inlineStr">
        <is>
          <t>RETAIL &amp; WHOLESALE</t>
        </is>
      </c>
      <c r="H332" t="inlineStr">
        <is>
          <t>RESTAURANTS, HOTELS, MOTELS</t>
        </is>
      </c>
      <c r="I332" t="inlineStr">
        <is>
          <t>RETAIL-EATING PLACES</t>
        </is>
      </c>
    </row>
    <row r="333">
      <c r="A333" t="inlineStr">
        <is>
          <t>ARIDIS PHARMACEUTICALS, INC.</t>
        </is>
      </c>
      <c r="B333" t="inlineStr">
        <is>
          <t>ARDS</t>
        </is>
      </c>
      <c r="C333" t="inlineStr">
        <is>
          <t>ARIDIS PHARMACEUTICALS, INC.</t>
        </is>
      </c>
      <c r="D333" t="n">
        <v>2834</v>
      </c>
      <c r="F333" t="n">
        <v>5900</v>
      </c>
      <c r="G333" t="inlineStr">
        <is>
          <t>RETAIL &amp; WHOLESALE</t>
        </is>
      </c>
      <c r="H333" t="inlineStr">
        <is>
          <t>RETAIL</t>
        </is>
      </c>
      <c r="I333" t="inlineStr">
        <is>
          <t>RETAIL-MISCELLANEOUS RETAIL</t>
        </is>
      </c>
    </row>
    <row r="334">
      <c r="A334" t="inlineStr">
        <is>
          <t>ARIS WATER SOLUTIONS, INC.</t>
        </is>
      </c>
      <c r="B334" t="inlineStr">
        <is>
          <t>ARIS</t>
        </is>
      </c>
      <c r="C334" t="inlineStr">
        <is>
          <t>ARIS WATER SOLUTIONS, INC.</t>
        </is>
      </c>
      <c r="D334" t="n">
        <v>1389</v>
      </c>
      <c r="F334" t="n">
        <v>5912</v>
      </c>
      <c r="G334" t="inlineStr">
        <is>
          <t>RETAIL &amp; WHOLESALE</t>
        </is>
      </c>
      <c r="H334" t="inlineStr">
        <is>
          <t>RETAIL</t>
        </is>
      </c>
      <c r="I334" t="inlineStr">
        <is>
          <t>RETAIL-DRUG STORES AND PROPRIETARY STORES</t>
        </is>
      </c>
    </row>
    <row r="335">
      <c r="A335" t="inlineStr">
        <is>
          <t>ARISTA NETWORKS, INC.</t>
        </is>
      </c>
      <c r="B335" t="inlineStr">
        <is>
          <t>ANET</t>
        </is>
      </c>
      <c r="C335" t="inlineStr">
        <is>
          <t>ARISTA NETWORKS, INC.</t>
        </is>
      </c>
      <c r="D335" t="n">
        <v>3576</v>
      </c>
      <c r="F335" t="n">
        <v>5940</v>
      </c>
      <c r="G335" t="inlineStr">
        <is>
          <t>RETAIL &amp; WHOLESALE</t>
        </is>
      </c>
      <c r="H335" t="inlineStr">
        <is>
          <t>RETAIL</t>
        </is>
      </c>
      <c r="I335" t="inlineStr">
        <is>
          <t>RETAIL-MISCELLANEOUS SHOPPING GOODS STORES</t>
        </is>
      </c>
    </row>
    <row r="336">
      <c r="A336" t="inlineStr">
        <is>
          <t>ARK RESTAURANTS CORP</t>
        </is>
      </c>
      <c r="B336" t="inlineStr">
        <is>
          <t>ARKR</t>
        </is>
      </c>
      <c r="C336" t="inlineStr">
        <is>
          <t>ARK RESTAURANTS CORP</t>
        </is>
      </c>
      <c r="D336" t="n">
        <v>5812</v>
      </c>
      <c r="F336" t="n">
        <v>5944</v>
      </c>
      <c r="G336" t="inlineStr">
        <is>
          <t>RETAIL &amp; WHOLESALE</t>
        </is>
      </c>
      <c r="H336" t="inlineStr">
        <is>
          <t>RETAIL</t>
        </is>
      </c>
      <c r="I336" t="inlineStr">
        <is>
          <t>RETAIL-JEWELRY STORES</t>
        </is>
      </c>
    </row>
    <row r="337">
      <c r="A337" t="inlineStr">
        <is>
          <t>ARKO CORP.</t>
        </is>
      </c>
      <c r="B337" t="inlineStr">
        <is>
          <t>ARKO</t>
        </is>
      </c>
      <c r="C337" t="inlineStr">
        <is>
          <t>ARKO CORP.</t>
        </is>
      </c>
      <c r="D337" t="n">
        <v>5412</v>
      </c>
      <c r="F337" t="n">
        <v>5945</v>
      </c>
      <c r="G337" t="inlineStr">
        <is>
          <t>RETAIL &amp; WHOLESALE</t>
        </is>
      </c>
      <c r="H337" t="inlineStr">
        <is>
          <t>RETAIL</t>
        </is>
      </c>
      <c r="I337" t="inlineStr">
        <is>
          <t>RETAIL-HOBBY, TOY &amp; GAME SHOPS</t>
        </is>
      </c>
    </row>
    <row r="338">
      <c r="A338" t="inlineStr">
        <is>
          <t>ARLINGTON ASSET INVESTMENT CORP.</t>
        </is>
      </c>
      <c r="B338" t="inlineStr">
        <is>
          <t>AAIC</t>
        </is>
      </c>
      <c r="C338" t="inlineStr">
        <is>
          <t>ARLINGTON ASSET INVESTMENT CORP.</t>
        </is>
      </c>
      <c r="D338" t="n">
        <v>6798</v>
      </c>
      <c r="F338" t="n">
        <v>5960</v>
      </c>
      <c r="G338" t="inlineStr">
        <is>
          <t>RETAIL &amp; WHOLESALE</t>
        </is>
      </c>
      <c r="H338" t="inlineStr">
        <is>
          <t>RETAIL</t>
        </is>
      </c>
      <c r="I338" t="inlineStr">
        <is>
          <t>RETAIL-NONSTORE RETAILERS</t>
        </is>
      </c>
    </row>
    <row r="339">
      <c r="A339" t="inlineStr">
        <is>
          <t>ARLO TECHNOLOGIES, INC.</t>
        </is>
      </c>
      <c r="B339" t="inlineStr">
        <is>
          <t>ARLO</t>
        </is>
      </c>
      <c r="C339" t="inlineStr">
        <is>
          <t>ARLO TECHNOLOGIES, INC.</t>
        </is>
      </c>
      <c r="D339" t="n">
        <v>3651</v>
      </c>
      <c r="F339" t="n">
        <v>5961</v>
      </c>
      <c r="G339" t="inlineStr">
        <is>
          <t>RETAIL &amp; WHOLESALE</t>
        </is>
      </c>
      <c r="H339" t="inlineStr">
        <is>
          <t>RETAIL</t>
        </is>
      </c>
      <c r="I339" t="inlineStr">
        <is>
          <t>RETAIL-CATALOG &amp; MAIL-ORDER HOUSES</t>
        </is>
      </c>
    </row>
    <row r="340">
      <c r="A340" t="inlineStr">
        <is>
          <t>ARMADA HOFFLER PROPERTIES, INC.</t>
        </is>
      </c>
      <c r="B340" t="inlineStr">
        <is>
          <t>AHH</t>
        </is>
      </c>
      <c r="C340" t="inlineStr">
        <is>
          <t>ARMADA HOFFLER PROPERTIES, INC.</t>
        </is>
      </c>
      <c r="D340" t="n">
        <v>6500</v>
      </c>
      <c r="F340" t="n">
        <v>5990</v>
      </c>
      <c r="G340" t="inlineStr">
        <is>
          <t>RETAIL &amp; WHOLESALE</t>
        </is>
      </c>
      <c r="H340" t="inlineStr">
        <is>
          <t>RETAIL</t>
        </is>
      </c>
      <c r="I340" t="inlineStr">
        <is>
          <t>RETAIL-RETAIL STORES, NEC</t>
        </is>
      </c>
    </row>
    <row r="341">
      <c r="A341" t="inlineStr">
        <is>
          <t>ARMOUR RESIDENTIAL REIT, INC.</t>
        </is>
      </c>
      <c r="B341" t="inlineStr">
        <is>
          <t>ARR</t>
        </is>
      </c>
      <c r="C341" t="inlineStr">
        <is>
          <t>ARMOUR RESIDENTIAL REIT, INC.</t>
        </is>
      </c>
      <c r="D341" t="n">
        <v>6798</v>
      </c>
      <c r="F341" t="n">
        <v>6021</v>
      </c>
      <c r="G341" t="inlineStr">
        <is>
          <t>FINANCE</t>
        </is>
      </c>
      <c r="H341" t="inlineStr">
        <is>
          <t>BANKING</t>
        </is>
      </c>
      <c r="I341" t="inlineStr">
        <is>
          <t>NATIONAL COMMERCIAL BANKS</t>
        </is>
      </c>
    </row>
    <row r="342">
      <c r="A342" t="inlineStr">
        <is>
          <t>ARMSTRONG WORLD INDUSTRIES INC</t>
        </is>
      </c>
      <c r="B342" t="inlineStr">
        <is>
          <t>AWI</t>
        </is>
      </c>
      <c r="C342" t="inlineStr">
        <is>
          <t>ARMSTRONG WORLD INDUSTRIES INC</t>
        </is>
      </c>
      <c r="D342" t="n">
        <v>3089</v>
      </c>
      <c r="F342" t="n">
        <v>6022</v>
      </c>
      <c r="G342" t="inlineStr">
        <is>
          <t>FINANCE</t>
        </is>
      </c>
      <c r="H342" t="inlineStr">
        <is>
          <t>BANKING</t>
        </is>
      </c>
      <c r="I342" t="inlineStr">
        <is>
          <t>STATE COMMERCIAL BANKS</t>
        </is>
      </c>
    </row>
    <row r="343">
      <c r="A343" t="inlineStr">
        <is>
          <t>ARRAY TECHNOLOGIES, INC.</t>
        </is>
      </c>
      <c r="B343" t="inlineStr">
        <is>
          <t>ARRY</t>
        </is>
      </c>
      <c r="C343" t="inlineStr">
        <is>
          <t>ARRAY TECHNOLOGIES, INC.</t>
        </is>
      </c>
      <c r="D343" t="n">
        <v>3990</v>
      </c>
      <c r="F343" t="n">
        <v>6029</v>
      </c>
      <c r="G343" t="inlineStr">
        <is>
          <t>FINANCE</t>
        </is>
      </c>
      <c r="H343" t="inlineStr">
        <is>
          <t>BANKING</t>
        </is>
      </c>
      <c r="I343" t="inlineStr">
        <is>
          <t>COMMERCIAL BANKS, NEC</t>
        </is>
      </c>
    </row>
    <row r="344">
      <c r="A344" t="inlineStr">
        <is>
          <t>ARROW ELECTRONICS INC</t>
        </is>
      </c>
      <c r="B344" t="inlineStr">
        <is>
          <t>ARW</t>
        </is>
      </c>
      <c r="C344" t="inlineStr">
        <is>
          <t>ARROW ELECTRONICS INC</t>
        </is>
      </c>
      <c r="D344" t="n">
        <v>5065</v>
      </c>
      <c r="F344" t="n">
        <v>6035</v>
      </c>
      <c r="G344" t="inlineStr">
        <is>
          <t>FINANCE</t>
        </is>
      </c>
      <c r="H344" t="inlineStr">
        <is>
          <t>BANKING</t>
        </is>
      </c>
      <c r="I344" t="inlineStr">
        <is>
          <t>SAVINGS INSTITUTION, FEDERALLY CHARTERED</t>
        </is>
      </c>
    </row>
    <row r="345">
      <c r="A345" t="inlineStr">
        <is>
          <t>ARROW FINANCIAL CORP</t>
        </is>
      </c>
      <c r="B345" t="inlineStr">
        <is>
          <t>AROW</t>
        </is>
      </c>
      <c r="C345" t="inlineStr">
        <is>
          <t>ARROW FINANCIAL CORP</t>
        </is>
      </c>
      <c r="D345" t="n">
        <v>6021</v>
      </c>
      <c r="F345" t="n">
        <v>6036</v>
      </c>
      <c r="G345" t="inlineStr">
        <is>
          <t>FINANCE</t>
        </is>
      </c>
      <c r="H345" t="inlineStr">
        <is>
          <t>BANKING</t>
        </is>
      </c>
      <c r="I345" t="inlineStr">
        <is>
          <t>SAVINGS INSTITUTIONS, NOT FEDERALLY CHARTERED</t>
        </is>
      </c>
    </row>
    <row r="346">
      <c r="A346" t="inlineStr">
        <is>
          <t>ARROWHEAD PHARMACEUTICALS, INC.</t>
        </is>
      </c>
      <c r="B346" t="inlineStr">
        <is>
          <t>ARWR</t>
        </is>
      </c>
      <c r="C346" t="inlineStr">
        <is>
          <t>ARROWHEAD PHARMACEUTICALS, INC.</t>
        </is>
      </c>
      <c r="D346" t="n">
        <v>2834</v>
      </c>
      <c r="F346" t="n">
        <v>6099</v>
      </c>
      <c r="G346" t="inlineStr">
        <is>
          <t>FINANCE</t>
        </is>
      </c>
      <c r="H346" t="inlineStr">
        <is>
          <t>BANKING</t>
        </is>
      </c>
      <c r="I346" t="inlineStr">
        <is>
          <t>FUNCTIONS RELATED TO DEPOSITORY BANKING, NEC</t>
        </is>
      </c>
    </row>
    <row r="347">
      <c r="A347" t="inlineStr">
        <is>
          <t>ARTERIS, INC.</t>
        </is>
      </c>
      <c r="B347" t="inlineStr">
        <is>
          <t>AIP</t>
        </is>
      </c>
      <c r="C347" t="inlineStr">
        <is>
          <t>ARTERIS, INC.</t>
        </is>
      </c>
      <c r="D347" t="n">
        <v>3674</v>
      </c>
      <c r="F347" t="n">
        <v>6111</v>
      </c>
      <c r="G347" t="inlineStr">
        <is>
          <t>FINANCE</t>
        </is>
      </c>
      <c r="H347" t="inlineStr">
        <is>
          <t>BANKING</t>
        </is>
      </c>
      <c r="I347" t="inlineStr">
        <is>
          <t>FEDERAL &amp; FEDERALLY-SPONSORED CREDIT AGENCIES</t>
        </is>
      </c>
    </row>
    <row r="348">
      <c r="A348" t="inlineStr">
        <is>
          <t>ARTESIAN RESOURCES CORP</t>
        </is>
      </c>
      <c r="B348" t="inlineStr">
        <is>
          <t>ARTNA</t>
        </is>
      </c>
      <c r="C348" t="inlineStr">
        <is>
          <t>ARTESIAN RESOURCES CORP</t>
        </is>
      </c>
      <c r="D348" t="n">
        <v>4941</v>
      </c>
      <c r="F348" t="n">
        <v>6141</v>
      </c>
      <c r="G348" t="inlineStr">
        <is>
          <t>FINANCE</t>
        </is>
      </c>
      <c r="H348" t="inlineStr">
        <is>
          <t>BANKING</t>
        </is>
      </c>
      <c r="I348" t="inlineStr">
        <is>
          <t>PERSONAL CREDIT INSTITUTIONS</t>
        </is>
      </c>
    </row>
    <row r="349">
      <c r="A349" t="inlineStr">
        <is>
          <t>ARTHUR J. GALLAGHER &amp; CO.</t>
        </is>
      </c>
      <c r="B349" t="inlineStr">
        <is>
          <t>AJG</t>
        </is>
      </c>
      <c r="C349" t="inlineStr">
        <is>
          <t>ARTHUR J. GALLAGHER &amp; CO.</t>
        </is>
      </c>
      <c r="D349" t="n">
        <v>6411</v>
      </c>
      <c r="F349" t="n">
        <v>6153</v>
      </c>
      <c r="G349" t="inlineStr">
        <is>
          <t>FINANCE</t>
        </is>
      </c>
      <c r="H349" t="inlineStr">
        <is>
          <t>BANKING</t>
        </is>
      </c>
      <c r="I349" t="inlineStr">
        <is>
          <t>SHORT-TERM BUSINESS CREDIT INSTITUTIONS</t>
        </is>
      </c>
    </row>
    <row r="350">
      <c r="A350" t="inlineStr">
        <is>
          <t>ARTISAN PARTNERS ASSET MANAGEMENT INC.</t>
        </is>
      </c>
      <c r="B350" t="inlineStr">
        <is>
          <t>APAM</t>
        </is>
      </c>
      <c r="C350" t="inlineStr">
        <is>
          <t>ARTISAN PARTNERS ASSET MANAGEMENT INC.</t>
        </is>
      </c>
      <c r="D350" t="n">
        <v>6282</v>
      </c>
      <c r="F350" t="n">
        <v>6159</v>
      </c>
      <c r="G350" t="inlineStr">
        <is>
          <t>FINANCE</t>
        </is>
      </c>
      <c r="H350" t="inlineStr">
        <is>
          <t>BANKING</t>
        </is>
      </c>
      <c r="I350" t="inlineStr">
        <is>
          <t>MISCELLANEOUS BUSINESS CREDIT INSTITUTION</t>
        </is>
      </c>
    </row>
    <row r="351">
      <c r="A351" t="inlineStr">
        <is>
          <t>ARTS WAY MANUFACTURING CO INC</t>
        </is>
      </c>
      <c r="B351" t="inlineStr">
        <is>
          <t>ARTW</t>
        </is>
      </c>
      <c r="C351" t="inlineStr">
        <is>
          <t>ARTS WAY MANUFACTURING CO INC</t>
        </is>
      </c>
      <c r="D351" t="n">
        <v>3523</v>
      </c>
      <c r="F351" t="n">
        <v>6162</v>
      </c>
      <c r="G351" t="inlineStr">
        <is>
          <t>FINANCE</t>
        </is>
      </c>
      <c r="H351" t="inlineStr">
        <is>
          <t>BANKING</t>
        </is>
      </c>
      <c r="I351" t="inlineStr">
        <is>
          <t>MORTGAGE BANKERS &amp; LOAN CORRESPONDENTS</t>
        </is>
      </c>
    </row>
    <row r="352">
      <c r="A352" t="inlineStr">
        <is>
          <t>ARVINAS, INC.</t>
        </is>
      </c>
      <c r="B352" t="inlineStr">
        <is>
          <t>ARVN</t>
        </is>
      </c>
      <c r="C352" t="inlineStr">
        <is>
          <t>ARVINAS, INC.</t>
        </is>
      </c>
      <c r="D352" t="n">
        <v>2834</v>
      </c>
      <c r="F352" t="n">
        <v>6163</v>
      </c>
      <c r="G352" t="inlineStr">
        <is>
          <t>FINANCE</t>
        </is>
      </c>
      <c r="H352" t="inlineStr">
        <is>
          <t>BANKING</t>
        </is>
      </c>
      <c r="I352" t="inlineStr">
        <is>
          <t>LOAN BROKERS</t>
        </is>
      </c>
    </row>
    <row r="353">
      <c r="A353" t="inlineStr">
        <is>
          <t>ASANA, INC.</t>
        </is>
      </c>
      <c r="B353" t="inlineStr">
        <is>
          <t>ASAN</t>
        </is>
      </c>
      <c r="C353" t="inlineStr">
        <is>
          <t>ASANA, INC.</t>
        </is>
      </c>
      <c r="D353" t="n">
        <v>7372</v>
      </c>
      <c r="F353" t="n">
        <v>6172</v>
      </c>
      <c r="G353" t="inlineStr">
        <is>
          <t>FINANCE</t>
        </is>
      </c>
      <c r="H353" t="inlineStr">
        <is>
          <t>BANKING</t>
        </is>
      </c>
      <c r="I353" t="inlineStr">
        <is>
          <t>FINANCE LESSORS</t>
        </is>
      </c>
    </row>
    <row r="354">
      <c r="A354" t="inlineStr">
        <is>
          <t>ASBURY AUTOMOTIVE GROUP INC</t>
        </is>
      </c>
      <c r="B354" t="inlineStr">
        <is>
          <t>ABG</t>
        </is>
      </c>
      <c r="C354" t="inlineStr">
        <is>
          <t>ASBURY AUTOMOTIVE GROUP INC</t>
        </is>
      </c>
      <c r="D354" t="n">
        <v>5500</v>
      </c>
      <c r="F354" t="n">
        <v>6189</v>
      </c>
      <c r="G354" t="inlineStr">
        <is>
          <t>FINANCE</t>
        </is>
      </c>
      <c r="H354" t="inlineStr">
        <is>
          <t>ALMOST NOTHING</t>
        </is>
      </c>
      <c r="I354" t="inlineStr">
        <is>
          <t>ASSET-BACKED SECURITIES</t>
        </is>
      </c>
    </row>
    <row r="355">
      <c r="A355" t="inlineStr">
        <is>
          <t>ASCEND WELLNESS HOLDINGS, INC</t>
        </is>
      </c>
      <c r="B355" t="inlineStr">
        <is>
          <t>AAWH</t>
        </is>
      </c>
      <c r="C355" t="inlineStr">
        <is>
          <t>ASCEND WELLNESS HOLDINGS, INC</t>
        </is>
      </c>
      <c r="D355" t="n">
        <v>2833</v>
      </c>
      <c r="F355" t="n">
        <v>6199</v>
      </c>
      <c r="G355" t="inlineStr">
        <is>
          <t>FINANCE</t>
        </is>
      </c>
      <c r="H355" t="inlineStr">
        <is>
          <t>BANKING</t>
        </is>
      </c>
      <c r="I355" t="inlineStr">
        <is>
          <t>FINANCE SERVICES</t>
        </is>
      </c>
    </row>
    <row r="356">
      <c r="A356" t="inlineStr">
        <is>
          <t>ASENSUS SURGICAL, INC.</t>
        </is>
      </c>
      <c r="B356" t="inlineStr">
        <is>
          <t>ASXC</t>
        </is>
      </c>
      <c r="C356" t="inlineStr">
        <is>
          <t>ASENSUS SURGICAL, INC.</t>
        </is>
      </c>
      <c r="D356" t="n">
        <v>3841</v>
      </c>
      <c r="F356" t="n">
        <v>6200</v>
      </c>
      <c r="G356" t="inlineStr">
        <is>
          <t>FINANCE</t>
        </is>
      </c>
      <c r="H356" t="inlineStr">
        <is>
          <t>TRADING</t>
        </is>
      </c>
      <c r="I356" t="inlineStr">
        <is>
          <t>SECURITY &amp; COMMODITY BROKERS, DEALERS, EXCHANGES &amp; SERVICES</t>
        </is>
      </c>
    </row>
    <row r="357">
      <c r="A357" t="inlineStr">
        <is>
          <t>ASGN INC</t>
        </is>
      </c>
      <c r="B357" t="inlineStr">
        <is>
          <t>ASGN</t>
        </is>
      </c>
      <c r="C357" t="inlineStr">
        <is>
          <t>ASGN INC</t>
        </is>
      </c>
      <c r="D357" t="n">
        <v>7363</v>
      </c>
      <c r="F357" t="n">
        <v>6211</v>
      </c>
      <c r="G357" t="inlineStr">
        <is>
          <t>FINANCE</t>
        </is>
      </c>
      <c r="H357" t="inlineStr">
        <is>
          <t>TRADING</t>
        </is>
      </c>
      <c r="I357" t="inlineStr">
        <is>
          <t>SECURITY BROKERS, DEALERS &amp; FLOTATION COMPANIES</t>
        </is>
      </c>
    </row>
    <row r="358">
      <c r="A358" t="inlineStr">
        <is>
          <t>ASHFORD HOSPITALITY TRUST INC</t>
        </is>
      </c>
      <c r="B358" t="inlineStr">
        <is>
          <t>AHT</t>
        </is>
      </c>
      <c r="C358" t="inlineStr">
        <is>
          <t>ASHFORD HOSPITALITY TRUST INC</t>
        </is>
      </c>
      <c r="D358" t="n">
        <v>6798</v>
      </c>
      <c r="F358" t="n">
        <v>6221</v>
      </c>
      <c r="G358" t="inlineStr">
        <is>
          <t>FINANCE</t>
        </is>
      </c>
      <c r="H358" t="inlineStr">
        <is>
          <t>TRADING</t>
        </is>
      </c>
      <c r="I358" t="inlineStr">
        <is>
          <t>COMMODITY CONTRACTS BROKERS &amp; DEALERS</t>
        </is>
      </c>
    </row>
    <row r="359">
      <c r="A359" t="inlineStr">
        <is>
          <t>ASHFORD INC.</t>
        </is>
      </c>
      <c r="B359" t="inlineStr">
        <is>
          <t>AINC</t>
        </is>
      </c>
      <c r="C359" t="inlineStr">
        <is>
          <t>ASHFORD INC.</t>
        </is>
      </c>
      <c r="D359" t="n">
        <v>8742</v>
      </c>
      <c r="F359" t="n">
        <v>6282</v>
      </c>
      <c r="G359" t="inlineStr">
        <is>
          <t>FINANCE</t>
        </is>
      </c>
      <c r="H359" t="inlineStr">
        <is>
          <t>TRADING</t>
        </is>
      </c>
      <c r="I359" t="inlineStr">
        <is>
          <t>INVESTMENT ADVICE</t>
        </is>
      </c>
    </row>
    <row r="360">
      <c r="A360" t="inlineStr">
        <is>
          <t>ASHLAND GLOBAL HOLDINGS INC</t>
        </is>
      </c>
      <c r="B360" t="inlineStr">
        <is>
          <t>ASH</t>
        </is>
      </c>
      <c r="C360" t="inlineStr">
        <is>
          <t>ASHLAND GLOBAL HOLDINGS INC</t>
        </is>
      </c>
      <c r="D360" t="n">
        <v>5160</v>
      </c>
      <c r="F360" t="n">
        <v>6311</v>
      </c>
      <c r="G360" t="inlineStr">
        <is>
          <t>FINANCE</t>
        </is>
      </c>
      <c r="H360" t="inlineStr">
        <is>
          <t>INSURANCE</t>
        </is>
      </c>
      <c r="I360" t="inlineStr">
        <is>
          <t>LIFE INSURANCE</t>
        </is>
      </c>
    </row>
    <row r="361">
      <c r="A361" t="inlineStr">
        <is>
          <t>ASPEN AEROGELS INC</t>
        </is>
      </c>
      <c r="B361" t="inlineStr">
        <is>
          <t>ASPN</t>
        </is>
      </c>
      <c r="C361" t="inlineStr">
        <is>
          <t>ASPEN AEROGELS INC</t>
        </is>
      </c>
      <c r="D361" t="n">
        <v>5030</v>
      </c>
      <c r="F361" t="n">
        <v>6321</v>
      </c>
      <c r="G361" t="inlineStr">
        <is>
          <t>FINANCE</t>
        </is>
      </c>
      <c r="H361" t="inlineStr">
        <is>
          <t>INSURANCE</t>
        </is>
      </c>
      <c r="I361" t="inlineStr">
        <is>
          <t>ACCIDENT &amp; HEALTH INSURANCE</t>
        </is>
      </c>
    </row>
    <row r="362">
      <c r="A362" t="inlineStr">
        <is>
          <t>ASPEN GROUP, INC.</t>
        </is>
      </c>
      <c r="B362" t="inlineStr">
        <is>
          <t>ASPU</t>
        </is>
      </c>
      <c r="C362" t="inlineStr">
        <is>
          <t>ASPEN GROUP, INC.</t>
        </is>
      </c>
      <c r="D362" t="n">
        <v>8200</v>
      </c>
      <c r="F362" t="n">
        <v>6324</v>
      </c>
      <c r="G362" t="inlineStr">
        <is>
          <t>FINANCE</t>
        </is>
      </c>
      <c r="H362" t="inlineStr">
        <is>
          <t>INSURANCE</t>
        </is>
      </c>
      <c r="I362" t="inlineStr">
        <is>
          <t>HOSPITAL &amp; MEDICAL SERVICE PLANS</t>
        </is>
      </c>
    </row>
    <row r="363">
      <c r="A363" t="inlineStr">
        <is>
          <t>ASPEN INSURANCE HOLDINGS LTD</t>
        </is>
      </c>
      <c r="B363" t="inlineStr">
        <is>
          <t>AHL-PC</t>
        </is>
      </c>
      <c r="C363" t="inlineStr">
        <is>
          <t>ASPEN INSURANCE HOLDINGS LTD</t>
        </is>
      </c>
      <c r="D363" t="n">
        <v>6331</v>
      </c>
      <c r="F363" t="n">
        <v>6331</v>
      </c>
      <c r="G363" t="inlineStr">
        <is>
          <t>FINANCE</t>
        </is>
      </c>
      <c r="H363" t="inlineStr">
        <is>
          <t>INSURANCE</t>
        </is>
      </c>
      <c r="I363" t="inlineStr">
        <is>
          <t>FIRE, MARINE &amp; CASUALTY INSURANCE</t>
        </is>
      </c>
    </row>
    <row r="364">
      <c r="A364" t="inlineStr">
        <is>
          <t>ASPIRA WOMEN'S HEALTH INC.</t>
        </is>
      </c>
      <c r="B364" t="inlineStr">
        <is>
          <t>AWH</t>
        </is>
      </c>
      <c r="C364" t="inlineStr">
        <is>
          <t>ASPIRA WOMEN'S HEALTH INC.</t>
        </is>
      </c>
      <c r="D364" t="n">
        <v>2835</v>
      </c>
      <c r="F364" t="n">
        <v>6351</v>
      </c>
      <c r="G364" t="inlineStr">
        <is>
          <t>FINANCE</t>
        </is>
      </c>
      <c r="H364" t="inlineStr">
        <is>
          <t>INSURANCE</t>
        </is>
      </c>
      <c r="I364" t="inlineStr">
        <is>
          <t>SURETY INSURANCE</t>
        </is>
      </c>
    </row>
    <row r="365">
      <c r="A365" t="inlineStr">
        <is>
          <t>ASSEMBLY BIOSCIENCES, INC.</t>
        </is>
      </c>
      <c r="B365" t="inlineStr">
        <is>
          <t>ASMB</t>
        </is>
      </c>
      <c r="C365" t="inlineStr">
        <is>
          <t>ASSEMBLY BIOSCIENCES, INC.</t>
        </is>
      </c>
      <c r="D365" t="n">
        <v>2834</v>
      </c>
      <c r="F365" t="n">
        <v>6361</v>
      </c>
      <c r="G365" t="inlineStr">
        <is>
          <t>FINANCE</t>
        </is>
      </c>
      <c r="H365" t="inlineStr">
        <is>
          <t>INSURANCE</t>
        </is>
      </c>
      <c r="I365" t="inlineStr">
        <is>
          <t>TITLE INSURANCE</t>
        </is>
      </c>
    </row>
    <row r="366">
      <c r="A366" t="inlineStr">
        <is>
          <t>ASSERTIO HOLDINGS, INC.</t>
        </is>
      </c>
      <c r="B366" t="inlineStr">
        <is>
          <t>ASRT</t>
        </is>
      </c>
      <c r="C366" t="inlineStr">
        <is>
          <t>ASSERTIO HOLDINGS, INC.</t>
        </is>
      </c>
      <c r="D366" t="n">
        <v>2834</v>
      </c>
      <c r="F366" t="n">
        <v>6399</v>
      </c>
      <c r="G366" t="inlineStr">
        <is>
          <t>FINANCE</t>
        </is>
      </c>
      <c r="H366" t="inlineStr">
        <is>
          <t>INSURANCE</t>
        </is>
      </c>
      <c r="I366" t="inlineStr">
        <is>
          <t>INSURANCE CARRIERS, NEC</t>
        </is>
      </c>
    </row>
    <row r="367">
      <c r="A367" t="inlineStr">
        <is>
          <t>ASSETMARK FINANCIAL HOLDINGS, INC.</t>
        </is>
      </c>
      <c r="B367" t="inlineStr">
        <is>
          <t>AMK</t>
        </is>
      </c>
      <c r="C367" t="inlineStr">
        <is>
          <t>ASSETMARK FINANCIAL HOLDINGS, INC.</t>
        </is>
      </c>
      <c r="D367" t="n">
        <v>6282</v>
      </c>
      <c r="F367" t="n">
        <v>6411</v>
      </c>
      <c r="G367" t="inlineStr">
        <is>
          <t>FINANCE</t>
        </is>
      </c>
      <c r="H367" t="inlineStr">
        <is>
          <t>INSURANCE</t>
        </is>
      </c>
      <c r="I367" t="inlineStr">
        <is>
          <t>INSURANCE AGENTS, BROKERS &amp; SERVICE</t>
        </is>
      </c>
    </row>
    <row r="368">
      <c r="A368" t="inlineStr">
        <is>
          <t>ASSOCIATED BANC-CORP</t>
        </is>
      </c>
      <c r="B368" t="inlineStr">
        <is>
          <t>ASB</t>
        </is>
      </c>
      <c r="C368" t="inlineStr">
        <is>
          <t>ASSOCIATED BANC-CORP</t>
        </is>
      </c>
      <c r="D368" t="n">
        <v>6022</v>
      </c>
      <c r="F368" t="n">
        <v>6500</v>
      </c>
      <c r="G368" t="inlineStr">
        <is>
          <t>FINANCE</t>
        </is>
      </c>
      <c r="H368" t="inlineStr">
        <is>
          <t>REAL ESTATE</t>
        </is>
      </c>
      <c r="I368" t="inlineStr">
        <is>
          <t>REAL ESTATE</t>
        </is>
      </c>
    </row>
    <row r="369">
      <c r="A369" t="inlineStr">
        <is>
          <t>ASSOCIATED CAPITAL GROUP, INC.</t>
        </is>
      </c>
      <c r="B369" t="inlineStr">
        <is>
          <t>AC</t>
        </is>
      </c>
      <c r="C369" t="inlineStr">
        <is>
          <t>ASSOCIATED CAPITAL GROUP, INC.</t>
        </is>
      </c>
      <c r="D369" t="n">
        <v>6211</v>
      </c>
      <c r="F369" t="n">
        <v>6510</v>
      </c>
      <c r="G369" t="inlineStr">
        <is>
          <t>FINANCE</t>
        </is>
      </c>
      <c r="H369" t="inlineStr">
        <is>
          <t>REAL ESTATE</t>
        </is>
      </c>
      <c r="I369" t="inlineStr">
        <is>
          <t>REAL ESTATE OPERATORS (NO DEVELOPERS) &amp; LESSORS</t>
        </is>
      </c>
    </row>
    <row r="370">
      <c r="A370" t="inlineStr">
        <is>
          <t>ASSURANT, INC.</t>
        </is>
      </c>
      <c r="B370" t="inlineStr">
        <is>
          <t>AIZ</t>
        </is>
      </c>
      <c r="C370" t="inlineStr">
        <is>
          <t>ASSURANT, INC.</t>
        </is>
      </c>
      <c r="D370" t="n">
        <v>6399</v>
      </c>
      <c r="F370" t="n">
        <v>6512</v>
      </c>
      <c r="G370" t="inlineStr">
        <is>
          <t>FINANCE</t>
        </is>
      </c>
      <c r="H370" t="inlineStr">
        <is>
          <t>REAL ESTATE</t>
        </is>
      </c>
      <c r="I370" t="inlineStr">
        <is>
          <t>OPERATORS OF NONRESIDENTIAL BUILDINGS</t>
        </is>
      </c>
    </row>
    <row r="371">
      <c r="A371" t="inlineStr">
        <is>
          <t>ASSURE HOLDINGS CORP.</t>
        </is>
      </c>
      <c r="B371" t="inlineStr">
        <is>
          <t>IONM</t>
        </is>
      </c>
      <c r="C371" t="inlineStr">
        <is>
          <t>ASSURE HOLDINGS CORP.</t>
        </is>
      </c>
      <c r="D371" t="n">
        <v>3841</v>
      </c>
      <c r="F371" t="n">
        <v>6513</v>
      </c>
      <c r="G371" t="inlineStr">
        <is>
          <t>FINANCE</t>
        </is>
      </c>
      <c r="H371" t="inlineStr">
        <is>
          <t>REAL ESTATE</t>
        </is>
      </c>
      <c r="I371" t="inlineStr">
        <is>
          <t>OPERATORS OF APARTMENT BUILDINGS</t>
        </is>
      </c>
    </row>
    <row r="372">
      <c r="A372" t="inlineStr">
        <is>
          <t>ASSURED GUARANTY LTD</t>
        </is>
      </c>
      <c r="B372" t="inlineStr">
        <is>
          <t>AGO</t>
        </is>
      </c>
      <c r="C372" t="inlineStr">
        <is>
          <t>ASSURED GUARANTY LTD</t>
        </is>
      </c>
      <c r="D372" t="n">
        <v>6351</v>
      </c>
      <c r="F372" t="n">
        <v>6519</v>
      </c>
      <c r="G372" t="inlineStr">
        <is>
          <t>FINANCE</t>
        </is>
      </c>
      <c r="H372" t="inlineStr">
        <is>
          <t>REAL ESTATE</t>
        </is>
      </c>
      <c r="I372" t="inlineStr">
        <is>
          <t>LESSORS OF REAL PROPERTY, NEC</t>
        </is>
      </c>
    </row>
    <row r="373">
      <c r="A373" t="inlineStr">
        <is>
          <t>AST SPACEMOBILE, INC.</t>
        </is>
      </c>
      <c r="B373" t="inlineStr">
        <is>
          <t>ASTS</t>
        </is>
      </c>
      <c r="C373" t="inlineStr">
        <is>
          <t>AST SPACEMOBILE, INC.</t>
        </is>
      </c>
      <c r="D373" t="n">
        <v>4899</v>
      </c>
      <c r="F373" t="n">
        <v>6531</v>
      </c>
      <c r="G373" t="inlineStr">
        <is>
          <t>FINANCE</t>
        </is>
      </c>
      <c r="H373" t="inlineStr">
        <is>
          <t>REAL ESTATE</t>
        </is>
      </c>
      <c r="I373" t="inlineStr">
        <is>
          <t>REAL ESTATE AGENTS &amp; MANAGERS (FOR OTHERS)</t>
        </is>
      </c>
    </row>
    <row r="374">
      <c r="A374" t="inlineStr">
        <is>
          <t>ASTEC INDUSTRIES INC</t>
        </is>
      </c>
      <c r="B374" t="inlineStr">
        <is>
          <t>ASTE</t>
        </is>
      </c>
      <c r="C374" t="inlineStr">
        <is>
          <t>ASTEC INDUSTRIES INC</t>
        </is>
      </c>
      <c r="D374" t="n">
        <v>3531</v>
      </c>
      <c r="F374" t="n">
        <v>6532</v>
      </c>
      <c r="G374" t="inlineStr">
        <is>
          <t>FINANCE</t>
        </is>
      </c>
      <c r="H374" t="inlineStr">
        <is>
          <t>REAL ESTATE</t>
        </is>
      </c>
      <c r="I374" t="inlineStr">
        <is>
          <t>REAL ESTATE DEALERS (FOR THEIR OWN ACCOUNT)</t>
        </is>
      </c>
    </row>
    <row r="375">
      <c r="A375" t="inlineStr">
        <is>
          <t>ASTRONICS CORP</t>
        </is>
      </c>
      <c r="B375" t="inlineStr">
        <is>
          <t>ATRO</t>
        </is>
      </c>
      <c r="C375" t="inlineStr">
        <is>
          <t>ASTRONICS CORP</t>
        </is>
      </c>
      <c r="D375" t="n">
        <v>3728</v>
      </c>
      <c r="F375" t="n">
        <v>6552</v>
      </c>
      <c r="G375" t="inlineStr">
        <is>
          <t>FINANCE</t>
        </is>
      </c>
      <c r="H375" t="inlineStr">
        <is>
          <t>REAL ESTATE</t>
        </is>
      </c>
      <c r="I375" t="inlineStr">
        <is>
          <t>LAND SUBDIVIDERS &amp; DEVELOPERS (NO CEMETERIES)</t>
        </is>
      </c>
    </row>
    <row r="376">
      <c r="A376" t="inlineStr">
        <is>
          <t>ASTRONOVA, INC.</t>
        </is>
      </c>
      <c r="B376" t="inlineStr">
        <is>
          <t>ALOT</t>
        </is>
      </c>
      <c r="C376" t="inlineStr">
        <is>
          <t>ASTRONOVA, INC.</t>
        </is>
      </c>
      <c r="D376" t="n">
        <v>3577</v>
      </c>
      <c r="F376" t="n">
        <v>6770</v>
      </c>
      <c r="G376" t="inlineStr">
        <is>
          <t>FINANCE</t>
        </is>
      </c>
      <c r="H376" t="inlineStr">
        <is>
          <t>TRADING</t>
        </is>
      </c>
      <c r="I376" t="inlineStr">
        <is>
          <t>BLANK CHECKS</t>
        </is>
      </c>
    </row>
    <row r="377">
      <c r="A377" t="inlineStr">
        <is>
          <t>ASURE SOFTWARE INC</t>
        </is>
      </c>
      <c r="B377" t="inlineStr">
        <is>
          <t>ASUR</t>
        </is>
      </c>
      <c r="C377" t="inlineStr">
        <is>
          <t>ASURE SOFTWARE INC</t>
        </is>
      </c>
      <c r="D377" t="n">
        <v>7373</v>
      </c>
      <c r="F377" t="n">
        <v>6792</v>
      </c>
      <c r="G377" t="inlineStr">
        <is>
          <t>FINANCE</t>
        </is>
      </c>
      <c r="H377" t="inlineStr">
        <is>
          <t>TRADING</t>
        </is>
      </c>
      <c r="I377" t="inlineStr">
        <is>
          <t>OIL ROYALTY TRADERS</t>
        </is>
      </c>
    </row>
    <row r="378">
      <c r="A378" t="inlineStr">
        <is>
          <t>AT&amp;T INC.</t>
        </is>
      </c>
      <c r="B378" t="inlineStr">
        <is>
          <t>T</t>
        </is>
      </c>
      <c r="C378" t="inlineStr">
        <is>
          <t>AT&amp;T INC.</t>
        </is>
      </c>
      <c r="D378" t="n">
        <v>4813</v>
      </c>
      <c r="F378" t="n">
        <v>6794</v>
      </c>
      <c r="G378" t="inlineStr">
        <is>
          <t>FINANCE</t>
        </is>
      </c>
      <c r="H378" t="inlineStr">
        <is>
          <t>TRADING</t>
        </is>
      </c>
      <c r="I378" t="inlineStr">
        <is>
          <t>PATENT OWNERS &amp; LESSORS</t>
        </is>
      </c>
    </row>
    <row r="379">
      <c r="A379" t="inlineStr">
        <is>
          <t>ATA CREATIVITY GLOBAL</t>
        </is>
      </c>
      <c r="B379" t="inlineStr">
        <is>
          <t>AACG</t>
        </is>
      </c>
      <c r="C379" t="inlineStr">
        <is>
          <t>ATA CREATIVITY GLOBAL</t>
        </is>
      </c>
      <c r="D379" t="n">
        <v>8200</v>
      </c>
      <c r="F379" t="n">
        <v>6795</v>
      </c>
      <c r="G379" t="inlineStr">
        <is>
          <t>FINANCE</t>
        </is>
      </c>
      <c r="H379" t="inlineStr">
        <is>
          <t>TRADING</t>
        </is>
      </c>
      <c r="I379" t="inlineStr">
        <is>
          <t>MINERAL ROYALTY TRADERS</t>
        </is>
      </c>
    </row>
    <row r="380">
      <c r="A380" t="inlineStr">
        <is>
          <t>ATEA PHARMACEUTICALS, INC.</t>
        </is>
      </c>
      <c r="B380" t="inlineStr">
        <is>
          <t>AVIR</t>
        </is>
      </c>
      <c r="C380" t="inlineStr">
        <is>
          <t>ATEA PHARMACEUTICALS, INC.</t>
        </is>
      </c>
      <c r="D380" t="n">
        <v>2834</v>
      </c>
      <c r="F380" t="n">
        <v>6798</v>
      </c>
      <c r="G380" t="inlineStr">
        <is>
          <t>FINANCE</t>
        </is>
      </c>
      <c r="H380" t="inlineStr">
        <is>
          <t>TRADING</t>
        </is>
      </c>
      <c r="I380" t="inlineStr">
        <is>
          <t>REAL ESTATE INVESTMENT TRUSTS</t>
        </is>
      </c>
    </row>
    <row r="381">
      <c r="A381" t="inlineStr">
        <is>
          <t>ATHENEX, INC.</t>
        </is>
      </c>
      <c r="B381" t="inlineStr">
        <is>
          <t>ATNX</t>
        </is>
      </c>
      <c r="C381" t="inlineStr">
        <is>
          <t>ATHENEX, INC.</t>
        </is>
      </c>
      <c r="D381" t="n">
        <v>2834</v>
      </c>
      <c r="F381" t="n">
        <v>6799</v>
      </c>
      <c r="G381" t="inlineStr">
        <is>
          <t>FINANCE</t>
        </is>
      </c>
      <c r="H381" t="inlineStr">
        <is>
          <t>TRADING</t>
        </is>
      </c>
      <c r="I381" t="inlineStr">
        <is>
          <t>INVESTORS, NEC</t>
        </is>
      </c>
    </row>
    <row r="382">
      <c r="A382" t="inlineStr">
        <is>
          <t>ATHERSYS, INC / NEW</t>
        </is>
      </c>
      <c r="B382" t="inlineStr">
        <is>
          <t>ATHX</t>
        </is>
      </c>
      <c r="C382" t="inlineStr">
        <is>
          <t>ATHERSYS, INC / NEW</t>
        </is>
      </c>
      <c r="D382" t="n">
        <v>2834</v>
      </c>
      <c r="F382" t="n">
        <v>7000</v>
      </c>
      <c r="G382" t="inlineStr">
        <is>
          <t>FINANCE</t>
        </is>
      </c>
      <c r="H382" t="inlineStr">
        <is>
          <t>RESTAURANTS, HOTELS, MOTELS</t>
        </is>
      </c>
      <c r="I382" t="inlineStr">
        <is>
          <t>HOTELS, ROOMING HOUSES, CAMPS &amp; OTHER LODGING PLACES</t>
        </is>
      </c>
    </row>
    <row r="383">
      <c r="A383" t="inlineStr">
        <is>
          <t>ATI PHYSICAL THERAPY, INC.</t>
        </is>
      </c>
      <c r="B383" t="inlineStr">
        <is>
          <t>ATIP</t>
        </is>
      </c>
      <c r="C383" t="inlineStr">
        <is>
          <t>ATI PHYSICAL THERAPY, INC.</t>
        </is>
      </c>
      <c r="D383" t="n">
        <v>8050</v>
      </c>
      <c r="F383" t="n">
        <v>7011</v>
      </c>
      <c r="G383" t="inlineStr">
        <is>
          <t>FINANCE</t>
        </is>
      </c>
      <c r="H383" t="inlineStr">
        <is>
          <t>RESTAURANTS, HOTELS, MOTELS</t>
        </is>
      </c>
      <c r="I383" t="inlineStr">
        <is>
          <t>HOTELS &amp; MOTELS</t>
        </is>
      </c>
    </row>
    <row r="384">
      <c r="A384" t="inlineStr">
        <is>
          <t>ATIF HOLDINGS LTD</t>
        </is>
      </c>
      <c r="B384" t="inlineStr">
        <is>
          <t>ATIF</t>
        </is>
      </c>
      <c r="C384" t="inlineStr">
        <is>
          <t>ATIF HOLDINGS LTD</t>
        </is>
      </c>
      <c r="D384" t="n">
        <v>8742</v>
      </c>
      <c r="F384" t="n">
        <v>7200</v>
      </c>
      <c r="G384" t="inlineStr">
        <is>
          <t>RETAIL &amp; WHOLESALE</t>
        </is>
      </c>
      <c r="H384" t="inlineStr">
        <is>
          <t>PERSONAL SERVICES</t>
        </is>
      </c>
      <c r="I384" t="inlineStr">
        <is>
          <t>SERVICES-PERSONAL SERVICES</t>
        </is>
      </c>
    </row>
    <row r="385">
      <c r="A385" t="inlineStr">
        <is>
          <t>ATKORE INC.</t>
        </is>
      </c>
      <c r="B385" t="inlineStr">
        <is>
          <t>ATKR</t>
        </is>
      </c>
      <c r="C385" t="inlineStr">
        <is>
          <t>ATKORE INC.</t>
        </is>
      </c>
      <c r="D385" t="n">
        <v>3690</v>
      </c>
      <c r="F385" t="n">
        <v>7310</v>
      </c>
      <c r="G385" t="inlineStr">
        <is>
          <t>OTHER</t>
        </is>
      </c>
      <c r="H385" t="inlineStr">
        <is>
          <t>BUSINESS SERVICES</t>
        </is>
      </c>
      <c r="I385" t="inlineStr">
        <is>
          <t>SERVICES-ADVERTISING</t>
        </is>
      </c>
    </row>
    <row r="386">
      <c r="A386" t="inlineStr">
        <is>
          <t>ATLANTIC AMERICAN CORP</t>
        </is>
      </c>
      <c r="B386" t="inlineStr">
        <is>
          <t>AAME</t>
        </is>
      </c>
      <c r="C386" t="inlineStr">
        <is>
          <t>ATLANTIC AMERICAN CORP</t>
        </is>
      </c>
      <c r="D386" t="n">
        <v>6311</v>
      </c>
      <c r="F386" t="n">
        <v>7311</v>
      </c>
      <c r="G386" t="inlineStr">
        <is>
          <t>OTHER</t>
        </is>
      </c>
      <c r="H386" t="inlineStr">
        <is>
          <t>BUSINESS SERVICES</t>
        </is>
      </c>
      <c r="I386" t="inlineStr">
        <is>
          <t>SERVICES-ADVERTISING AGENCIES</t>
        </is>
      </c>
    </row>
    <row r="387">
      <c r="A387" t="inlineStr">
        <is>
          <t>ATLANTIC UNION BANKSHARES CORP</t>
        </is>
      </c>
      <c r="B387" t="inlineStr">
        <is>
          <t>AUB</t>
        </is>
      </c>
      <c r="C387" t="inlineStr">
        <is>
          <t>ATLANTIC UNION BANKSHARES CORP</t>
        </is>
      </c>
      <c r="D387" t="n">
        <v>6022</v>
      </c>
      <c r="F387" t="n">
        <v>7320</v>
      </c>
      <c r="G387" t="inlineStr">
        <is>
          <t>OTHER</t>
        </is>
      </c>
      <c r="H387" t="inlineStr">
        <is>
          <t>BUSINESS SERVICES</t>
        </is>
      </c>
      <c r="I387" t="inlineStr">
        <is>
          <t>SERVICES-CONSUMER CREDIT REPORTING, COLLECTION AGENCIES</t>
        </is>
      </c>
    </row>
    <row r="388">
      <c r="A388" t="inlineStr">
        <is>
          <t>ATLANTICUS HOLDINGS CORP</t>
        </is>
      </c>
      <c r="B388" t="inlineStr">
        <is>
          <t>ATLC</t>
        </is>
      </c>
      <c r="C388" t="inlineStr">
        <is>
          <t>ATLANTICUS HOLDINGS CORP</t>
        </is>
      </c>
      <c r="D388" t="n">
        <v>6141</v>
      </c>
      <c r="F388" t="n">
        <v>7330</v>
      </c>
      <c r="G388" t="inlineStr">
        <is>
          <t>OTHER</t>
        </is>
      </c>
      <c r="H388" t="inlineStr">
        <is>
          <t>BUSINESS SERVICES</t>
        </is>
      </c>
      <c r="I388" t="inlineStr">
        <is>
          <t>SERVICES-MAILING, REPRODUCTION, COMMERCIAL ART &amp; PHOTOGRAPHY</t>
        </is>
      </c>
    </row>
    <row r="389">
      <c r="A389" t="inlineStr">
        <is>
          <t>ATLAS AIR WORLDWIDE HOLDINGS INC</t>
        </is>
      </c>
      <c r="B389" t="inlineStr">
        <is>
          <t>AAWW</t>
        </is>
      </c>
      <c r="C389" t="inlineStr">
        <is>
          <t>ATLAS AIR WORLDWIDE HOLDINGS INC</t>
        </is>
      </c>
      <c r="D389" t="n">
        <v>4522</v>
      </c>
      <c r="F389" t="n">
        <v>7331</v>
      </c>
      <c r="G389" t="inlineStr">
        <is>
          <t>OTHER</t>
        </is>
      </c>
      <c r="H389" t="inlineStr">
        <is>
          <t>BUSINESS SERVICES</t>
        </is>
      </c>
      <c r="I389" t="inlineStr">
        <is>
          <t>SERVICES-DIRECT MAIL ADVERTISING SERVICES</t>
        </is>
      </c>
    </row>
    <row r="390">
      <c r="A390" t="inlineStr">
        <is>
          <t>ATLAS CORP.</t>
        </is>
      </c>
      <c r="B390" t="inlineStr">
        <is>
          <t>ATCO</t>
        </is>
      </c>
      <c r="C390" t="inlineStr">
        <is>
          <t>ATLAS CORP.</t>
        </is>
      </c>
      <c r="D390" t="n">
        <v>4412</v>
      </c>
      <c r="F390" t="n">
        <v>7340</v>
      </c>
      <c r="G390" t="inlineStr">
        <is>
          <t>OTHER</t>
        </is>
      </c>
      <c r="H390" t="inlineStr">
        <is>
          <t>BUSINESS SERVICES</t>
        </is>
      </c>
      <c r="I390" t="inlineStr">
        <is>
          <t>SERVICES-TO DWELLINGS &amp; OTHER BUILDINGS</t>
        </is>
      </c>
    </row>
    <row r="391">
      <c r="A391" t="inlineStr">
        <is>
          <t>ATLAS TECHNICAL CONSULTANTS, INC.</t>
        </is>
      </c>
      <c r="B391" t="inlineStr">
        <is>
          <t>ATCX</t>
        </is>
      </c>
      <c r="C391" t="inlineStr">
        <is>
          <t>ATLAS TECHNICAL CONSULTANTS, INC.</t>
        </is>
      </c>
      <c r="D391" t="n">
        <v>8742</v>
      </c>
      <c r="F391" t="n">
        <v>7350</v>
      </c>
      <c r="G391" t="inlineStr">
        <is>
          <t>OTHER</t>
        </is>
      </c>
      <c r="H391" t="inlineStr">
        <is>
          <t>BUSINESS SERVICES</t>
        </is>
      </c>
      <c r="I391" t="inlineStr">
        <is>
          <t>SERVICES-MISCELLANEOUS EQUIPMENT RENTAL &amp; LEASING</t>
        </is>
      </c>
    </row>
    <row r="392">
      <c r="A392" t="inlineStr">
        <is>
          <t>ATMOS ENERGY CORP</t>
        </is>
      </c>
      <c r="B392" t="inlineStr">
        <is>
          <t>ATO</t>
        </is>
      </c>
      <c r="C392" t="inlineStr">
        <is>
          <t>ATMOS ENERGY CORP</t>
        </is>
      </c>
      <c r="D392" t="n">
        <v>4924</v>
      </c>
      <c r="F392" t="n">
        <v>7359</v>
      </c>
      <c r="G392" t="inlineStr">
        <is>
          <t>OTHER</t>
        </is>
      </c>
      <c r="H392" t="inlineStr">
        <is>
          <t>BUSINESS SERVICES</t>
        </is>
      </c>
      <c r="I392" t="inlineStr">
        <is>
          <t>SERVICES-EQUIPMENT RENTAL &amp; LEASING, NEC</t>
        </is>
      </c>
    </row>
    <row r="393">
      <c r="A393" t="inlineStr">
        <is>
          <t>ATN INTERNATIONAL, INC.</t>
        </is>
      </c>
      <c r="B393" t="inlineStr">
        <is>
          <t>ATNI</t>
        </is>
      </c>
      <c r="C393" t="inlineStr">
        <is>
          <t>ATN INTERNATIONAL, INC.</t>
        </is>
      </c>
      <c r="D393" t="n">
        <v>4813</v>
      </c>
      <c r="F393" t="n">
        <v>7361</v>
      </c>
      <c r="G393" t="inlineStr">
        <is>
          <t>OTHER</t>
        </is>
      </c>
      <c r="H393" t="inlineStr">
        <is>
          <t>BUSINESS SERVICES</t>
        </is>
      </c>
      <c r="I393" t="inlineStr">
        <is>
          <t>SERVICES-EMPLOYMENT AGENCIES</t>
        </is>
      </c>
    </row>
    <row r="394">
      <c r="A394" t="inlineStr">
        <is>
          <t>ATOMERA INC</t>
        </is>
      </c>
      <c r="B394" t="inlineStr">
        <is>
          <t>ATOM</t>
        </is>
      </c>
      <c r="C394" t="inlineStr">
        <is>
          <t>ATOMERA INC</t>
        </is>
      </c>
      <c r="D394" t="n">
        <v>3674</v>
      </c>
      <c r="F394" t="n">
        <v>7363</v>
      </c>
      <c r="G394" t="inlineStr">
        <is>
          <t>OTHER</t>
        </is>
      </c>
      <c r="H394" t="inlineStr">
        <is>
          <t>BUSINESS SERVICES</t>
        </is>
      </c>
      <c r="I394" t="inlineStr">
        <is>
          <t>SERVICES-HELP SUPPLY SERVICES</t>
        </is>
      </c>
    </row>
    <row r="395">
      <c r="A395" t="inlineStr">
        <is>
          <t>ATRICURE, INC.</t>
        </is>
      </c>
      <c r="B395" t="inlineStr">
        <is>
          <t>ATRC</t>
        </is>
      </c>
      <c r="C395" t="inlineStr">
        <is>
          <t>ATRICURE, INC.</t>
        </is>
      </c>
      <c r="D395" t="n">
        <v>3841</v>
      </c>
      <c r="F395" t="n">
        <v>7370</v>
      </c>
      <c r="G395" t="inlineStr">
        <is>
          <t>TECHNOLOGY</t>
        </is>
      </c>
      <c r="H395" t="inlineStr">
        <is>
          <t>COMPUTER SOFTWARE</t>
        </is>
      </c>
      <c r="I395" t="inlineStr">
        <is>
          <t>SERVICES-COMPUTER PROGRAMMING, DATA PROCESSING, ETC.</t>
        </is>
      </c>
    </row>
    <row r="396">
      <c r="A396" t="inlineStr">
        <is>
          <t>ATRION CORP</t>
        </is>
      </c>
      <c r="B396" t="inlineStr">
        <is>
          <t>ATRI</t>
        </is>
      </c>
      <c r="C396" t="inlineStr">
        <is>
          <t>ATRION CORP</t>
        </is>
      </c>
      <c r="D396" t="n">
        <v>3841</v>
      </c>
      <c r="F396" t="n">
        <v>7371</v>
      </c>
      <c r="G396" t="inlineStr">
        <is>
          <t>TECHNOLOGY</t>
        </is>
      </c>
      <c r="H396" t="inlineStr">
        <is>
          <t>COMPUTER SOFTWARE</t>
        </is>
      </c>
      <c r="I396" t="inlineStr">
        <is>
          <t>SERVICES-COMPUTER PROGRAMMING SERVICES</t>
        </is>
      </c>
    </row>
    <row r="397">
      <c r="A397" t="inlineStr">
        <is>
          <t>ATYR PHARMA INC</t>
        </is>
      </c>
      <c r="B397" t="inlineStr">
        <is>
          <t>LIFE</t>
        </is>
      </c>
      <c r="C397" t="inlineStr">
        <is>
          <t>ATYR PHARMA INC</t>
        </is>
      </c>
      <c r="D397" t="n">
        <v>2836</v>
      </c>
      <c r="F397" t="n">
        <v>7372</v>
      </c>
      <c r="G397" t="inlineStr">
        <is>
          <t>TECHNOLOGY</t>
        </is>
      </c>
      <c r="H397" t="inlineStr">
        <is>
          <t>COMPUTER SOFTWARE</t>
        </is>
      </c>
      <c r="I397" t="inlineStr">
        <is>
          <t>SERVICES-PREPACKAGED SOFTWARE</t>
        </is>
      </c>
    </row>
    <row r="398">
      <c r="A398" t="inlineStr">
        <is>
          <t>AUBURN NATIONAL BANCORPORATION, INC</t>
        </is>
      </c>
      <c r="B398" t="inlineStr">
        <is>
          <t>AUBN</t>
        </is>
      </c>
      <c r="C398" t="inlineStr">
        <is>
          <t>AUBURN NATIONAL BANCORPORATION, INC</t>
        </is>
      </c>
      <c r="D398" t="n">
        <v>6022</v>
      </c>
      <c r="F398" t="n">
        <v>7373</v>
      </c>
      <c r="G398" t="inlineStr">
        <is>
          <t>TECHNOLOGY</t>
        </is>
      </c>
      <c r="H398" t="inlineStr">
        <is>
          <t>COMPUTER SOFTWARE</t>
        </is>
      </c>
      <c r="I398" t="inlineStr">
        <is>
          <t>SERVICES-COMPUTER INTEGRATED SYSTEMS DESIGN</t>
        </is>
      </c>
    </row>
    <row r="399">
      <c r="A399" t="inlineStr">
        <is>
          <t>AUDACY, INC.</t>
        </is>
      </c>
      <c r="B399" t="inlineStr">
        <is>
          <t>AUD</t>
        </is>
      </c>
      <c r="C399" t="inlineStr">
        <is>
          <t>AUDACY, INC.</t>
        </is>
      </c>
      <c r="D399" t="n">
        <v>4832</v>
      </c>
      <c r="F399" t="n">
        <v>7374</v>
      </c>
      <c r="G399" t="inlineStr">
        <is>
          <t>TECHNOLOGY</t>
        </is>
      </c>
      <c r="H399" t="inlineStr">
        <is>
          <t>BUSINESS SERVICES</t>
        </is>
      </c>
      <c r="I399" t="inlineStr">
        <is>
          <t>SERVICES-COMPUTER PROCESSING &amp; DATA PREPARATION</t>
        </is>
      </c>
    </row>
    <row r="400">
      <c r="A400" t="inlineStr">
        <is>
          <t>AUDIOCODES LTD</t>
        </is>
      </c>
      <c r="B400" t="inlineStr">
        <is>
          <t>AUDC</t>
        </is>
      </c>
      <c r="C400" t="inlineStr">
        <is>
          <t>AUDIOCODES LTD</t>
        </is>
      </c>
      <c r="D400" t="n">
        <v>3661</v>
      </c>
      <c r="F400" t="n">
        <v>7377</v>
      </c>
      <c r="G400" t="inlineStr">
        <is>
          <t>TECHNOLOGY</t>
        </is>
      </c>
      <c r="H400" t="inlineStr">
        <is>
          <t>BUSINESS SERVICES</t>
        </is>
      </c>
      <c r="I400" t="inlineStr">
        <is>
          <t>SERVICES-COMPUTER RENTAL &amp; LEASING</t>
        </is>
      </c>
    </row>
    <row r="401">
      <c r="A401" t="inlineStr">
        <is>
          <t>AUDIOEYE INC</t>
        </is>
      </c>
      <c r="B401" t="inlineStr">
        <is>
          <t>AEYE</t>
        </is>
      </c>
      <c r="C401" t="inlineStr">
        <is>
          <t>AUDIOEYE INC</t>
        </is>
      </c>
      <c r="D401" t="n">
        <v>7372</v>
      </c>
      <c r="F401" t="n">
        <v>7380</v>
      </c>
      <c r="G401" t="inlineStr">
        <is>
          <t>OTHER</t>
        </is>
      </c>
      <c r="H401" t="inlineStr">
        <is>
          <t>BUSINESS SERVICES</t>
        </is>
      </c>
      <c r="I401" t="inlineStr">
        <is>
          <t>SERVICES-MISCELLANEOUS BUSINESS SERVICES</t>
        </is>
      </c>
    </row>
    <row r="402">
      <c r="A402" t="inlineStr">
        <is>
          <t>AUGMEDIX, INC.</t>
        </is>
      </c>
      <c r="B402" t="inlineStr">
        <is>
          <t>AUGX</t>
        </is>
      </c>
      <c r="C402" t="inlineStr">
        <is>
          <t>AUGMEDIX, INC.</t>
        </is>
      </c>
      <c r="D402" t="n">
        <v>7389</v>
      </c>
      <c r="F402" t="n">
        <v>7381</v>
      </c>
      <c r="G402" t="inlineStr">
        <is>
          <t>OTHER</t>
        </is>
      </c>
      <c r="H402" t="inlineStr">
        <is>
          <t>BUSINESS SERVICES</t>
        </is>
      </c>
      <c r="I402" t="inlineStr">
        <is>
          <t>SERVICES-DETECTIVE, GUARD &amp; ARMORED CAR SERVICES</t>
        </is>
      </c>
    </row>
    <row r="403">
      <c r="A403" t="inlineStr">
        <is>
          <t>AURINIA PHARMACEUTICALS INC.</t>
        </is>
      </c>
      <c r="B403" t="inlineStr">
        <is>
          <t>AUPH</t>
        </is>
      </c>
      <c r="C403" t="inlineStr">
        <is>
          <t>AURINIA PHARMACEUTICALS INC.</t>
        </is>
      </c>
      <c r="D403" t="n">
        <v>2834</v>
      </c>
      <c r="F403" t="n">
        <v>7384</v>
      </c>
      <c r="G403" t="inlineStr">
        <is>
          <t>OTHER</t>
        </is>
      </c>
      <c r="H403" t="inlineStr">
        <is>
          <t>BUSINESS SERVICES</t>
        </is>
      </c>
      <c r="I403" t="inlineStr">
        <is>
          <t>SERVICES-PHOTOFINISHING LABORATORIES</t>
        </is>
      </c>
    </row>
    <row r="404">
      <c r="A404" t="inlineStr">
        <is>
          <t>AURORA MOBILE LTD</t>
        </is>
      </c>
      <c r="B404" t="inlineStr">
        <is>
          <t>JG</t>
        </is>
      </c>
      <c r="C404" t="inlineStr">
        <is>
          <t>AURORA MOBILE LTD</t>
        </is>
      </c>
      <c r="D404" t="n">
        <v>7370</v>
      </c>
      <c r="F404" t="n">
        <v>7385</v>
      </c>
      <c r="G404" t="inlineStr">
        <is>
          <t>OTHER</t>
        </is>
      </c>
      <c r="H404" t="inlineStr">
        <is>
          <t>BUSINESS SERVICES</t>
        </is>
      </c>
      <c r="I404" t="inlineStr">
        <is>
          <t>SERVICES-TELEPHONE INTERCONNECT SYSTEMS</t>
        </is>
      </c>
    </row>
    <row r="405">
      <c r="A405" t="inlineStr">
        <is>
          <t>AUTODESK, INC.</t>
        </is>
      </c>
      <c r="B405" t="inlineStr">
        <is>
          <t>ADSK</t>
        </is>
      </c>
      <c r="C405" t="inlineStr">
        <is>
          <t>AUTODESK, INC.</t>
        </is>
      </c>
      <c r="D405" t="n">
        <v>7372</v>
      </c>
      <c r="F405" t="n">
        <v>7389</v>
      </c>
      <c r="G405" t="inlineStr">
        <is>
          <t>OTHER</t>
        </is>
      </c>
      <c r="H405" t="inlineStr">
        <is>
          <t>BUSINESS SERVICES</t>
        </is>
      </c>
      <c r="I405" t="inlineStr">
        <is>
          <t>SERVICES-BUSINESS SERVICES, NEC</t>
        </is>
      </c>
    </row>
    <row r="406">
      <c r="A406" t="inlineStr">
        <is>
          <t>AUTOHOME INC.</t>
        </is>
      </c>
      <c r="B406" t="inlineStr">
        <is>
          <t>ATHM</t>
        </is>
      </c>
      <c r="C406" t="inlineStr">
        <is>
          <t>AUTOHOME INC.</t>
        </is>
      </c>
      <c r="D406" t="n">
        <v>7374</v>
      </c>
      <c r="F406" t="n">
        <v>7500</v>
      </c>
      <c r="G406" t="inlineStr">
        <is>
          <t>OTHER</t>
        </is>
      </c>
      <c r="H406" t="inlineStr">
        <is>
          <t>PERSONAL SERVICES</t>
        </is>
      </c>
      <c r="I406" t="inlineStr">
        <is>
          <t>SERVICES-AUTOMOTIVE REPAIR, SERVICES &amp; PARKING</t>
        </is>
      </c>
    </row>
    <row r="407">
      <c r="A407" t="inlineStr">
        <is>
          <t>AUTOLIV INC</t>
        </is>
      </c>
      <c r="B407" t="inlineStr">
        <is>
          <t>ALV</t>
        </is>
      </c>
      <c r="C407" t="inlineStr">
        <is>
          <t>AUTOLIV INC</t>
        </is>
      </c>
      <c r="D407" t="n">
        <v>3714</v>
      </c>
      <c r="F407" t="n">
        <v>7510</v>
      </c>
      <c r="G407" t="inlineStr">
        <is>
          <t>OTHER</t>
        </is>
      </c>
      <c r="H407" t="inlineStr">
        <is>
          <t>PERSONAL SERVICES</t>
        </is>
      </c>
      <c r="I407" t="inlineStr">
        <is>
          <t>SERVICES-AUTO RENTAL &amp; LEASING (NO DRIVERS)</t>
        </is>
      </c>
    </row>
    <row r="408">
      <c r="A408" t="inlineStr">
        <is>
          <t>AUTOMATIC DATA PROCESSING INC</t>
        </is>
      </c>
      <c r="B408" t="inlineStr">
        <is>
          <t>ADP</t>
        </is>
      </c>
      <c r="C408" t="inlineStr">
        <is>
          <t>AUTOMATIC DATA PROCESSING INC</t>
        </is>
      </c>
      <c r="D408" t="n">
        <v>7374</v>
      </c>
      <c r="F408" t="n">
        <v>7600</v>
      </c>
      <c r="G408" t="inlineStr">
        <is>
          <t>RETAIL &amp; WHOLESALE</t>
        </is>
      </c>
      <c r="H408" t="inlineStr">
        <is>
          <t>PERSONAL SERVICES</t>
        </is>
      </c>
      <c r="I408" t="inlineStr">
        <is>
          <t>SERVICES-MISCELLANEOUS REPAIR SERVICES</t>
        </is>
      </c>
    </row>
    <row r="409">
      <c r="A409" t="inlineStr">
        <is>
          <t>AUTONATION, INC.</t>
        </is>
      </c>
      <c r="B409" t="inlineStr">
        <is>
          <t>AN</t>
        </is>
      </c>
      <c r="C409" t="inlineStr">
        <is>
          <t>AUTONATION, INC.</t>
        </is>
      </c>
      <c r="D409" t="n">
        <v>5500</v>
      </c>
      <c r="F409" t="n">
        <v>7812</v>
      </c>
      <c r="G409" t="inlineStr">
        <is>
          <t>OTHER</t>
        </is>
      </c>
      <c r="H409" t="inlineStr">
        <is>
          <t>ENTERTAINMENT</t>
        </is>
      </c>
      <c r="I409" t="inlineStr">
        <is>
          <t>SERVICES-MOTION PICTURE &amp; VIDEO TAPE PRODUCTION</t>
        </is>
      </c>
    </row>
    <row r="410">
      <c r="A410" t="inlineStr">
        <is>
          <t>AUTOSCOPE TECHNOLOGIES CORP</t>
        </is>
      </c>
      <c r="B410" t="inlineStr">
        <is>
          <t>AATC</t>
        </is>
      </c>
      <c r="C410" t="inlineStr">
        <is>
          <t>AUTOSCOPE TECHNOLOGIES CORP</t>
        </is>
      </c>
      <c r="D410" t="n">
        <v>3829</v>
      </c>
      <c r="F410" t="n">
        <v>7819</v>
      </c>
      <c r="G410" t="inlineStr">
        <is>
          <t>OTHER</t>
        </is>
      </c>
      <c r="H410" t="inlineStr">
        <is>
          <t>ENTERTAINMENT</t>
        </is>
      </c>
      <c r="I410" t="inlineStr">
        <is>
          <t>SERVICES-ALLIED TO MOTION PICTURE PRODUCTION</t>
        </is>
      </c>
    </row>
    <row r="411">
      <c r="A411" t="inlineStr">
        <is>
          <t>AUTOZONE INC</t>
        </is>
      </c>
      <c r="B411" t="inlineStr">
        <is>
          <t>AZO</t>
        </is>
      </c>
      <c r="C411" t="inlineStr">
        <is>
          <t>AUTOZONE INC</t>
        </is>
      </c>
      <c r="D411" t="n">
        <v>5531</v>
      </c>
      <c r="F411" t="n">
        <v>7822</v>
      </c>
      <c r="G411" t="inlineStr">
        <is>
          <t>OTHER</t>
        </is>
      </c>
      <c r="H411" t="inlineStr">
        <is>
          <t>ENTERTAINMENT</t>
        </is>
      </c>
      <c r="I411" t="inlineStr">
        <is>
          <t>SERVICES-MOTION PICTURE &amp; VIDEO TAPE DISTRIBUTION</t>
        </is>
      </c>
    </row>
    <row r="412">
      <c r="A412" t="inlineStr">
        <is>
          <t>AVADEL PHARMACEUTICALS PLC</t>
        </is>
      </c>
      <c r="B412" t="inlineStr">
        <is>
          <t>AVDL</t>
        </is>
      </c>
      <c r="C412" t="inlineStr">
        <is>
          <t>AVADEL PHARMACEUTICALS PLC</t>
        </is>
      </c>
      <c r="D412" t="n">
        <v>2834</v>
      </c>
      <c r="F412" t="n">
        <v>7829</v>
      </c>
      <c r="G412" t="inlineStr">
        <is>
          <t>OTHER</t>
        </is>
      </c>
      <c r="H412" t="inlineStr">
        <is>
          <t>ENTERTAINMENT</t>
        </is>
      </c>
      <c r="I412" t="inlineStr">
        <is>
          <t>SERVICES-ALLIED TO MOTION PICTURE DISTRIBUTION</t>
        </is>
      </c>
    </row>
    <row r="413">
      <c r="A413" t="inlineStr">
        <is>
          <t>AVALARA, INC.</t>
        </is>
      </c>
      <c r="B413" t="inlineStr">
        <is>
          <t>AVLR</t>
        </is>
      </c>
      <c r="C413" t="inlineStr">
        <is>
          <t>AVALARA, INC.</t>
        </is>
      </c>
      <c r="D413" t="n">
        <v>7372</v>
      </c>
      <c r="F413" t="n">
        <v>7830</v>
      </c>
      <c r="G413" t="inlineStr">
        <is>
          <t>OTHER</t>
        </is>
      </c>
      <c r="H413" t="inlineStr">
        <is>
          <t>ENTERTAINMENT</t>
        </is>
      </c>
      <c r="I413" t="inlineStr">
        <is>
          <t>SERVICES-MOTION PICTURE THEATERS</t>
        </is>
      </c>
    </row>
    <row r="414">
      <c r="A414" t="inlineStr">
        <is>
          <t>AVALO THERAPEUTICS, INC.</t>
        </is>
      </c>
      <c r="B414" t="inlineStr">
        <is>
          <t>AVTX</t>
        </is>
      </c>
      <c r="C414" t="inlineStr">
        <is>
          <t>AVALO THERAPEUTICS, INC.</t>
        </is>
      </c>
      <c r="D414" t="n">
        <v>2834</v>
      </c>
      <c r="F414" t="n">
        <v>7841</v>
      </c>
      <c r="G414" t="inlineStr">
        <is>
          <t>OTHER</t>
        </is>
      </c>
      <c r="H414" t="inlineStr">
        <is>
          <t>ENTERTAINMENT</t>
        </is>
      </c>
      <c r="I414" t="inlineStr">
        <is>
          <t>SERVICES-VIDEO TAPE RENTAL</t>
        </is>
      </c>
    </row>
    <row r="415">
      <c r="A415" t="inlineStr">
        <is>
          <t>AVALON GLOBOCARE CORP.</t>
        </is>
      </c>
      <c r="B415" t="inlineStr">
        <is>
          <t>AVCO</t>
        </is>
      </c>
      <c r="C415" t="inlineStr">
        <is>
          <t>AVALON GLOBOCARE CORP.</t>
        </is>
      </c>
      <c r="D415" t="n">
        <v>8742</v>
      </c>
      <c r="F415" t="n">
        <v>7900</v>
      </c>
      <c r="G415" t="inlineStr">
        <is>
          <t>OTHER</t>
        </is>
      </c>
      <c r="H415" t="inlineStr">
        <is>
          <t>ENTERTAINMENT</t>
        </is>
      </c>
      <c r="I415" t="inlineStr">
        <is>
          <t>SERVICES-AMUSEMENT &amp; RECREATION SERVICES</t>
        </is>
      </c>
    </row>
    <row r="416">
      <c r="A416" t="inlineStr">
        <is>
          <t>AVALON HOLDINGS CORP</t>
        </is>
      </c>
      <c r="B416" t="inlineStr">
        <is>
          <t>AWX</t>
        </is>
      </c>
      <c r="C416" t="inlineStr">
        <is>
          <t>AVALON HOLDINGS CORP</t>
        </is>
      </c>
      <c r="D416" t="n">
        <v>4953</v>
      </c>
      <c r="F416" t="n">
        <v>7948</v>
      </c>
      <c r="G416" t="inlineStr">
        <is>
          <t>OTHER</t>
        </is>
      </c>
      <c r="H416" t="inlineStr">
        <is>
          <t>ENTERTAINMENT</t>
        </is>
      </c>
      <c r="I416" t="inlineStr">
        <is>
          <t>SERVICES-RACING, INCLUDING TRACK OPERATION</t>
        </is>
      </c>
    </row>
    <row r="417">
      <c r="A417" t="inlineStr">
        <is>
          <t>AVALONBAY COMMUNITIES INC</t>
        </is>
      </c>
      <c r="B417" t="inlineStr">
        <is>
          <t>AVB</t>
        </is>
      </c>
      <c r="C417" t="inlineStr">
        <is>
          <t>AVALONBAY COMMUNITIES INC</t>
        </is>
      </c>
      <c r="D417" t="n">
        <v>6798</v>
      </c>
      <c r="F417" t="n">
        <v>7990</v>
      </c>
      <c r="G417" t="inlineStr">
        <is>
          <t>OTHER</t>
        </is>
      </c>
      <c r="H417" t="inlineStr">
        <is>
          <t>ENTERTAINMENT</t>
        </is>
      </c>
      <c r="I417" t="inlineStr">
        <is>
          <t>SERVICES-MISCELLANEOUS AMUSEMENT &amp; RECREATION</t>
        </is>
      </c>
    </row>
    <row r="418">
      <c r="A418" t="inlineStr">
        <is>
          <t>AVANGRID, INC.</t>
        </is>
      </c>
      <c r="B418" t="inlineStr">
        <is>
          <t>AGR</t>
        </is>
      </c>
      <c r="C418" t="inlineStr">
        <is>
          <t>AVANGRID, INC.</t>
        </is>
      </c>
      <c r="D418" t="n">
        <v>4911</v>
      </c>
      <c r="F418" t="n">
        <v>7997</v>
      </c>
      <c r="G418" t="inlineStr">
        <is>
          <t>OTHER</t>
        </is>
      </c>
      <c r="H418" t="inlineStr">
        <is>
          <t>ENTERTAINMENT</t>
        </is>
      </c>
      <c r="I418" t="inlineStr">
        <is>
          <t>SERVICES-MEMBERSHIP SPORTS &amp; RECREATION CLUBS</t>
        </is>
      </c>
    </row>
    <row r="419">
      <c r="A419" t="inlineStr">
        <is>
          <t>AVANOS MEDICAL, INC.</t>
        </is>
      </c>
      <c r="B419" t="inlineStr">
        <is>
          <t>AVNS</t>
        </is>
      </c>
      <c r="C419" t="inlineStr">
        <is>
          <t>AVANOS MEDICAL, INC.</t>
        </is>
      </c>
      <c r="D419" t="n">
        <v>3842</v>
      </c>
      <c r="F419" t="n">
        <v>8000</v>
      </c>
      <c r="G419" t="inlineStr">
        <is>
          <t>HEALTHCARE</t>
        </is>
      </c>
      <c r="H419" t="inlineStr">
        <is>
          <t>HEALTHCARE</t>
        </is>
      </c>
      <c r="I419" t="inlineStr">
        <is>
          <t>SERVICES-HEALTH SERVICES</t>
        </is>
      </c>
    </row>
    <row r="420">
      <c r="A420" t="inlineStr">
        <is>
          <t>AVANTOR, INC.</t>
        </is>
      </c>
      <c r="B420" t="inlineStr">
        <is>
          <t>AVTR</t>
        </is>
      </c>
      <c r="C420" t="inlineStr">
        <is>
          <t>AVANTOR, INC.</t>
        </is>
      </c>
      <c r="D420" t="n">
        <v>3826</v>
      </c>
      <c r="F420" t="n">
        <v>8011</v>
      </c>
      <c r="G420" t="inlineStr">
        <is>
          <t>HEALTHCARE</t>
        </is>
      </c>
      <c r="H420" t="inlineStr">
        <is>
          <t>HEALTHCARE</t>
        </is>
      </c>
      <c r="I420" t="inlineStr">
        <is>
          <t>SERVICES-OFFICES &amp; CLINICS OF DOCTORS OF MEDICINE</t>
        </is>
      </c>
    </row>
    <row r="421">
      <c r="A421" t="inlineStr">
        <is>
          <t>AVAYA HOLDINGS CORP.</t>
        </is>
      </c>
      <c r="B421" t="inlineStr">
        <is>
          <t>AVYA</t>
        </is>
      </c>
      <c r="C421" t="inlineStr">
        <is>
          <t>AVAYA HOLDINGS CORP.</t>
        </is>
      </c>
      <c r="D421" t="n">
        <v>3661</v>
      </c>
      <c r="F421" t="n">
        <v>8050</v>
      </c>
      <c r="G421" t="inlineStr">
        <is>
          <t>HEALTHCARE</t>
        </is>
      </c>
      <c r="H421" t="inlineStr">
        <is>
          <t>HEALTHCARE</t>
        </is>
      </c>
      <c r="I421" t="inlineStr">
        <is>
          <t>SERVICES-NURSING &amp; PERSONAL CARE FACILITIES</t>
        </is>
      </c>
    </row>
    <row r="422">
      <c r="A422" t="inlineStr">
        <is>
          <t>AVEANNA HEALTHCARE HOLDINGS, INC.</t>
        </is>
      </c>
      <c r="B422" t="inlineStr">
        <is>
          <t>AVAH</t>
        </is>
      </c>
      <c r="C422" t="inlineStr">
        <is>
          <t>AVEANNA HEALTHCARE HOLDINGS, INC.</t>
        </is>
      </c>
      <c r="D422" t="n">
        <v>8082</v>
      </c>
      <c r="F422" t="n">
        <v>8051</v>
      </c>
      <c r="G422" t="inlineStr">
        <is>
          <t>HEALTHCARE</t>
        </is>
      </c>
      <c r="H422" t="inlineStr">
        <is>
          <t>HEALTHCARE</t>
        </is>
      </c>
      <c r="I422" t="inlineStr">
        <is>
          <t>SERVICES-SKILLED NURSING CARE FACILITIES</t>
        </is>
      </c>
    </row>
    <row r="423">
      <c r="A423" t="inlineStr">
        <is>
          <t>AVEO PHARMACEUTICALS, INC.</t>
        </is>
      </c>
      <c r="B423" t="inlineStr">
        <is>
          <t>AVEO</t>
        </is>
      </c>
      <c r="C423" t="inlineStr">
        <is>
          <t>AVEO PHARMACEUTICALS, INC.</t>
        </is>
      </c>
      <c r="D423" t="n">
        <v>2834</v>
      </c>
      <c r="F423" t="n">
        <v>8060</v>
      </c>
      <c r="G423" t="inlineStr">
        <is>
          <t>HEALTHCARE</t>
        </is>
      </c>
      <c r="H423" t="inlineStr">
        <is>
          <t>HEALTHCARE</t>
        </is>
      </c>
      <c r="I423" t="inlineStr">
        <is>
          <t>SERVICES-HOSPITALS</t>
        </is>
      </c>
    </row>
    <row r="424">
      <c r="A424" t="inlineStr">
        <is>
          <t>AVEPOINT, INC.</t>
        </is>
      </c>
      <c r="B424" t="inlineStr">
        <is>
          <t>AVPT</t>
        </is>
      </c>
      <c r="C424" t="inlineStr">
        <is>
          <t>AVEPOINT, INC.</t>
        </is>
      </c>
      <c r="D424" t="n">
        <v>7372</v>
      </c>
      <c r="F424" t="n">
        <v>8062</v>
      </c>
      <c r="G424" t="inlineStr">
        <is>
          <t>HEALTHCARE</t>
        </is>
      </c>
      <c r="H424" t="inlineStr">
        <is>
          <t>HEALTHCARE</t>
        </is>
      </c>
      <c r="I424" t="inlineStr">
        <is>
          <t>SERVICES-GENERAL MEDICAL &amp; SURGICAL HOSPITALS, NEC</t>
        </is>
      </c>
    </row>
    <row r="425">
      <c r="A425" t="inlineStr">
        <is>
          <t>AVERY DENNISON CORP</t>
        </is>
      </c>
      <c r="B425" t="inlineStr">
        <is>
          <t>AVY</t>
        </is>
      </c>
      <c r="C425" t="inlineStr">
        <is>
          <t>AVERY DENNISON CORP</t>
        </is>
      </c>
      <c r="D425" t="n">
        <v>2670</v>
      </c>
      <c r="F425" t="n">
        <v>8071</v>
      </c>
      <c r="G425" t="inlineStr">
        <is>
          <t>HEALTHCARE</t>
        </is>
      </c>
      <c r="H425" t="inlineStr">
        <is>
          <t>HEALTHCARE</t>
        </is>
      </c>
      <c r="I425" t="inlineStr">
        <is>
          <t>SERVICES-MEDICAL LABORATORIES</t>
        </is>
      </c>
    </row>
    <row r="426">
      <c r="A426" t="inlineStr">
        <is>
          <t>AVIAT NETWORKS, INC.</t>
        </is>
      </c>
      <c r="B426" t="inlineStr">
        <is>
          <t>AVNW</t>
        </is>
      </c>
      <c r="C426" t="inlineStr">
        <is>
          <t>AVIAT NETWORKS, INC.</t>
        </is>
      </c>
      <c r="D426" t="n">
        <v>3663</v>
      </c>
      <c r="F426" t="n">
        <v>8082</v>
      </c>
      <c r="G426" t="inlineStr">
        <is>
          <t>HEALTHCARE</t>
        </is>
      </c>
      <c r="H426" t="inlineStr">
        <is>
          <t>HEALTHCARE</t>
        </is>
      </c>
      <c r="I426" t="inlineStr">
        <is>
          <t>SERVICES-HOME HEALTH CARE SERVICES</t>
        </is>
      </c>
    </row>
    <row r="427">
      <c r="A427" t="inlineStr">
        <is>
          <t>AVID BIOSERVICES, INC.</t>
        </is>
      </c>
      <c r="B427" t="inlineStr">
        <is>
          <t>CDMO</t>
        </is>
      </c>
      <c r="C427" t="inlineStr">
        <is>
          <t>AVID BIOSERVICES, INC.</t>
        </is>
      </c>
      <c r="D427" t="n">
        <v>2834</v>
      </c>
      <c r="F427" t="n">
        <v>8090</v>
      </c>
      <c r="G427" t="inlineStr">
        <is>
          <t>HEALTHCARE</t>
        </is>
      </c>
      <c r="H427" t="inlineStr">
        <is>
          <t>HEALTHCARE</t>
        </is>
      </c>
      <c r="I427" t="inlineStr">
        <is>
          <t>SERVICES-MISC HEALTH &amp; ALLIED SERVICES, NEC</t>
        </is>
      </c>
    </row>
    <row r="428">
      <c r="A428" t="inlineStr">
        <is>
          <t>AVID TECHNOLOGY, INC.</t>
        </is>
      </c>
      <c r="B428" t="inlineStr">
        <is>
          <t>AVID</t>
        </is>
      </c>
      <c r="C428" t="inlineStr">
        <is>
          <t>AVID TECHNOLOGY, INC.</t>
        </is>
      </c>
      <c r="D428" t="n">
        <v>7372</v>
      </c>
      <c r="F428" t="n">
        <v>8093</v>
      </c>
      <c r="G428" t="inlineStr">
        <is>
          <t>HEALTHCARE</t>
        </is>
      </c>
      <c r="H428" t="inlineStr">
        <is>
          <t>HEALTHCARE</t>
        </is>
      </c>
      <c r="I428" t="inlineStr">
        <is>
          <t>SERVICES-SPECIALTY OUTPATIENT FACILITIES, NEC</t>
        </is>
      </c>
    </row>
    <row r="429">
      <c r="A429" t="inlineStr">
        <is>
          <t>AVIDITY BIOSCIENCES, INC.</t>
        </is>
      </c>
      <c r="B429" t="inlineStr">
        <is>
          <t>RNA</t>
        </is>
      </c>
      <c r="C429" t="inlineStr">
        <is>
          <t>AVIDITY BIOSCIENCES, INC.</t>
        </is>
      </c>
      <c r="D429" t="n">
        <v>2834</v>
      </c>
      <c r="F429" t="n">
        <v>8111</v>
      </c>
      <c r="G429" t="inlineStr">
        <is>
          <t>OTHER</t>
        </is>
      </c>
      <c r="H429" t="inlineStr">
        <is>
          <t>PERSONAL SERVICES</t>
        </is>
      </c>
      <c r="I429" t="inlineStr">
        <is>
          <t>SERVICES-LEGAL SERVICES</t>
        </is>
      </c>
    </row>
    <row r="430">
      <c r="A430" t="inlineStr">
        <is>
          <t>AVIDXCHANGE HOLDINGS, INC.</t>
        </is>
      </c>
      <c r="B430" t="inlineStr">
        <is>
          <t>AVDX</t>
        </is>
      </c>
      <c r="C430" t="inlineStr">
        <is>
          <t>AVIDXCHANGE HOLDINGS, INC.</t>
        </is>
      </c>
      <c r="D430" t="n">
        <v>7372</v>
      </c>
      <c r="F430" t="n">
        <v>8200</v>
      </c>
      <c r="G430" t="inlineStr">
        <is>
          <t>OTHER</t>
        </is>
      </c>
      <c r="H430" t="inlineStr">
        <is>
          <t>PERSONAL SERVICES</t>
        </is>
      </c>
      <c r="I430" t="inlineStr">
        <is>
          <t>SERVICES-EDUCATIONAL SERVICES</t>
        </is>
      </c>
    </row>
    <row r="431">
      <c r="A431" t="inlineStr">
        <is>
          <t>AVIENT CORP</t>
        </is>
      </c>
      <c r="B431" t="inlineStr">
        <is>
          <t>AVNT</t>
        </is>
      </c>
      <c r="C431" t="inlineStr">
        <is>
          <t>AVIENT CORP</t>
        </is>
      </c>
      <c r="D431" t="n">
        <v>2821</v>
      </c>
      <c r="F431" t="n">
        <v>8300</v>
      </c>
      <c r="G431" t="inlineStr">
        <is>
          <t>OTHER</t>
        </is>
      </c>
      <c r="H431" t="inlineStr">
        <is>
          <t>PERSONAL SERVICES</t>
        </is>
      </c>
      <c r="I431" t="inlineStr">
        <is>
          <t>SERVICES-SOCIAL SERVICES</t>
        </is>
      </c>
    </row>
    <row r="432">
      <c r="A432" t="inlineStr">
        <is>
          <t>AVINGER INC</t>
        </is>
      </c>
      <c r="B432" t="inlineStr">
        <is>
          <t>AVGR</t>
        </is>
      </c>
      <c r="C432" t="inlineStr">
        <is>
          <t>AVINGER INC</t>
        </is>
      </c>
      <c r="D432" t="n">
        <v>3841</v>
      </c>
      <c r="F432" t="n">
        <v>8351</v>
      </c>
      <c r="G432" t="inlineStr">
        <is>
          <t>OTHER</t>
        </is>
      </c>
      <c r="H432" t="inlineStr">
        <is>
          <t>PERSONAL SERVICES</t>
        </is>
      </c>
      <c r="I432" t="inlineStr">
        <is>
          <t>SERVICES-CHILD DAY CARE SERVICES</t>
        </is>
      </c>
    </row>
    <row r="433">
      <c r="A433" t="inlineStr">
        <is>
          <t>AVIS BUDGET GROUP, INC.</t>
        </is>
      </c>
      <c r="B433" t="inlineStr">
        <is>
          <t>CAR</t>
        </is>
      </c>
      <c r="C433" t="inlineStr">
        <is>
          <t>AVIS BUDGET GROUP, INC.</t>
        </is>
      </c>
      <c r="D433" t="n">
        <v>7510</v>
      </c>
      <c r="F433" t="n">
        <v>8600</v>
      </c>
      <c r="G433" t="inlineStr">
        <is>
          <t>OTHER</t>
        </is>
      </c>
      <c r="H433" t="inlineStr">
        <is>
          <t>PERSONAL SERVICES</t>
        </is>
      </c>
      <c r="I433" t="inlineStr">
        <is>
          <t>SERVICES-MEMBERSHIP ORGANIZATIONS</t>
        </is>
      </c>
    </row>
    <row r="434">
      <c r="A434" t="inlineStr">
        <is>
          <t>AVISTA CORP</t>
        </is>
      </c>
      <c r="B434" t="inlineStr">
        <is>
          <t>AVA</t>
        </is>
      </c>
      <c r="C434" t="inlineStr">
        <is>
          <t>AVISTA CORP</t>
        </is>
      </c>
      <c r="D434" t="n">
        <v>4931</v>
      </c>
      <c r="F434" t="n">
        <v>8700</v>
      </c>
      <c r="G434" t="inlineStr">
        <is>
          <t>OTHER</t>
        </is>
      </c>
      <c r="H434" t="inlineStr">
        <is>
          <t>BUSINESS SERVICES</t>
        </is>
      </c>
      <c r="I434" t="inlineStr">
        <is>
          <t>SERVICES-ENGINEERING, ACCOUNTING, RESEARCH, MANAGEMENT</t>
        </is>
      </c>
    </row>
    <row r="435">
      <c r="A435" t="inlineStr">
        <is>
          <t>AVITA MEDICAL, INC.</t>
        </is>
      </c>
      <c r="B435" t="inlineStr">
        <is>
          <t>RCEL</t>
        </is>
      </c>
      <c r="C435" t="inlineStr">
        <is>
          <t>AVITA MEDICAL, INC.</t>
        </is>
      </c>
      <c r="D435" t="n">
        <v>3841</v>
      </c>
      <c r="F435" t="n">
        <v>8711</v>
      </c>
      <c r="G435" t="inlineStr">
        <is>
          <t>OTHER</t>
        </is>
      </c>
      <c r="H435" t="inlineStr">
        <is>
          <t>BUSINESS SERVICES</t>
        </is>
      </c>
      <c r="I435" t="inlineStr">
        <is>
          <t>SERVICES-ENGINEERING SERVICES</t>
        </is>
      </c>
    </row>
    <row r="436">
      <c r="A436" t="inlineStr">
        <is>
          <t>AVNET INC</t>
        </is>
      </c>
      <c r="B436" t="inlineStr">
        <is>
          <t>AVT</t>
        </is>
      </c>
      <c r="C436" t="inlineStr">
        <is>
          <t>AVNET INC</t>
        </is>
      </c>
      <c r="D436" t="n">
        <v>5065</v>
      </c>
      <c r="F436" t="n">
        <v>8731</v>
      </c>
      <c r="G436" s="5" t="inlineStr">
        <is>
          <t>OTHER</t>
        </is>
      </c>
      <c r="H436" t="inlineStr">
        <is>
          <t>BUSINESS SERVICES</t>
        </is>
      </c>
      <c r="I436" t="inlineStr">
        <is>
          <t>SERVICES-COMMERCIAL PHYSICAL &amp; BIOLOGICAL RESEARCH</t>
        </is>
      </c>
    </row>
    <row r="437">
      <c r="A437" t="inlineStr">
        <is>
          <t>AWARE INC /MA/</t>
        </is>
      </c>
      <c r="B437" t="inlineStr">
        <is>
          <t>AWRE</t>
        </is>
      </c>
      <c r="C437" t="inlineStr">
        <is>
          <t>AWARE INC /MA/</t>
        </is>
      </c>
      <c r="D437" t="n">
        <v>7372</v>
      </c>
      <c r="F437" t="n">
        <v>8734</v>
      </c>
      <c r="G437" t="inlineStr">
        <is>
          <t>TECHNOLOGY</t>
        </is>
      </c>
      <c r="H437" t="inlineStr">
        <is>
          <t>BUSINESS SERVICES</t>
        </is>
      </c>
      <c r="I437" t="inlineStr">
        <is>
          <t>SERVICES-TESTING LABORATORIES</t>
        </is>
      </c>
    </row>
    <row r="438">
      <c r="A438" t="inlineStr">
        <is>
          <t>AXALTA COATING SYSTEMS LTD.</t>
        </is>
      </c>
      <c r="B438" t="inlineStr">
        <is>
          <t>AXTA</t>
        </is>
      </c>
      <c r="C438" t="inlineStr">
        <is>
          <t>AXALTA COATING SYSTEMS LTD.</t>
        </is>
      </c>
      <c r="D438" t="n">
        <v>2851</v>
      </c>
      <c r="F438" t="n">
        <v>8741</v>
      </c>
      <c r="G438" t="inlineStr">
        <is>
          <t>OTHER</t>
        </is>
      </c>
      <c r="H438" t="inlineStr">
        <is>
          <t>BUSINESS SERVICES</t>
        </is>
      </c>
      <c r="I438" t="inlineStr">
        <is>
          <t>SERVICES-MANAGEMENT SERVICES</t>
        </is>
      </c>
    </row>
    <row r="439">
      <c r="A439" t="inlineStr">
        <is>
          <t>AXCELIS TECHNOLOGIES INC</t>
        </is>
      </c>
      <c r="B439" t="inlineStr">
        <is>
          <t>ACLS</t>
        </is>
      </c>
      <c r="C439" t="inlineStr">
        <is>
          <t>AXCELIS TECHNOLOGIES INC</t>
        </is>
      </c>
      <c r="D439" t="n">
        <v>3559</v>
      </c>
      <c r="F439" t="n">
        <v>8742</v>
      </c>
      <c r="G439" t="inlineStr">
        <is>
          <t>OTHER</t>
        </is>
      </c>
      <c r="H439" t="inlineStr">
        <is>
          <t>BUSINESS SERVICES</t>
        </is>
      </c>
      <c r="I439" t="inlineStr">
        <is>
          <t>SERVICES-MANAGEMENT CONSULTING SERVICES</t>
        </is>
      </c>
    </row>
    <row r="440">
      <c r="A440" t="inlineStr">
        <is>
          <t>AXIS CAPITAL HOLDINGS LTD</t>
        </is>
      </c>
      <c r="B440" t="inlineStr">
        <is>
          <t>AXS</t>
        </is>
      </c>
      <c r="C440" t="inlineStr">
        <is>
          <t>AXIS CAPITAL HOLDINGS LTD</t>
        </is>
      </c>
      <c r="D440" t="n">
        <v>6331</v>
      </c>
      <c r="F440" t="n">
        <v>8744</v>
      </c>
      <c r="G440" t="inlineStr">
        <is>
          <t>OTHER</t>
        </is>
      </c>
      <c r="H440" t="inlineStr">
        <is>
          <t>BUSINESS SERVICES</t>
        </is>
      </c>
      <c r="I440" t="inlineStr">
        <is>
          <t>SERVICES-FACILITIES SUPPORT MANAGEMENT SERVICES</t>
        </is>
      </c>
    </row>
    <row r="441">
      <c r="A441" t="inlineStr">
        <is>
          <t>AXOGEN, INC.</t>
        </is>
      </c>
      <c r="B441" t="inlineStr">
        <is>
          <t>AXGN</t>
        </is>
      </c>
      <c r="C441" t="inlineStr">
        <is>
          <t>AXOGEN, INC.</t>
        </is>
      </c>
      <c r="D441" t="n">
        <v>3845</v>
      </c>
      <c r="F441" t="n">
        <v>8880</v>
      </c>
      <c r="G441" t="inlineStr">
        <is>
          <t>OTHER</t>
        </is>
      </c>
      <c r="H441" t="inlineStr">
        <is>
          <t>PERSONAL SERVICES</t>
        </is>
      </c>
      <c r="I441" t="inlineStr">
        <is>
          <t>AMERICAN DEPOSITARY RECEIPTS</t>
        </is>
      </c>
    </row>
    <row r="442">
      <c r="A442" t="inlineStr">
        <is>
          <t>AXON ENTERPRISE, INC.</t>
        </is>
      </c>
      <c r="B442" t="inlineStr">
        <is>
          <t>AXON</t>
        </is>
      </c>
      <c r="C442" t="inlineStr">
        <is>
          <t>AXON ENTERPRISE, INC.</t>
        </is>
      </c>
      <c r="D442" t="n">
        <v>3480</v>
      </c>
      <c r="F442" t="n">
        <v>8888</v>
      </c>
      <c r="G442" t="inlineStr">
        <is>
          <t>OTHER</t>
        </is>
      </c>
      <c r="H442" t="inlineStr">
        <is>
          <t>PERSONAL SERVICES</t>
        </is>
      </c>
      <c r="I442" t="inlineStr">
        <is>
          <t>FOREIGN GOVERNMENTS</t>
        </is>
      </c>
    </row>
    <row r="443">
      <c r="A443" t="inlineStr">
        <is>
          <t>AXONICS, INC.</t>
        </is>
      </c>
      <c r="B443" t="inlineStr">
        <is>
          <t>AXNX</t>
        </is>
      </c>
      <c r="C443" t="inlineStr">
        <is>
          <t>AXONICS, INC.</t>
        </is>
      </c>
      <c r="D443" t="n">
        <v>3841</v>
      </c>
      <c r="F443" t="n">
        <v>8900</v>
      </c>
      <c r="G443" t="inlineStr">
        <is>
          <t>OTHER</t>
        </is>
      </c>
      <c r="H443" t="inlineStr">
        <is>
          <t>BUSINESS SERVICES</t>
        </is>
      </c>
      <c r="I443" t="inlineStr">
        <is>
          <t>SERVICES-SERVICES, NEC</t>
        </is>
      </c>
    </row>
    <row r="444">
      <c r="A444" t="inlineStr">
        <is>
          <t>AXOS FINANCIAL, INC.</t>
        </is>
      </c>
      <c r="B444" t="inlineStr">
        <is>
          <t>AX</t>
        </is>
      </c>
      <c r="C444" t="inlineStr">
        <is>
          <t>AXOS FINANCIAL, INC.</t>
        </is>
      </c>
      <c r="D444" t="n">
        <v>6035</v>
      </c>
      <c r="F444" t="n">
        <v>9721</v>
      </c>
      <c r="G444" t="inlineStr">
        <is>
          <t>OTHER</t>
        </is>
      </c>
      <c r="H444" t="inlineStr">
        <is>
          <t>ALMOST NOTHING</t>
        </is>
      </c>
      <c r="I444" t="inlineStr">
        <is>
          <t>INTERNATIONAL AFFAIRS</t>
        </is>
      </c>
    </row>
    <row r="445">
      <c r="A445" t="inlineStr">
        <is>
          <t>AXT INC</t>
        </is>
      </c>
      <c r="B445" t="inlineStr">
        <is>
          <t>AXTI</t>
        </is>
      </c>
      <c r="C445" t="inlineStr">
        <is>
          <t>AXT INC</t>
        </is>
      </c>
      <c r="D445" t="n">
        <v>3674</v>
      </c>
      <c r="F445" t="n">
        <v>9995</v>
      </c>
      <c r="G445" t="inlineStr">
        <is>
          <t>OTHER</t>
        </is>
      </c>
      <c r="H445" t="inlineStr">
        <is>
          <t>ALMOST NOTHING</t>
        </is>
      </c>
      <c r="I445" t="inlineStr">
        <is>
          <t>NON-OPERATING ESTABLISHMENTS</t>
        </is>
      </c>
    </row>
    <row r="446">
      <c r="A446" t="inlineStr">
        <is>
          <t>AYALA PHARMACEUTICALS, INC.</t>
        </is>
      </c>
      <c r="B446" t="inlineStr">
        <is>
          <t>AYLA</t>
        </is>
      </c>
      <c r="C446" t="inlineStr">
        <is>
          <t>AYALA PHARMACEUTICALS, INC.</t>
        </is>
      </c>
      <c r="D446" t="n">
        <v>2836</v>
      </c>
    </row>
    <row r="447">
      <c r="A447" t="inlineStr">
        <is>
          <t>AYRO, INC.</t>
        </is>
      </c>
      <c r="B447" t="inlineStr">
        <is>
          <t>AYRO</t>
        </is>
      </c>
      <c r="C447" t="inlineStr">
        <is>
          <t>AYRO, INC.</t>
        </is>
      </c>
      <c r="D447" t="n">
        <v>4899</v>
      </c>
    </row>
    <row r="448">
      <c r="A448" t="inlineStr">
        <is>
          <t>AYTU BIOPHARMA, INC</t>
        </is>
      </c>
      <c r="B448" t="inlineStr">
        <is>
          <t>AYTU</t>
        </is>
      </c>
      <c r="C448" t="inlineStr">
        <is>
          <t>AYTU BIOPHARMA, INC</t>
        </is>
      </c>
      <c r="D448" t="n">
        <v>2834</v>
      </c>
    </row>
    <row r="449">
      <c r="A449" t="inlineStr">
        <is>
          <t>AZEK CO INC.</t>
        </is>
      </c>
      <c r="B449" t="inlineStr">
        <is>
          <t>AZEK</t>
        </is>
      </c>
      <c r="C449" t="inlineStr">
        <is>
          <t>AZEK CO INC.</t>
        </is>
      </c>
      <c r="D449" t="n">
        <v>3089</v>
      </c>
    </row>
    <row r="450">
      <c r="A450" t="inlineStr">
        <is>
          <t>AZIYO BIOLOGICS, INC.</t>
        </is>
      </c>
      <c r="B450" t="inlineStr">
        <is>
          <t>AZYO</t>
        </is>
      </c>
      <c r="C450" t="inlineStr">
        <is>
          <t>AZIYO BIOLOGICS, INC.</t>
        </is>
      </c>
      <c r="D450" t="n">
        <v>2836</v>
      </c>
    </row>
    <row r="451">
      <c r="A451" t="inlineStr">
        <is>
          <t>AZURE POWER GLOBAL LTD</t>
        </is>
      </c>
      <c r="B451" t="inlineStr">
        <is>
          <t>AZRE</t>
        </is>
      </c>
      <c r="C451" t="inlineStr">
        <is>
          <t>AZURE POWER GLOBAL LTD</t>
        </is>
      </c>
      <c r="D451" t="n">
        <v>4911</v>
      </c>
    </row>
    <row r="452">
      <c r="A452" t="inlineStr">
        <is>
          <t>AZZ INC</t>
        </is>
      </c>
      <c r="B452" t="inlineStr">
        <is>
          <t>AZZ</t>
        </is>
      </c>
      <c r="C452" t="inlineStr">
        <is>
          <t>AZZ INC</t>
        </is>
      </c>
      <c r="D452" t="n">
        <v>3640</v>
      </c>
    </row>
    <row r="453">
      <c r="A453" t="inlineStr">
        <is>
          <t>B&amp;G FOODS, INC.</t>
        </is>
      </c>
      <c r="B453" t="inlineStr">
        <is>
          <t>BGS</t>
        </is>
      </c>
      <c r="C453" t="inlineStr">
        <is>
          <t>B&amp;G FOODS, INC.</t>
        </is>
      </c>
      <c r="D453" t="n">
        <v>2000</v>
      </c>
    </row>
    <row r="454">
      <c r="A454" t="inlineStr">
        <is>
          <t>B. RILEY FINANCIAL, INC.</t>
        </is>
      </c>
      <c r="B454" t="inlineStr">
        <is>
          <t>RILY</t>
        </is>
      </c>
      <c r="C454" t="inlineStr">
        <is>
          <t>B. RILEY FINANCIAL, INC.</t>
        </is>
      </c>
      <c r="D454" t="n">
        <v>6282</v>
      </c>
    </row>
    <row r="455">
      <c r="A455" t="inlineStr">
        <is>
          <t>BABCOCK &amp; WILCOX ENTERPRISES, INC.</t>
        </is>
      </c>
      <c r="B455" t="inlineStr">
        <is>
          <t>BW</t>
        </is>
      </c>
      <c r="C455" t="inlineStr">
        <is>
          <t>BABCOCK &amp; WILCOX ENTERPRISES, INC.</t>
        </is>
      </c>
      <c r="D455" t="n">
        <v>3433</v>
      </c>
    </row>
    <row r="456">
      <c r="A456" t="inlineStr">
        <is>
          <t>BACKBLAZE, INC.</t>
        </is>
      </c>
      <c r="B456" t="inlineStr">
        <is>
          <t>BLZE</t>
        </is>
      </c>
      <c r="C456" t="inlineStr">
        <is>
          <t>BACKBLAZE, INC.</t>
        </is>
      </c>
      <c r="D456" t="n">
        <v>7372</v>
      </c>
    </row>
    <row r="457">
      <c r="A457" t="inlineStr">
        <is>
          <t>BADGER METER INC</t>
        </is>
      </c>
      <c r="B457" t="inlineStr">
        <is>
          <t>BMI</t>
        </is>
      </c>
      <c r="C457" t="inlineStr">
        <is>
          <t>BADGER METER INC</t>
        </is>
      </c>
      <c r="D457" t="n">
        <v>3824</v>
      </c>
    </row>
    <row r="458">
      <c r="A458" t="inlineStr">
        <is>
          <t>BAIDU, INC.</t>
        </is>
      </c>
      <c r="B458" t="inlineStr">
        <is>
          <t>BIDU</t>
        </is>
      </c>
      <c r="C458" t="inlineStr">
        <is>
          <t>BAIDU, INC.</t>
        </is>
      </c>
      <c r="D458" t="n">
        <v>7370</v>
      </c>
    </row>
    <row r="459">
      <c r="A459" t="inlineStr">
        <is>
          <t>BAKER HUGHES CO</t>
        </is>
      </c>
      <c r="B459" t="inlineStr">
        <is>
          <t>BKR</t>
        </is>
      </c>
      <c r="C459" t="inlineStr">
        <is>
          <t>BAKER HUGHES CO</t>
        </is>
      </c>
      <c r="D459" t="n">
        <v>3533</v>
      </c>
    </row>
    <row r="460">
      <c r="A460" t="inlineStr">
        <is>
          <t>BALCHEM CORP</t>
        </is>
      </c>
      <c r="B460" t="inlineStr">
        <is>
          <t>BCPC</t>
        </is>
      </c>
      <c r="C460" t="inlineStr">
        <is>
          <t>BALCHEM CORP</t>
        </is>
      </c>
      <c r="D460" t="n">
        <v>2800</v>
      </c>
    </row>
    <row r="461">
      <c r="A461" t="inlineStr">
        <is>
          <t>BALLANTYNE STRONG, INC.</t>
        </is>
      </c>
      <c r="B461" t="inlineStr">
        <is>
          <t>BTN</t>
        </is>
      </c>
      <c r="C461" t="inlineStr">
        <is>
          <t>BALLANTYNE STRONG, INC.</t>
        </is>
      </c>
      <c r="D461" t="n">
        <v>3861</v>
      </c>
    </row>
    <row r="462">
      <c r="A462" t="inlineStr">
        <is>
          <t>BALLY'S CORP</t>
        </is>
      </c>
      <c r="B462" t="inlineStr">
        <is>
          <t>BALY</t>
        </is>
      </c>
      <c r="C462" t="inlineStr">
        <is>
          <t>BALLY'S CORP</t>
        </is>
      </c>
      <c r="D462" t="n">
        <v>7011</v>
      </c>
    </row>
    <row r="463">
      <c r="A463" t="inlineStr">
        <is>
          <t>BANC OF CALIFORNIA, INC.</t>
        </is>
      </c>
      <c r="B463" t="inlineStr">
        <is>
          <t>BANC</t>
        </is>
      </c>
      <c r="C463" t="inlineStr">
        <is>
          <t>BANC OF CALIFORNIA, INC.</t>
        </is>
      </c>
      <c r="D463" t="n">
        <v>6021</v>
      </c>
    </row>
    <row r="464">
      <c r="A464" t="inlineStr">
        <is>
          <t>BANCFIRST CORP /OK/</t>
        </is>
      </c>
      <c r="B464" t="inlineStr">
        <is>
          <t>BANF</t>
        </is>
      </c>
      <c r="C464" t="inlineStr">
        <is>
          <t>BANCFIRST CORP /OK/</t>
        </is>
      </c>
      <c r="D464" t="n">
        <v>6021</v>
      </c>
    </row>
    <row r="465">
      <c r="A465" t="inlineStr">
        <is>
          <t>BANCORP, INC.</t>
        </is>
      </c>
      <c r="B465" t="inlineStr">
        <is>
          <t>TBBK</t>
        </is>
      </c>
      <c r="C465" t="inlineStr">
        <is>
          <t>BANCORP, INC.</t>
        </is>
      </c>
      <c r="D465" t="n">
        <v>6021</v>
      </c>
    </row>
    <row r="466">
      <c r="A466" t="inlineStr">
        <is>
          <t>BANDWIDTH INC.</t>
        </is>
      </c>
      <c r="B466" t="inlineStr">
        <is>
          <t>BAND</t>
        </is>
      </c>
      <c r="C466" t="inlineStr">
        <is>
          <t>BANDWIDTH INC.</t>
        </is>
      </c>
      <c r="D466" t="n">
        <v>7372</v>
      </c>
    </row>
    <row r="467">
      <c r="A467" t="inlineStr">
        <is>
          <t>BANK FIRST CORP</t>
        </is>
      </c>
      <c r="B467" t="inlineStr">
        <is>
          <t>BFC</t>
        </is>
      </c>
      <c r="C467" t="inlineStr">
        <is>
          <t>BANK FIRST CORP</t>
        </is>
      </c>
      <c r="D467" t="n">
        <v>6021</v>
      </c>
    </row>
    <row r="468">
      <c r="A468" t="inlineStr">
        <is>
          <t>BANK OF AMERICA CORP /DE/</t>
        </is>
      </c>
      <c r="B468" t="inlineStr">
        <is>
          <t>BAC</t>
        </is>
      </c>
      <c r="C468" t="inlineStr">
        <is>
          <t>BANK OF AMERICA CORP /DE/</t>
        </is>
      </c>
      <c r="D468" t="n">
        <v>6021</v>
      </c>
    </row>
    <row r="469">
      <c r="A469" t="inlineStr">
        <is>
          <t>BANK OF HAWAII CORP</t>
        </is>
      </c>
      <c r="B469" t="inlineStr">
        <is>
          <t>BOH</t>
        </is>
      </c>
      <c r="C469" t="inlineStr">
        <is>
          <t>BANK OF HAWAII CORP</t>
        </is>
      </c>
      <c r="D469" t="n">
        <v>6022</v>
      </c>
    </row>
    <row r="470">
      <c r="A470" t="inlineStr">
        <is>
          <t>BANK OF MARIN BANCORP</t>
        </is>
      </c>
      <c r="B470" t="inlineStr">
        <is>
          <t>BMRC</t>
        </is>
      </c>
      <c r="C470" t="inlineStr">
        <is>
          <t>BANK OF MARIN BANCORP</t>
        </is>
      </c>
      <c r="D470" t="n">
        <v>6022</v>
      </c>
    </row>
    <row r="471">
      <c r="A471" t="inlineStr">
        <is>
          <t>BANK OF N.T. BUTTERFIELD &amp; SON LTD</t>
        </is>
      </c>
      <c r="B471" t="inlineStr">
        <is>
          <t>NTB</t>
        </is>
      </c>
      <c r="C471" t="inlineStr">
        <is>
          <t>BANK OF N.T. BUTTERFIELD &amp; SON LTD</t>
        </is>
      </c>
      <c r="D471" t="n">
        <v>6029</v>
      </c>
    </row>
    <row r="472">
      <c r="A472" t="inlineStr">
        <is>
          <t>BANK OF NEW YORK MELLON CORP</t>
        </is>
      </c>
      <c r="B472" t="inlineStr">
        <is>
          <t>BK</t>
        </is>
      </c>
      <c r="C472" t="inlineStr">
        <is>
          <t>BANK OF NEW YORK MELLON CORP</t>
        </is>
      </c>
      <c r="D472" t="n">
        <v>6022</v>
      </c>
    </row>
    <row r="473">
      <c r="A473" t="inlineStr">
        <is>
          <t>BANK OF SOUTH CAROLINA CORP</t>
        </is>
      </c>
      <c r="B473" t="inlineStr">
        <is>
          <t>BKSC</t>
        </is>
      </c>
      <c r="C473" t="inlineStr">
        <is>
          <t>BANK OF SOUTH CAROLINA CORP</t>
        </is>
      </c>
      <c r="D473" t="n">
        <v>6022</v>
      </c>
    </row>
    <row r="474">
      <c r="A474" t="inlineStr">
        <is>
          <t>BANK OF THE JAMES FINANCIAL GROUP INC</t>
        </is>
      </c>
      <c r="B474" t="inlineStr">
        <is>
          <t>BOTJ</t>
        </is>
      </c>
      <c r="C474" t="inlineStr">
        <is>
          <t>BANK OF THE JAMES FINANCIAL GROUP INC</t>
        </is>
      </c>
      <c r="D474" t="n">
        <v>6022</v>
      </c>
    </row>
    <row r="475">
      <c r="A475" t="inlineStr">
        <is>
          <t>BANK7 CORP.</t>
        </is>
      </c>
      <c r="B475" t="inlineStr">
        <is>
          <t>BSVN</t>
        </is>
      </c>
      <c r="C475" t="inlineStr">
        <is>
          <t>BANK7 CORP.</t>
        </is>
      </c>
      <c r="D475" t="n">
        <v>6022</v>
      </c>
    </row>
    <row r="476">
      <c r="A476" t="inlineStr">
        <is>
          <t>BANKFINANCIAL CORP</t>
        </is>
      </c>
      <c r="B476" t="inlineStr">
        <is>
          <t>BFIN</t>
        </is>
      </c>
      <c r="C476" t="inlineStr">
        <is>
          <t>BANKFINANCIAL CORP</t>
        </is>
      </c>
      <c r="D476" t="n">
        <v>6035</v>
      </c>
    </row>
    <row r="477">
      <c r="A477" t="inlineStr">
        <is>
          <t>BANKGUAM HOLDING CO</t>
        </is>
      </c>
      <c r="B477" t="inlineStr">
        <is>
          <t>BKGM</t>
        </is>
      </c>
      <c r="C477" t="inlineStr">
        <is>
          <t>BANKGUAM HOLDING CO</t>
        </is>
      </c>
      <c r="D477" t="n">
        <v>6029</v>
      </c>
    </row>
    <row r="478">
      <c r="A478" t="inlineStr">
        <is>
          <t>BANKUNITED, INC.</t>
        </is>
      </c>
      <c r="B478" t="inlineStr">
        <is>
          <t>BKU</t>
        </is>
      </c>
      <c r="C478" t="inlineStr">
        <is>
          <t>BANKUNITED, INC.</t>
        </is>
      </c>
      <c r="D478" t="n">
        <v>6035</v>
      </c>
    </row>
    <row r="479">
      <c r="A479" t="inlineStr">
        <is>
          <t>BANKWELL FINANCIAL GROUP, INC.</t>
        </is>
      </c>
      <c r="B479" t="inlineStr">
        <is>
          <t>BWFG</t>
        </is>
      </c>
      <c r="C479" t="inlineStr">
        <is>
          <t>BANKWELL FINANCIAL GROUP, INC.</t>
        </is>
      </c>
      <c r="D479" t="n">
        <v>6022</v>
      </c>
    </row>
    <row r="480">
      <c r="A480" t="inlineStr">
        <is>
          <t>BANNER CORP</t>
        </is>
      </c>
      <c r="B480" t="inlineStr">
        <is>
          <t>BANR</t>
        </is>
      </c>
      <c r="C480" t="inlineStr">
        <is>
          <t>BANNER CORP</t>
        </is>
      </c>
      <c r="D480" t="n">
        <v>6022</v>
      </c>
    </row>
    <row r="481">
      <c r="A481" t="inlineStr">
        <is>
          <t>BAOSHENG MEDIA GROUP HOLDINGS LTD</t>
        </is>
      </c>
      <c r="B481" t="inlineStr">
        <is>
          <t>BAOS</t>
        </is>
      </c>
      <c r="C481" t="inlineStr">
        <is>
          <t>BAOSHENG MEDIA GROUP HOLDINGS LTD</t>
        </is>
      </c>
      <c r="D481" t="n">
        <v>7389</v>
      </c>
    </row>
    <row r="482">
      <c r="A482" t="inlineStr">
        <is>
          <t>BAOZUN INC.</t>
        </is>
      </c>
      <c r="B482" t="inlineStr">
        <is>
          <t>BZUN</t>
        </is>
      </c>
      <c r="C482" t="inlineStr">
        <is>
          <t>BAOZUN INC.</t>
        </is>
      </c>
      <c r="D482" t="n">
        <v>5961</v>
      </c>
    </row>
    <row r="483">
      <c r="A483" t="inlineStr">
        <is>
          <t>BAR HARBOR BANKSHARES</t>
        </is>
      </c>
      <c r="B483" t="inlineStr">
        <is>
          <t>BHB</t>
        </is>
      </c>
      <c r="C483" t="inlineStr">
        <is>
          <t>BAR HARBOR BANKSHARES</t>
        </is>
      </c>
      <c r="D483" t="n">
        <v>6022</v>
      </c>
    </row>
    <row r="484">
      <c r="A484" t="inlineStr">
        <is>
          <t>BARK, INC.</t>
        </is>
      </c>
      <c r="B484" t="inlineStr">
        <is>
          <t>BARK</t>
        </is>
      </c>
      <c r="C484" t="inlineStr">
        <is>
          <t>BARK, INC.</t>
        </is>
      </c>
      <c r="D484" t="n">
        <v>5990</v>
      </c>
    </row>
    <row r="485">
      <c r="A485" t="inlineStr">
        <is>
          <t>BARNES &amp; NOBLE EDUCATION, INC.</t>
        </is>
      </c>
      <c r="B485" t="inlineStr">
        <is>
          <t>BNED</t>
        </is>
      </c>
      <c r="C485" t="inlineStr">
        <is>
          <t>BARNES &amp; NOBLE EDUCATION, INC.</t>
        </is>
      </c>
      <c r="D485" t="n">
        <v>5940</v>
      </c>
    </row>
    <row r="486">
      <c r="A486" t="inlineStr">
        <is>
          <t>BARNES GROUP INC</t>
        </is>
      </c>
      <c r="B486" t="inlineStr">
        <is>
          <t>B</t>
        </is>
      </c>
      <c r="C486" t="inlineStr">
        <is>
          <t>BARNES GROUP INC</t>
        </is>
      </c>
      <c r="D486" t="n">
        <v>3490</v>
      </c>
    </row>
    <row r="487">
      <c r="A487" t="inlineStr">
        <is>
          <t>BARNWELL INDUSTRIES INC</t>
        </is>
      </c>
      <c r="B487" t="inlineStr">
        <is>
          <t>BRN</t>
        </is>
      </c>
      <c r="C487" t="inlineStr">
        <is>
          <t>BARNWELL INDUSTRIES INC</t>
        </is>
      </c>
      <c r="D487" t="n">
        <v>1311</v>
      </c>
    </row>
    <row r="488">
      <c r="A488" t="inlineStr">
        <is>
          <t>BARRETT BUSINESS SERVICES INC</t>
        </is>
      </c>
      <c r="B488" t="inlineStr">
        <is>
          <t>BBSI</t>
        </is>
      </c>
      <c r="C488" t="inlineStr">
        <is>
          <t>BARRETT BUSINESS SERVICES INC</t>
        </is>
      </c>
      <c r="D488" t="n">
        <v>7363</v>
      </c>
    </row>
    <row r="489">
      <c r="A489" t="inlineStr">
        <is>
          <t>BASSETT FURNITURE INDUSTRIES INC</t>
        </is>
      </c>
      <c r="B489" t="inlineStr">
        <is>
          <t>BSET</t>
        </is>
      </c>
      <c r="C489" t="inlineStr">
        <is>
          <t>BASSETT FURNITURE INDUSTRIES INC</t>
        </is>
      </c>
      <c r="D489" t="n">
        <v>2511</v>
      </c>
    </row>
    <row r="490">
      <c r="A490" t="inlineStr">
        <is>
          <t>BATH &amp; BODY WORKS, INC.</t>
        </is>
      </c>
      <c r="B490" t="inlineStr">
        <is>
          <t>BBWI</t>
        </is>
      </c>
      <c r="C490" t="inlineStr">
        <is>
          <t>BATH &amp; BODY WORKS, INC.</t>
        </is>
      </c>
      <c r="D490" t="n">
        <v>5621</v>
      </c>
    </row>
    <row r="491">
      <c r="A491" t="inlineStr">
        <is>
          <t>BATTALION OIL CORP</t>
        </is>
      </c>
      <c r="B491" t="inlineStr">
        <is>
          <t>BATL</t>
        </is>
      </c>
      <c r="C491" t="inlineStr">
        <is>
          <t>BATTALION OIL CORP</t>
        </is>
      </c>
      <c r="D491" t="n">
        <v>1311</v>
      </c>
    </row>
    <row r="492">
      <c r="A492" t="inlineStr">
        <is>
          <t>BAUDAX BIO, INC.</t>
        </is>
      </c>
      <c r="B492" t="inlineStr">
        <is>
          <t>BXRX</t>
        </is>
      </c>
      <c r="C492" t="inlineStr">
        <is>
          <t>BAUDAX BIO, INC.</t>
        </is>
      </c>
      <c r="D492" t="n">
        <v>8090</v>
      </c>
    </row>
    <row r="493">
      <c r="A493" t="inlineStr">
        <is>
          <t>BAUSCH HEALTH COMPANIES INC.</t>
        </is>
      </c>
      <c r="B493" t="inlineStr">
        <is>
          <t>BHC</t>
        </is>
      </c>
      <c r="C493" t="inlineStr">
        <is>
          <t>BAUSCH HEALTH COMPANIES INC.</t>
        </is>
      </c>
      <c r="D493" t="n">
        <v>2834</v>
      </c>
    </row>
    <row r="494">
      <c r="A494" t="inlineStr">
        <is>
          <t>BAXTER INTERNATIONAL INC</t>
        </is>
      </c>
      <c r="B494" t="inlineStr">
        <is>
          <t>BAX</t>
        </is>
      </c>
      <c r="C494" t="inlineStr">
        <is>
          <t>BAXTER INTERNATIONAL INC</t>
        </is>
      </c>
      <c r="D494" t="n">
        <v>3841</v>
      </c>
    </row>
    <row r="495">
      <c r="A495" t="inlineStr">
        <is>
          <t>BAYCOM CORP</t>
        </is>
      </c>
      <c r="B495" t="inlineStr">
        <is>
          <t>BCML</t>
        </is>
      </c>
      <c r="C495" t="inlineStr">
        <is>
          <t>BAYCOM CORP</t>
        </is>
      </c>
      <c r="D495" t="n">
        <v>6022</v>
      </c>
    </row>
    <row r="496">
      <c r="A496" t="inlineStr">
        <is>
          <t>BAYFIRST FINANCIAL CORP.</t>
        </is>
      </c>
      <c r="B496" t="inlineStr">
        <is>
          <t>BAFN</t>
        </is>
      </c>
      <c r="C496" t="inlineStr">
        <is>
          <t>BAYFIRST FINANCIAL CORP.</t>
        </is>
      </c>
      <c r="D496" t="n">
        <v>6022</v>
      </c>
    </row>
    <row r="497">
      <c r="A497" t="inlineStr">
        <is>
          <t>BBQ HOLDINGS, INC.</t>
        </is>
      </c>
      <c r="B497" t="inlineStr">
        <is>
          <t>BBQ</t>
        </is>
      </c>
      <c r="C497" t="inlineStr">
        <is>
          <t>BBQ HOLDINGS, INC.</t>
        </is>
      </c>
      <c r="D497" t="n">
        <v>5812</v>
      </c>
    </row>
    <row r="498">
      <c r="A498" t="inlineStr">
        <is>
          <t>BBX CAPITAL, INC.</t>
        </is>
      </c>
      <c r="B498" t="inlineStr">
        <is>
          <t>BBXIA</t>
        </is>
      </c>
      <c r="C498" t="inlineStr">
        <is>
          <t>BBX CAPITAL, INC.</t>
        </is>
      </c>
      <c r="D498" t="n">
        <v>5400</v>
      </c>
    </row>
    <row r="499">
      <c r="A499" t="inlineStr">
        <is>
          <t>BCB BANCORP INC</t>
        </is>
      </c>
      <c r="B499" t="inlineStr">
        <is>
          <t>BCBP</t>
        </is>
      </c>
      <c r="C499" t="inlineStr">
        <is>
          <t>BCB BANCORP INC</t>
        </is>
      </c>
      <c r="D499" t="n">
        <v>6035</v>
      </c>
    </row>
    <row r="500">
      <c r="A500" t="inlineStr">
        <is>
          <t>BEACHBODY COMPANY, INC.</t>
        </is>
      </c>
      <c r="B500" t="inlineStr">
        <is>
          <t>BODY</t>
        </is>
      </c>
      <c r="C500" t="inlineStr">
        <is>
          <t>BEACHBODY COMPANY, INC.</t>
        </is>
      </c>
      <c r="D500" t="n">
        <v>5960</v>
      </c>
    </row>
    <row r="501">
      <c r="A501" t="inlineStr">
        <is>
          <t>BEACON ROOFING SUPPLY INC</t>
        </is>
      </c>
      <c r="B501" t="inlineStr">
        <is>
          <t>BECN</t>
        </is>
      </c>
      <c r="C501" t="inlineStr">
        <is>
          <t>BEACON ROOFING SUPPLY INC</t>
        </is>
      </c>
      <c r="D501" t="n">
        <v>5030</v>
      </c>
    </row>
    <row r="502">
      <c r="A502" t="inlineStr">
        <is>
          <t>BEAM GLOBAL</t>
        </is>
      </c>
      <c r="B502" t="inlineStr">
        <is>
          <t>BEEM</t>
        </is>
      </c>
      <c r="C502" t="inlineStr">
        <is>
          <t>BEAM GLOBAL</t>
        </is>
      </c>
      <c r="D502" t="n">
        <v>3674</v>
      </c>
    </row>
    <row r="503">
      <c r="A503" t="inlineStr">
        <is>
          <t>BEAM THERAPEUTICS INC.</t>
        </is>
      </c>
      <c r="B503" t="inlineStr">
        <is>
          <t>BEAM</t>
        </is>
      </c>
      <c r="C503" t="inlineStr">
        <is>
          <t>BEAM THERAPEUTICS INC.</t>
        </is>
      </c>
      <c r="D503" t="n">
        <v>2836</v>
      </c>
    </row>
    <row r="504">
      <c r="A504" t="inlineStr">
        <is>
          <t>BEASLEY BROADCAST GROUP INC</t>
        </is>
      </c>
      <c r="B504" t="inlineStr">
        <is>
          <t>BBGI</t>
        </is>
      </c>
      <c r="C504" t="inlineStr">
        <is>
          <t>BEASLEY BROADCAST GROUP INC</t>
        </is>
      </c>
      <c r="D504" t="n">
        <v>4832</v>
      </c>
    </row>
    <row r="505">
      <c r="A505" t="inlineStr">
        <is>
          <t>BEAUTY HEALTH CO</t>
        </is>
      </c>
      <c r="B505" t="inlineStr">
        <is>
          <t>SKIN</t>
        </is>
      </c>
      <c r="C505" t="inlineStr">
        <is>
          <t>BEAUTY HEALTH CO</t>
        </is>
      </c>
      <c r="D505" t="n">
        <v>3841</v>
      </c>
    </row>
    <row r="506">
      <c r="A506" t="inlineStr">
        <is>
          <t>BEAZER HOMES USA INC</t>
        </is>
      </c>
      <c r="B506" t="inlineStr">
        <is>
          <t>BZH</t>
        </is>
      </c>
      <c r="C506" t="inlineStr">
        <is>
          <t>BEAZER HOMES USA INC</t>
        </is>
      </c>
      <c r="D506" t="n">
        <v>1531</v>
      </c>
    </row>
    <row r="507">
      <c r="A507" t="inlineStr">
        <is>
          <t>BECTON DICKINSON &amp; CO</t>
        </is>
      </c>
      <c r="B507" t="inlineStr">
        <is>
          <t>BDX</t>
        </is>
      </c>
      <c r="C507" t="inlineStr">
        <is>
          <t>BECTON DICKINSON &amp; CO</t>
        </is>
      </c>
      <c r="D507" t="n">
        <v>3841</v>
      </c>
    </row>
    <row r="508">
      <c r="A508" t="inlineStr">
        <is>
          <t>BED BATH &amp; BEYOND INC</t>
        </is>
      </c>
      <c r="B508" t="inlineStr">
        <is>
          <t>BBBY</t>
        </is>
      </c>
      <c r="C508" t="inlineStr">
        <is>
          <t>BED BATH &amp; BEYOND INC</t>
        </is>
      </c>
      <c r="D508" t="n">
        <v>5700</v>
      </c>
    </row>
    <row r="509">
      <c r="A509" t="inlineStr">
        <is>
          <t>BEIGENE, LTD.</t>
        </is>
      </c>
      <c r="B509" t="inlineStr">
        <is>
          <t>BGNE</t>
        </is>
      </c>
      <c r="C509" t="inlineStr">
        <is>
          <t>BEIGENE, LTD.</t>
        </is>
      </c>
      <c r="D509" t="n">
        <v>2834</v>
      </c>
    </row>
    <row r="510">
      <c r="A510" t="inlineStr">
        <is>
          <t>BEL FUSE INC /NJ</t>
        </is>
      </c>
      <c r="B510" t="inlineStr">
        <is>
          <t>BELFA</t>
        </is>
      </c>
      <c r="C510" t="inlineStr">
        <is>
          <t>BEL FUSE INC /NJ</t>
        </is>
      </c>
      <c r="D510" t="n">
        <v>3677</v>
      </c>
    </row>
    <row r="511">
      <c r="A511" t="inlineStr">
        <is>
          <t>BELDEN INC.</t>
        </is>
      </c>
      <c r="B511" t="inlineStr">
        <is>
          <t>BDC</t>
        </is>
      </c>
      <c r="C511" t="inlineStr">
        <is>
          <t>BELDEN INC.</t>
        </is>
      </c>
      <c r="D511" t="n">
        <v>3357</v>
      </c>
    </row>
    <row r="512">
      <c r="A512" t="inlineStr">
        <is>
          <t>BELLICUM PHARMACEUTICALS, INC</t>
        </is>
      </c>
      <c r="B512" t="inlineStr">
        <is>
          <t>BLCM</t>
        </is>
      </c>
      <c r="C512" t="inlineStr">
        <is>
          <t>BELLICUM PHARMACEUTICALS, INC</t>
        </is>
      </c>
      <c r="D512" t="n">
        <v>2834</v>
      </c>
    </row>
    <row r="513">
      <c r="A513" t="inlineStr">
        <is>
          <t>BELLRING BRANDS, INC.</t>
        </is>
      </c>
      <c r="B513" t="inlineStr">
        <is>
          <t>BRBR</t>
        </is>
      </c>
      <c r="C513" t="inlineStr">
        <is>
          <t>BELLRING BRANDS, INC.</t>
        </is>
      </c>
      <c r="D513" t="n">
        <v>2000</v>
      </c>
    </row>
    <row r="514">
      <c r="A514" t="inlineStr">
        <is>
          <t>BENCHMARK ELECTRONICS INC</t>
        </is>
      </c>
      <c r="B514" t="inlineStr">
        <is>
          <t>BHE</t>
        </is>
      </c>
      <c r="C514" t="inlineStr">
        <is>
          <t>BENCHMARK ELECTRONICS INC</t>
        </is>
      </c>
      <c r="D514" t="n">
        <v>3672</v>
      </c>
    </row>
    <row r="515">
      <c r="A515" t="inlineStr">
        <is>
          <t>BENEFITFOCUS, INC.</t>
        </is>
      </c>
      <c r="B515" t="inlineStr">
        <is>
          <t>BNFT</t>
        </is>
      </c>
      <c r="C515" t="inlineStr">
        <is>
          <t>BENEFITFOCUS, INC.</t>
        </is>
      </c>
      <c r="D515" t="n">
        <v>7372</v>
      </c>
    </row>
    <row r="516">
      <c r="A516" t="inlineStr">
        <is>
          <t>BENSON HILL, INC.</t>
        </is>
      </c>
      <c r="B516" t="inlineStr">
        <is>
          <t>BHIL</t>
        </is>
      </c>
      <c r="C516" t="inlineStr">
        <is>
          <t>BENSON HILL, INC.</t>
        </is>
      </c>
      <c r="D516" t="n">
        <v>2000</v>
      </c>
    </row>
    <row r="517">
      <c r="A517" t="inlineStr">
        <is>
          <t>BENTLEY SYSTEMS INC</t>
        </is>
      </c>
      <c r="B517" t="inlineStr">
        <is>
          <t>BSY</t>
        </is>
      </c>
      <c r="C517" t="inlineStr">
        <is>
          <t>BENTLEY SYSTEMS INC</t>
        </is>
      </c>
      <c r="D517" t="n">
        <v>7372</v>
      </c>
    </row>
    <row r="518">
      <c r="A518" t="inlineStr">
        <is>
          <t>BERKELEY LIGHTS, INC.</t>
        </is>
      </c>
      <c r="B518" t="inlineStr">
        <is>
          <t>BLI</t>
        </is>
      </c>
      <c r="C518" t="inlineStr">
        <is>
          <t>BERKELEY LIGHTS, INC.</t>
        </is>
      </c>
      <c r="D518" t="n">
        <v>3826</v>
      </c>
    </row>
    <row r="519">
      <c r="A519" t="inlineStr">
        <is>
          <t>BERKLEY W R CORP</t>
        </is>
      </c>
      <c r="B519" t="inlineStr">
        <is>
          <t>WRB</t>
        </is>
      </c>
      <c r="C519" t="inlineStr">
        <is>
          <t>BERKLEY W R CORP</t>
        </is>
      </c>
      <c r="D519" t="n">
        <v>6331</v>
      </c>
    </row>
    <row r="520">
      <c r="A520" t="inlineStr">
        <is>
          <t>BERKSHIRE GREY, INC.</t>
        </is>
      </c>
      <c r="B520" t="inlineStr">
        <is>
          <t>BGRY</t>
        </is>
      </c>
      <c r="C520" t="inlineStr">
        <is>
          <t>BERKSHIRE GREY, INC.</t>
        </is>
      </c>
      <c r="D520" t="n">
        <v>3569</v>
      </c>
    </row>
    <row r="521">
      <c r="A521" t="inlineStr">
        <is>
          <t>BERKSHIRE HATHAWAY INC</t>
        </is>
      </c>
      <c r="B521" t="inlineStr">
        <is>
          <t>BRK-B</t>
        </is>
      </c>
      <c r="C521" t="inlineStr">
        <is>
          <t>BERKSHIRE HATHAWAY INC</t>
        </is>
      </c>
      <c r="D521" t="n">
        <v>6331</v>
      </c>
    </row>
    <row r="522">
      <c r="A522" t="inlineStr">
        <is>
          <t>BERKSHIRE HILLS BANCORP INC</t>
        </is>
      </c>
      <c r="B522" t="inlineStr">
        <is>
          <t>BHLB</t>
        </is>
      </c>
      <c r="C522" t="inlineStr">
        <is>
          <t>BERKSHIRE HILLS BANCORP INC</t>
        </is>
      </c>
      <c r="D522" t="n">
        <v>6036</v>
      </c>
    </row>
    <row r="523">
      <c r="A523" t="inlineStr">
        <is>
          <t>BERRY CORP (BRY)</t>
        </is>
      </c>
      <c r="B523" t="inlineStr">
        <is>
          <t>BRY</t>
        </is>
      </c>
      <c r="C523" t="inlineStr">
        <is>
          <t>BERRY CORP (BRY)</t>
        </is>
      </c>
      <c r="D523" t="n">
        <v>1311</v>
      </c>
    </row>
    <row r="524">
      <c r="A524" t="inlineStr">
        <is>
          <t>BERRY GLOBAL GROUP, INC.</t>
        </is>
      </c>
      <c r="B524" t="inlineStr">
        <is>
          <t>BERY</t>
        </is>
      </c>
      <c r="C524" t="inlineStr">
        <is>
          <t>BERRY GLOBAL GROUP, INC.</t>
        </is>
      </c>
      <c r="D524" t="n">
        <v>3089</v>
      </c>
    </row>
    <row r="525">
      <c r="A525" t="inlineStr">
        <is>
          <t>BEST BUY CO INC</t>
        </is>
      </c>
      <c r="B525" t="inlineStr">
        <is>
          <t>BBY</t>
        </is>
      </c>
      <c r="C525" t="inlineStr">
        <is>
          <t>BEST BUY CO INC</t>
        </is>
      </c>
      <c r="D525" t="n">
        <v>5731</v>
      </c>
    </row>
    <row r="526">
      <c r="A526" t="inlineStr">
        <is>
          <t>BEST INC.</t>
        </is>
      </c>
      <c r="B526" t="inlineStr">
        <is>
          <t>BEST</t>
        </is>
      </c>
      <c r="C526" t="inlineStr">
        <is>
          <t>BEST INC.</t>
        </is>
      </c>
      <c r="D526" t="n">
        <v>4210</v>
      </c>
    </row>
    <row r="527">
      <c r="A527" t="inlineStr">
        <is>
          <t>BETTER CHOICE CO INC.</t>
        </is>
      </c>
      <c r="B527" t="inlineStr">
        <is>
          <t>BTTR</t>
        </is>
      </c>
      <c r="C527" t="inlineStr">
        <is>
          <t>BETTER CHOICE CO INC.</t>
        </is>
      </c>
      <c r="D527" t="n">
        <v>2080</v>
      </c>
    </row>
    <row r="528">
      <c r="A528" t="inlineStr">
        <is>
          <t>BEYOND AIR, INC.</t>
        </is>
      </c>
      <c r="B528" t="inlineStr">
        <is>
          <t>XAIR</t>
        </is>
      </c>
      <c r="C528" t="inlineStr">
        <is>
          <t>BEYOND AIR, INC.</t>
        </is>
      </c>
      <c r="D528" t="n">
        <v>3841</v>
      </c>
    </row>
    <row r="529">
      <c r="A529" t="inlineStr">
        <is>
          <t>BEYOND MEAT, INC.</t>
        </is>
      </c>
      <c r="B529" t="inlineStr">
        <is>
          <t>BYND</t>
        </is>
      </c>
      <c r="C529" t="inlineStr">
        <is>
          <t>BEYOND MEAT, INC.</t>
        </is>
      </c>
      <c r="D529" t="n">
        <v>2000</v>
      </c>
    </row>
    <row r="530">
      <c r="A530" t="inlineStr">
        <is>
          <t>BEYONDSPRING INC.</t>
        </is>
      </c>
      <c r="B530" t="inlineStr">
        <is>
          <t>BYSI</t>
        </is>
      </c>
      <c r="C530" t="inlineStr">
        <is>
          <t>BEYONDSPRING INC.</t>
        </is>
      </c>
      <c r="D530" t="n">
        <v>2834</v>
      </c>
    </row>
    <row r="531">
      <c r="A531" t="inlineStr">
        <is>
          <t>BGC PARTNERS, INC.</t>
        </is>
      </c>
      <c r="B531" t="inlineStr">
        <is>
          <t>BGCP</t>
        </is>
      </c>
      <c r="C531" t="inlineStr">
        <is>
          <t>BGC PARTNERS, INC.</t>
        </is>
      </c>
      <c r="D531" t="n">
        <v>6200</v>
      </c>
    </row>
    <row r="532">
      <c r="A532" t="inlineStr">
        <is>
          <t>BGSF, INC.</t>
        </is>
      </c>
      <c r="B532" t="inlineStr">
        <is>
          <t>BGSF</t>
        </is>
      </c>
      <c r="C532" t="inlineStr">
        <is>
          <t>BGSF, INC.</t>
        </is>
      </c>
      <c r="D532" t="n">
        <v>7363</v>
      </c>
    </row>
    <row r="533">
      <c r="A533" t="inlineStr">
        <is>
          <t>BICYCLE THERAPEUTICS PLC</t>
        </is>
      </c>
      <c r="B533" t="inlineStr">
        <is>
          <t>BCYC</t>
        </is>
      </c>
      <c r="C533" t="inlineStr">
        <is>
          <t>BICYCLE THERAPEUTICS PLC</t>
        </is>
      </c>
      <c r="D533" t="n">
        <v>2834</v>
      </c>
    </row>
    <row r="534">
      <c r="A534" t="inlineStr">
        <is>
          <t>BIG 5 SPORTING GOODS CORP</t>
        </is>
      </c>
      <c r="B534" t="inlineStr">
        <is>
          <t>BGFV</t>
        </is>
      </c>
      <c r="C534" t="inlineStr">
        <is>
          <t>BIG 5 SPORTING GOODS CORP</t>
        </is>
      </c>
      <c r="D534" t="n">
        <v>5940</v>
      </c>
    </row>
    <row r="535">
      <c r="A535" t="inlineStr">
        <is>
          <t>BIG LOTS INC</t>
        </is>
      </c>
      <c r="B535" t="inlineStr">
        <is>
          <t>BIG</t>
        </is>
      </c>
      <c r="C535" t="inlineStr">
        <is>
          <t>BIG LOTS INC</t>
        </is>
      </c>
      <c r="D535" t="n">
        <v>5331</v>
      </c>
    </row>
    <row r="536">
      <c r="A536" t="inlineStr">
        <is>
          <t>BIGCOMMERCE HOLDINGS, INC.</t>
        </is>
      </c>
      <c r="B536" t="inlineStr">
        <is>
          <t>BIGC</t>
        </is>
      </c>
      <c r="C536" t="inlineStr">
        <is>
          <t>BIGCOMMERCE HOLDINGS, INC.</t>
        </is>
      </c>
      <c r="D536" t="n">
        <v>7372</v>
      </c>
    </row>
    <row r="537">
      <c r="A537" t="inlineStr">
        <is>
          <t>BIGLARI HOLDINGS INC.</t>
        </is>
      </c>
      <c r="B537" t="inlineStr">
        <is>
          <t>BH-A</t>
        </is>
      </c>
      <c r="C537" t="inlineStr">
        <is>
          <t>BIGLARI HOLDINGS INC.</t>
        </is>
      </c>
      <c r="D537" t="n">
        <v>5812</v>
      </c>
    </row>
    <row r="538">
      <c r="A538" t="inlineStr">
        <is>
          <t>BILIBILI INC.</t>
        </is>
      </c>
      <c r="B538" t="inlineStr">
        <is>
          <t>BILI</t>
        </is>
      </c>
      <c r="C538" t="inlineStr">
        <is>
          <t>BILIBILI INC.</t>
        </is>
      </c>
      <c r="D538" t="n">
        <v>7374</v>
      </c>
    </row>
    <row r="539">
      <c r="A539" t="inlineStr">
        <is>
          <t>BILL.COM HOLDINGS, INC.</t>
        </is>
      </c>
      <c r="B539" t="inlineStr">
        <is>
          <t>BILL</t>
        </is>
      </c>
      <c r="C539" t="inlineStr">
        <is>
          <t>BILL.COM HOLDINGS, INC.</t>
        </is>
      </c>
      <c r="D539" t="n">
        <v>7372</v>
      </c>
    </row>
    <row r="540">
      <c r="A540" t="inlineStr">
        <is>
          <t>BIMI INTERNATIONAL MEDICAL INC.</t>
        </is>
      </c>
      <c r="B540" t="inlineStr">
        <is>
          <t>BIMI</t>
        </is>
      </c>
      <c r="C540" t="inlineStr">
        <is>
          <t>BIMI INTERNATIONAL MEDICAL INC.</t>
        </is>
      </c>
      <c r="D540" t="n">
        <v>5122</v>
      </c>
    </row>
    <row r="541">
      <c r="A541" t="inlineStr">
        <is>
          <t>BIMINI CAPITAL MANAGEMENT, INC.</t>
        </is>
      </c>
      <c r="B541" t="inlineStr">
        <is>
          <t>BMNM</t>
        </is>
      </c>
      <c r="C541" t="inlineStr">
        <is>
          <t>BIMINI CAPITAL MANAGEMENT, INC.</t>
        </is>
      </c>
      <c r="D541" t="n">
        <v>6798</v>
      </c>
    </row>
    <row r="542">
      <c r="A542" t="inlineStr">
        <is>
          <t>BIO KEY INTERNATIONAL INC</t>
        </is>
      </c>
      <c r="B542" t="inlineStr">
        <is>
          <t>BKYI</t>
        </is>
      </c>
      <c r="C542" t="inlineStr">
        <is>
          <t>BIO KEY INTERNATIONAL INC</t>
        </is>
      </c>
      <c r="D542" t="n">
        <v>3576</v>
      </c>
    </row>
    <row r="543">
      <c r="A543" t="inlineStr">
        <is>
          <t>BIO-RAD LABORATORIES, INC.</t>
        </is>
      </c>
      <c r="B543" t="inlineStr">
        <is>
          <t>BIO</t>
        </is>
      </c>
      <c r="C543" t="inlineStr">
        <is>
          <t>BIO-RAD LABORATORIES, INC.</t>
        </is>
      </c>
      <c r="D543" t="n">
        <v>3826</v>
      </c>
    </row>
    <row r="544">
      <c r="A544" t="inlineStr">
        <is>
          <t>BIO-TECHNE CORP</t>
        </is>
      </c>
      <c r="B544" t="inlineStr">
        <is>
          <t>TECH</t>
        </is>
      </c>
      <c r="C544" t="inlineStr">
        <is>
          <t>BIO-TECHNE CORP</t>
        </is>
      </c>
      <c r="D544" t="n">
        <v>2836</v>
      </c>
    </row>
    <row r="545">
      <c r="A545" t="inlineStr">
        <is>
          <t>BIOCARDIA, INC.</t>
        </is>
      </c>
      <c r="B545" t="inlineStr">
        <is>
          <t>BCDA</t>
        </is>
      </c>
      <c r="C545" t="inlineStr">
        <is>
          <t>BIOCARDIA, INC.</t>
        </is>
      </c>
      <c r="D545" t="n">
        <v>2836</v>
      </c>
    </row>
    <row r="546">
      <c r="A546" t="inlineStr">
        <is>
          <t>BIOCEPT INC</t>
        </is>
      </c>
      <c r="B546" t="inlineStr">
        <is>
          <t>BIOC</t>
        </is>
      </c>
      <c r="C546" t="inlineStr">
        <is>
          <t>BIOCEPT INC</t>
        </is>
      </c>
      <c r="D546" t="n">
        <v>8071</v>
      </c>
    </row>
    <row r="547">
      <c r="A547" t="inlineStr">
        <is>
          <t>BIOCRYST PHARMACEUTICALS INC</t>
        </is>
      </c>
      <c r="B547" t="inlineStr">
        <is>
          <t>BCRX</t>
        </is>
      </c>
      <c r="C547" t="inlineStr">
        <is>
          <t>BIOCRYST PHARMACEUTICALS INC</t>
        </is>
      </c>
      <c r="D547" t="n">
        <v>2836</v>
      </c>
    </row>
    <row r="548">
      <c r="A548" t="inlineStr">
        <is>
          <t>BIODESIX INC</t>
        </is>
      </c>
      <c r="B548" t="inlineStr">
        <is>
          <t>BDSX</t>
        </is>
      </c>
      <c r="C548" t="inlineStr">
        <is>
          <t>BIODESIX INC</t>
        </is>
      </c>
      <c r="D548" t="n">
        <v>8071</v>
      </c>
    </row>
    <row r="549">
      <c r="A549" t="inlineStr">
        <is>
          <t>BIOFRONTERA INC.</t>
        </is>
      </c>
      <c r="B549" t="inlineStr">
        <is>
          <t>BFRI</t>
        </is>
      </c>
      <c r="C549" t="inlineStr">
        <is>
          <t>BIOFRONTERA INC.</t>
        </is>
      </c>
      <c r="D549" t="n">
        <v>2834</v>
      </c>
    </row>
    <row r="550">
      <c r="A550" t="inlineStr">
        <is>
          <t>BIOGEN INC.</t>
        </is>
      </c>
      <c r="B550" t="inlineStr">
        <is>
          <t>BIIB</t>
        </is>
      </c>
      <c r="C550" t="inlineStr">
        <is>
          <t>BIOGEN INC.</t>
        </is>
      </c>
      <c r="D550" t="n">
        <v>2836</v>
      </c>
    </row>
    <row r="551">
      <c r="A551" t="inlineStr">
        <is>
          <t>BIOHAVEN PHARMACEUTICAL HOLDING CO LTD.</t>
        </is>
      </c>
      <c r="B551" t="inlineStr">
        <is>
          <t>BHVN</t>
        </is>
      </c>
      <c r="C551" t="inlineStr">
        <is>
          <t>BIOHAVEN PHARMACEUTICAL HOLDING CO LTD.</t>
        </is>
      </c>
      <c r="D551" t="n">
        <v>2834</v>
      </c>
    </row>
    <row r="552">
      <c r="A552" t="inlineStr">
        <is>
          <t>BIOLASE, INC</t>
        </is>
      </c>
      <c r="B552" t="inlineStr">
        <is>
          <t>BIOL</t>
        </is>
      </c>
      <c r="C552" t="inlineStr">
        <is>
          <t>BIOLASE, INC</t>
        </is>
      </c>
      <c r="D552" t="n">
        <v>3843</v>
      </c>
    </row>
    <row r="553">
      <c r="A553" t="inlineStr">
        <is>
          <t>BIOLIFE SOLUTIONS INC</t>
        </is>
      </c>
      <c r="B553" t="inlineStr">
        <is>
          <t>BLFS</t>
        </is>
      </c>
      <c r="C553" t="inlineStr">
        <is>
          <t>BIOLIFE SOLUTIONS INC</t>
        </is>
      </c>
      <c r="D553" t="n">
        <v>3845</v>
      </c>
    </row>
    <row r="554">
      <c r="A554" t="inlineStr">
        <is>
          <t>BIOMARIN PHARMACEUTICAL INC</t>
        </is>
      </c>
      <c r="B554" t="inlineStr">
        <is>
          <t>BMRN</t>
        </is>
      </c>
      <c r="C554" t="inlineStr">
        <is>
          <t>BIOMARIN PHARMACEUTICAL INC</t>
        </is>
      </c>
      <c r="D554" t="n">
        <v>2834</v>
      </c>
    </row>
    <row r="555">
      <c r="A555" t="inlineStr">
        <is>
          <t>BIOMERICA INC</t>
        </is>
      </c>
      <c r="B555" t="inlineStr">
        <is>
          <t>BMRA</t>
        </is>
      </c>
      <c r="C555" t="inlineStr">
        <is>
          <t>BIOMERICA INC</t>
        </is>
      </c>
      <c r="D555" t="n">
        <v>2835</v>
      </c>
    </row>
    <row r="556">
      <c r="A556" t="inlineStr">
        <is>
          <t>BIOSIG TECHNOLOGIES, INC.</t>
        </is>
      </c>
      <c r="B556" t="inlineStr">
        <is>
          <t>BSGM</t>
        </is>
      </c>
      <c r="C556" t="inlineStr">
        <is>
          <t>BIOSIG TECHNOLOGIES, INC.</t>
        </is>
      </c>
      <c r="D556" t="n">
        <v>3845</v>
      </c>
    </row>
    <row r="557">
      <c r="A557" t="inlineStr">
        <is>
          <t>BIOVENTUS INC.</t>
        </is>
      </c>
      <c r="B557" t="inlineStr">
        <is>
          <t>BVS</t>
        </is>
      </c>
      <c r="C557" t="inlineStr">
        <is>
          <t>BIOVENTUS INC.</t>
        </is>
      </c>
      <c r="D557" t="n">
        <v>3841</v>
      </c>
    </row>
    <row r="558">
      <c r="A558" t="inlineStr">
        <is>
          <t>BIRD GLOBAL, INC.</t>
        </is>
      </c>
      <c r="B558" t="inlineStr">
        <is>
          <t>BRDS</t>
        </is>
      </c>
      <c r="C558" t="inlineStr">
        <is>
          <t>BIRD GLOBAL, INC.</t>
        </is>
      </c>
      <c r="D558" t="n">
        <v>3751</v>
      </c>
    </row>
    <row r="559">
      <c r="A559" t="inlineStr">
        <is>
          <t>BIRKS GROUP INC.</t>
        </is>
      </c>
      <c r="B559" t="inlineStr">
        <is>
          <t>BGI</t>
        </is>
      </c>
      <c r="C559" t="inlineStr">
        <is>
          <t>BIRKS GROUP INC.</t>
        </is>
      </c>
      <c r="D559" t="n">
        <v>5944</v>
      </c>
    </row>
    <row r="560">
      <c r="A560" t="inlineStr">
        <is>
          <t>BIT BROTHER LTD</t>
        </is>
      </c>
      <c r="B560" t="inlineStr">
        <is>
          <t>BTB</t>
        </is>
      </c>
      <c r="C560" t="inlineStr">
        <is>
          <t>BIT BROTHER LTD</t>
        </is>
      </c>
      <c r="D560" t="n">
        <v>5812</v>
      </c>
    </row>
    <row r="561">
      <c r="A561" t="inlineStr">
        <is>
          <t>BIT DIGITAL, INC</t>
        </is>
      </c>
      <c r="B561" t="inlineStr">
        <is>
          <t>BTBT</t>
        </is>
      </c>
      <c r="C561" t="inlineStr">
        <is>
          <t>BIT DIGITAL, INC</t>
        </is>
      </c>
      <c r="D561" t="n">
        <v>6199</v>
      </c>
    </row>
    <row r="562">
      <c r="A562" t="inlineStr">
        <is>
          <t>BIT MINING LTD</t>
        </is>
      </c>
      <c r="B562" t="inlineStr">
        <is>
          <t>BTCM</t>
        </is>
      </c>
      <c r="C562" t="inlineStr">
        <is>
          <t>BIT MINING LTD</t>
        </is>
      </c>
      <c r="D562" t="n">
        <v>7374</v>
      </c>
    </row>
    <row r="563">
      <c r="A563" t="inlineStr">
        <is>
          <t>BITNILE HOLDINGS, INC.</t>
        </is>
      </c>
      <c r="B563" t="inlineStr">
        <is>
          <t>NILE</t>
        </is>
      </c>
      <c r="C563" t="inlineStr">
        <is>
          <t>BITNILE HOLDINGS, INC.</t>
        </is>
      </c>
      <c r="D563" t="n">
        <v>3679</v>
      </c>
    </row>
    <row r="564">
      <c r="A564" t="inlineStr">
        <is>
          <t>BJ'S WHOLESALE CLUB HOLDINGS, INC.</t>
        </is>
      </c>
      <c r="B564" t="inlineStr">
        <is>
          <t>BJ</t>
        </is>
      </c>
      <c r="C564" t="inlineStr">
        <is>
          <t>BJ'S WHOLESALE CLUB HOLDINGS, INC.</t>
        </is>
      </c>
      <c r="D564" t="n">
        <v>5331</v>
      </c>
    </row>
    <row r="565">
      <c r="A565" t="inlineStr">
        <is>
          <t>BJS RESTAURANTS INC</t>
        </is>
      </c>
      <c r="B565" t="inlineStr">
        <is>
          <t>BJRI</t>
        </is>
      </c>
      <c r="C565" t="inlineStr">
        <is>
          <t>BJS RESTAURANTS INC</t>
        </is>
      </c>
      <c r="D565" t="n">
        <v>5812</v>
      </c>
    </row>
    <row r="566">
      <c r="A566" t="inlineStr">
        <is>
          <t>BK TECHNOLOGIES</t>
        </is>
      </c>
      <c r="B566" t="inlineStr">
        <is>
          <t>BKTI</t>
        </is>
      </c>
      <c r="C566" t="inlineStr">
        <is>
          <t>BK TECHNOLOGIES</t>
        </is>
      </c>
      <c r="D566" t="n">
        <v>3663</v>
      </c>
    </row>
    <row r="567">
      <c r="A567" t="inlineStr">
        <is>
          <t>BLACK HILLS CORP /SD/</t>
        </is>
      </c>
      <c r="B567" t="inlineStr">
        <is>
          <t>BKH</t>
        </is>
      </c>
      <c r="C567" t="inlineStr">
        <is>
          <t>BLACK HILLS CORP /SD/</t>
        </is>
      </c>
      <c r="D567" t="n">
        <v>4911</v>
      </c>
    </row>
    <row r="568">
      <c r="A568" t="inlineStr">
        <is>
          <t>BLACK KNIGHT, INC.</t>
        </is>
      </c>
      <c r="B568" t="inlineStr">
        <is>
          <t>BKI</t>
        </is>
      </c>
      <c r="C568" t="inlineStr">
        <is>
          <t>BLACK KNIGHT, INC.</t>
        </is>
      </c>
      <c r="D568" t="n">
        <v>7372</v>
      </c>
    </row>
    <row r="569">
      <c r="A569" t="inlineStr">
        <is>
          <t>BLACK STONE MINERALS, L.P.</t>
        </is>
      </c>
      <c r="B569" t="inlineStr">
        <is>
          <t>BSM</t>
        </is>
      </c>
      <c r="C569" t="inlineStr">
        <is>
          <t>BLACK STONE MINERALS, L.P.</t>
        </is>
      </c>
      <c r="D569" t="n">
        <v>1311</v>
      </c>
    </row>
    <row r="570">
      <c r="A570" t="inlineStr">
        <is>
          <t>BLACKBAUD INC</t>
        </is>
      </c>
      <c r="B570" t="inlineStr">
        <is>
          <t>BLKB</t>
        </is>
      </c>
      <c r="C570" t="inlineStr">
        <is>
          <t>BLACKBAUD INC</t>
        </is>
      </c>
      <c r="D570" t="n">
        <v>7372</v>
      </c>
    </row>
    <row r="571">
      <c r="A571" t="inlineStr">
        <is>
          <t>BLACKBERRY LTD</t>
        </is>
      </c>
      <c r="B571" t="inlineStr">
        <is>
          <t>BB</t>
        </is>
      </c>
      <c r="C571" t="inlineStr">
        <is>
          <t>BLACKBERRY LTD</t>
        </is>
      </c>
      <c r="D571" t="n">
        <v>7372</v>
      </c>
    </row>
    <row r="572">
      <c r="A572" t="inlineStr">
        <is>
          <t>BLACKLINE, INC.</t>
        </is>
      </c>
      <c r="B572" t="inlineStr">
        <is>
          <t>BL</t>
        </is>
      </c>
      <c r="C572" t="inlineStr">
        <is>
          <t>BLACKLINE, INC.</t>
        </is>
      </c>
      <c r="D572" t="n">
        <v>7372</v>
      </c>
    </row>
    <row r="573">
      <c r="A573" t="inlineStr">
        <is>
          <t>BLACKROCK INC.</t>
        </is>
      </c>
      <c r="B573" t="inlineStr">
        <is>
          <t>BLK</t>
        </is>
      </c>
      <c r="C573" t="inlineStr">
        <is>
          <t>BLACKROCK INC.</t>
        </is>
      </c>
      <c r="D573" t="n">
        <v>6211</v>
      </c>
    </row>
    <row r="574">
      <c r="A574" t="inlineStr">
        <is>
          <t>BLACKSKY TECHNOLOGY INC.</t>
        </is>
      </c>
      <c r="B574" t="inlineStr">
        <is>
          <t>BKSY</t>
        </is>
      </c>
      <c r="C574" t="inlineStr">
        <is>
          <t>BLACKSKY TECHNOLOGY INC.</t>
        </is>
      </c>
      <c r="D574" t="n">
        <v>3663</v>
      </c>
    </row>
    <row r="575">
      <c r="A575" t="inlineStr">
        <is>
          <t>BLACKSTONE INC</t>
        </is>
      </c>
      <c r="B575" t="inlineStr">
        <is>
          <t>BX</t>
        </is>
      </c>
      <c r="C575" t="inlineStr">
        <is>
          <t>BLACKSTONE INC</t>
        </is>
      </c>
      <c r="D575" t="n">
        <v>6282</v>
      </c>
    </row>
    <row r="576">
      <c r="A576" t="inlineStr">
        <is>
          <t>BLACKSTONE MORTGAGE TRUST, INC.</t>
        </is>
      </c>
      <c r="B576" t="inlineStr">
        <is>
          <t>BXMT</t>
        </is>
      </c>
      <c r="C576" t="inlineStr">
        <is>
          <t>BLACKSTONE MORTGAGE TRUST, INC.</t>
        </is>
      </c>
      <c r="D576" t="n">
        <v>6798</v>
      </c>
    </row>
    <row r="577">
      <c r="A577" t="inlineStr">
        <is>
          <t>BLADE AIR MOBILITY, INC.</t>
        </is>
      </c>
      <c r="B577" t="inlineStr">
        <is>
          <t>BLDE</t>
        </is>
      </c>
      <c r="C577" t="inlineStr">
        <is>
          <t>BLADE AIR MOBILITY, INC.</t>
        </is>
      </c>
      <c r="D577" t="n">
        <v>4522</v>
      </c>
    </row>
    <row r="578">
      <c r="A578" t="inlineStr">
        <is>
          <t>BLEND LABS, INC.</t>
        </is>
      </c>
      <c r="B578" t="inlineStr">
        <is>
          <t>BLND</t>
        </is>
      </c>
      <c r="C578" t="inlineStr">
        <is>
          <t>BLEND LABS, INC.</t>
        </is>
      </c>
      <c r="D578" t="n">
        <v>7370</v>
      </c>
    </row>
    <row r="579">
      <c r="A579" t="inlineStr">
        <is>
          <t>BLINK CHARGING CO.</t>
        </is>
      </c>
      <c r="B579" t="inlineStr">
        <is>
          <t>BLNK</t>
        </is>
      </c>
      <c r="C579" t="inlineStr">
        <is>
          <t>BLINK CHARGING CO.</t>
        </is>
      </c>
      <c r="D579" t="n">
        <v>3790</v>
      </c>
    </row>
    <row r="580">
      <c r="A580" t="inlineStr">
        <is>
          <t>BLOCK, INC.</t>
        </is>
      </c>
      <c r="B580" t="inlineStr">
        <is>
          <t>SQ</t>
        </is>
      </c>
      <c r="C580" t="inlineStr">
        <is>
          <t>BLOCK, INC.</t>
        </is>
      </c>
      <c r="D580" t="n">
        <v>7372</v>
      </c>
    </row>
    <row r="581">
      <c r="A581" t="inlineStr">
        <is>
          <t>BLOOM ENERGY CORP</t>
        </is>
      </c>
      <c r="B581" t="inlineStr">
        <is>
          <t>BE</t>
        </is>
      </c>
      <c r="C581" t="inlineStr">
        <is>
          <t>BLOOM ENERGY CORP</t>
        </is>
      </c>
      <c r="D581" t="n">
        <v>3620</v>
      </c>
    </row>
    <row r="582">
      <c r="A582" t="inlineStr">
        <is>
          <t>BLOOMIN' BRANDS, INC.</t>
        </is>
      </c>
      <c r="B582" t="inlineStr">
        <is>
          <t>BLMN</t>
        </is>
      </c>
      <c r="C582" t="inlineStr">
        <is>
          <t>BLOOMIN' BRANDS, INC.</t>
        </is>
      </c>
      <c r="D582" t="n">
        <v>5812</v>
      </c>
    </row>
    <row r="583">
      <c r="A583" t="inlineStr">
        <is>
          <t>BLUCORA, INC.</t>
        </is>
      </c>
      <c r="B583" t="inlineStr">
        <is>
          <t>BCOR</t>
        </is>
      </c>
      <c r="C583" t="inlineStr">
        <is>
          <t>BLUCORA, INC.</t>
        </is>
      </c>
      <c r="D583" t="n">
        <v>6199</v>
      </c>
    </row>
    <row r="584">
      <c r="A584" t="inlineStr">
        <is>
          <t>BLUE APRON HOLDINGS, INC.</t>
        </is>
      </c>
      <c r="B584" t="inlineStr">
        <is>
          <t>APRN</t>
        </is>
      </c>
      <c r="C584" t="inlineStr">
        <is>
          <t>BLUE APRON HOLDINGS, INC.</t>
        </is>
      </c>
      <c r="D584" t="n">
        <v>5961</v>
      </c>
    </row>
    <row r="585">
      <c r="A585" t="inlineStr">
        <is>
          <t>BLUE BIRD CORP</t>
        </is>
      </c>
      <c r="B585" t="inlineStr">
        <is>
          <t>BLBD</t>
        </is>
      </c>
      <c r="C585" t="inlineStr">
        <is>
          <t>BLUE BIRD CORP</t>
        </is>
      </c>
      <c r="D585" t="n">
        <v>3713</v>
      </c>
    </row>
    <row r="586">
      <c r="A586" t="inlineStr">
        <is>
          <t>BLUE DOLPHIN ENERGY CO</t>
        </is>
      </c>
      <c r="B586" t="inlineStr">
        <is>
          <t>BDCO</t>
        </is>
      </c>
      <c r="C586" t="inlineStr">
        <is>
          <t>BLUE DOLPHIN ENERGY CO</t>
        </is>
      </c>
      <c r="D586" t="n">
        <v>1311</v>
      </c>
    </row>
    <row r="587">
      <c r="A587" t="inlineStr">
        <is>
          <t>BLUE FOUNDRY BANCORP</t>
        </is>
      </c>
      <c r="B587" t="inlineStr">
        <is>
          <t>BLFY</t>
        </is>
      </c>
      <c r="C587" t="inlineStr">
        <is>
          <t>BLUE FOUNDRY BANCORP</t>
        </is>
      </c>
      <c r="D587" t="n">
        <v>6036</v>
      </c>
    </row>
    <row r="588">
      <c r="A588" t="inlineStr">
        <is>
          <t>BLUE HAT INTERACTIVE ENTERTAINMENT TECHNOLOGY</t>
        </is>
      </c>
      <c r="B588" t="inlineStr">
        <is>
          <t>BHAT</t>
        </is>
      </c>
      <c r="C588" t="inlineStr">
        <is>
          <t>BLUE HAT INTERACTIVE ENTERTAINMENT TECHNOLOGY</t>
        </is>
      </c>
      <c r="D588" t="n">
        <v>3944</v>
      </c>
    </row>
    <row r="589">
      <c r="A589" t="inlineStr">
        <is>
          <t>BLUE OWL CAPITAL INC.</t>
        </is>
      </c>
      <c r="B589" t="inlineStr">
        <is>
          <t>OWL</t>
        </is>
      </c>
      <c r="C589" t="inlineStr">
        <is>
          <t>BLUE OWL CAPITAL INC.</t>
        </is>
      </c>
      <c r="D589" t="n">
        <v>6282</v>
      </c>
    </row>
    <row r="590">
      <c r="A590" t="inlineStr">
        <is>
          <t>BLUE RIDGE BANKSHARES, INC.</t>
        </is>
      </c>
      <c r="B590" t="inlineStr">
        <is>
          <t>BRBS</t>
        </is>
      </c>
      <c r="C590" t="inlineStr">
        <is>
          <t>BLUE RIDGE BANKSHARES, INC.</t>
        </is>
      </c>
      <c r="D590" t="n">
        <v>6022</v>
      </c>
    </row>
    <row r="591">
      <c r="A591" t="inlineStr">
        <is>
          <t>BLUEBIRD BIO, INC.</t>
        </is>
      </c>
      <c r="B591" t="inlineStr">
        <is>
          <t>BLUE</t>
        </is>
      </c>
      <c r="C591" t="inlineStr">
        <is>
          <t>BLUEBIRD BIO, INC.</t>
        </is>
      </c>
      <c r="D591" t="n">
        <v>2836</v>
      </c>
    </row>
    <row r="592">
      <c r="A592" t="inlineStr">
        <is>
          <t>BLUECITY HOLDINGS LTD</t>
        </is>
      </c>
      <c r="B592" t="inlineStr">
        <is>
          <t>BLCT</t>
        </is>
      </c>
      <c r="C592" t="inlineStr">
        <is>
          <t>BLUECITY HOLDINGS LTD</t>
        </is>
      </c>
      <c r="D592" t="n">
        <v>7374</v>
      </c>
    </row>
    <row r="593">
      <c r="A593" t="inlineStr">
        <is>
          <t>BLUEGREEN VACATIONS HOLDING CORP</t>
        </is>
      </c>
      <c r="B593" t="inlineStr">
        <is>
          <t>BVH</t>
        </is>
      </c>
      <c r="C593" t="inlineStr">
        <is>
          <t>BLUEGREEN VACATIONS HOLDING CORP</t>
        </is>
      </c>
      <c r="D593" t="n">
        <v>6500</v>
      </c>
    </row>
    <row r="594">
      <c r="A594" t="inlineStr">
        <is>
          <t>BLUEKNIGHT ENERGY PARTNERS, L.P.</t>
        </is>
      </c>
      <c r="B594" t="inlineStr">
        <is>
          <t>BKEP</t>
        </is>
      </c>
      <c r="C594" t="inlineStr">
        <is>
          <t>BLUEKNIGHT ENERGY PARTNERS, L.P.</t>
        </is>
      </c>
      <c r="D594" t="n">
        <v>4610</v>
      </c>
    </row>
    <row r="595">
      <c r="A595" t="inlineStr">
        <is>
          <t>BLUELINX HOLDINGS INC.</t>
        </is>
      </c>
      <c r="B595" t="inlineStr">
        <is>
          <t>BXC</t>
        </is>
      </c>
      <c r="C595" t="inlineStr">
        <is>
          <t>BLUELINX HOLDINGS INC.</t>
        </is>
      </c>
      <c r="D595" t="n">
        <v>5031</v>
      </c>
    </row>
    <row r="596">
      <c r="A596" t="inlineStr">
        <is>
          <t>BLUEPRINT MEDICINES CORP</t>
        </is>
      </c>
      <c r="B596" t="inlineStr">
        <is>
          <t>BPMC</t>
        </is>
      </c>
      <c r="C596" t="inlineStr">
        <is>
          <t>BLUEPRINT MEDICINES CORP</t>
        </is>
      </c>
      <c r="D596" t="n">
        <v>2834</v>
      </c>
    </row>
    <row r="597">
      <c r="A597" t="inlineStr">
        <is>
          <t>BLUEROCK RESIDENTIAL GROWTH REIT, INC.</t>
        </is>
      </c>
      <c r="B597" t="inlineStr">
        <is>
          <t>BRG</t>
        </is>
      </c>
      <c r="C597" t="inlineStr">
        <is>
          <t>BLUEROCK RESIDENTIAL GROWTH REIT, INC.</t>
        </is>
      </c>
      <c r="D597" t="n">
        <v>6798</v>
      </c>
    </row>
    <row r="598">
      <c r="A598" t="inlineStr">
        <is>
          <t>BM TECHNOLOGIES, INC.</t>
        </is>
      </c>
      <c r="B598" t="inlineStr">
        <is>
          <t>BMTX</t>
        </is>
      </c>
      <c r="C598" t="inlineStr">
        <is>
          <t>BM TECHNOLOGIES, INC.</t>
        </is>
      </c>
      <c r="D598" t="n">
        <v>6022</v>
      </c>
    </row>
    <row r="599">
      <c r="A599" t="inlineStr">
        <is>
          <t>BODY &amp; MIND INC.</t>
        </is>
      </c>
      <c r="B599" t="inlineStr">
        <is>
          <t>BMMJ</t>
        </is>
      </c>
      <c r="C599" t="inlineStr">
        <is>
          <t>BODY &amp; MIND INC.</t>
        </is>
      </c>
      <c r="D599" t="n">
        <v>2834</v>
      </c>
    </row>
    <row r="600">
      <c r="A600" t="inlineStr">
        <is>
          <t>BOEING CO</t>
        </is>
      </c>
      <c r="B600" t="inlineStr">
        <is>
          <t>BA</t>
        </is>
      </c>
      <c r="C600" t="inlineStr">
        <is>
          <t>BOEING CO</t>
        </is>
      </c>
      <c r="D600" t="n">
        <v>3721</v>
      </c>
    </row>
    <row r="601">
      <c r="A601" t="inlineStr">
        <is>
          <t>BOGOTA FINANCIAL CORP.</t>
        </is>
      </c>
      <c r="B601" t="inlineStr">
        <is>
          <t>BSBK</t>
        </is>
      </c>
      <c r="C601" t="inlineStr">
        <is>
          <t>BOGOTA FINANCIAL CORP.</t>
        </is>
      </c>
      <c r="D601" t="n">
        <v>6036</v>
      </c>
    </row>
    <row r="602">
      <c r="A602" t="inlineStr">
        <is>
          <t>BOISE CASCADE CO</t>
        </is>
      </c>
      <c r="B602" t="inlineStr">
        <is>
          <t>BCC</t>
        </is>
      </c>
      <c r="C602" t="inlineStr">
        <is>
          <t>BOISE CASCADE CO</t>
        </is>
      </c>
      <c r="D602" t="n">
        <v>5030</v>
      </c>
    </row>
    <row r="603">
      <c r="A603" t="inlineStr">
        <is>
          <t>BOK FINANCIAL CORP</t>
        </is>
      </c>
      <c r="B603" t="inlineStr">
        <is>
          <t>BOKF</t>
        </is>
      </c>
      <c r="C603" t="inlineStr">
        <is>
          <t>BOK FINANCIAL CORP</t>
        </is>
      </c>
      <c r="D603" t="n">
        <v>6021</v>
      </c>
    </row>
    <row r="604">
      <c r="A604" t="inlineStr">
        <is>
          <t>BOLT BIOTHERAPEUTICS, INC.</t>
        </is>
      </c>
      <c r="B604" t="inlineStr">
        <is>
          <t>BOLT</t>
        </is>
      </c>
      <c r="C604" t="inlineStr">
        <is>
          <t>BOLT BIOTHERAPEUTICS, INC.</t>
        </is>
      </c>
      <c r="D604" t="n">
        <v>2834</v>
      </c>
    </row>
    <row r="605">
      <c r="A605" t="inlineStr">
        <is>
          <t>BON NATURAL LIFE LTD</t>
        </is>
      </c>
      <c r="B605" t="inlineStr">
        <is>
          <t>BON</t>
        </is>
      </c>
      <c r="C605" t="inlineStr">
        <is>
          <t>BON NATURAL LIFE LTD</t>
        </is>
      </c>
      <c r="D605" t="n">
        <v>2833</v>
      </c>
    </row>
    <row r="606">
      <c r="A606" t="inlineStr">
        <is>
          <t>BONSO ELECTRONICS INTERNATIONAL INC</t>
        </is>
      </c>
      <c r="B606" t="inlineStr">
        <is>
          <t>BNSO</t>
        </is>
      </c>
      <c r="C606" t="inlineStr">
        <is>
          <t>BONSO ELECTRONICS INTERNATIONAL INC</t>
        </is>
      </c>
      <c r="D606" t="n">
        <v>3679</v>
      </c>
    </row>
    <row r="607">
      <c r="A607" t="inlineStr">
        <is>
          <t>BOOKING HOLDINGS INC.</t>
        </is>
      </c>
      <c r="B607" t="inlineStr">
        <is>
          <t>BKNG</t>
        </is>
      </c>
      <c r="C607" t="inlineStr">
        <is>
          <t>BOOKING HOLDINGS INC.</t>
        </is>
      </c>
      <c r="D607" t="n">
        <v>4700</v>
      </c>
    </row>
    <row r="608">
      <c r="A608" t="inlineStr">
        <is>
          <t>BOOT BARN HOLDINGS, INC.</t>
        </is>
      </c>
      <c r="B608" t="inlineStr">
        <is>
          <t>BOOT</t>
        </is>
      </c>
      <c r="C608" t="inlineStr">
        <is>
          <t>BOOT BARN HOLDINGS, INC.</t>
        </is>
      </c>
      <c r="D608" t="n">
        <v>5661</v>
      </c>
    </row>
    <row r="609">
      <c r="A609" t="inlineStr">
        <is>
          <t>BOOZ ALLEN HAMILTON HOLDING CORP</t>
        </is>
      </c>
      <c r="B609" t="inlineStr">
        <is>
          <t>BAH</t>
        </is>
      </c>
      <c r="C609" t="inlineStr">
        <is>
          <t>BOOZ ALLEN HAMILTON HOLDING CORP</t>
        </is>
      </c>
      <c r="D609" t="n">
        <v>8742</v>
      </c>
    </row>
    <row r="610">
      <c r="A610" t="inlineStr">
        <is>
          <t>BORGWARNER INC</t>
        </is>
      </c>
      <c r="B610" t="inlineStr">
        <is>
          <t>BWA</t>
        </is>
      </c>
      <c r="C610" t="inlineStr">
        <is>
          <t>BORGWARNER INC</t>
        </is>
      </c>
      <c r="D610" t="n">
        <v>3714</v>
      </c>
    </row>
    <row r="611">
      <c r="A611" t="inlineStr">
        <is>
          <t>BORQS TECHNOLOGIES, INC.</t>
        </is>
      </c>
      <c r="B611" t="inlineStr">
        <is>
          <t>BRQS</t>
        </is>
      </c>
      <c r="C611" t="inlineStr">
        <is>
          <t>BORQS TECHNOLOGIES, INC.</t>
        </is>
      </c>
      <c r="D611" t="n">
        <v>7373</v>
      </c>
    </row>
    <row r="612">
      <c r="A612" t="inlineStr">
        <is>
          <t>BORR DRILLING LTD</t>
        </is>
      </c>
      <c r="B612" t="inlineStr">
        <is>
          <t>BORR</t>
        </is>
      </c>
      <c r="C612" t="inlineStr">
        <is>
          <t>BORR DRILLING LTD</t>
        </is>
      </c>
      <c r="D612" t="n">
        <v>1381</v>
      </c>
    </row>
    <row r="613">
      <c r="A613" t="inlineStr">
        <is>
          <t>BOS BETTER ONLINE SOLUTIONS LTD</t>
        </is>
      </c>
      <c r="B613" t="inlineStr">
        <is>
          <t>BOSC</t>
        </is>
      </c>
      <c r="C613" t="inlineStr">
        <is>
          <t>BOS BETTER ONLINE SOLUTIONS LTD</t>
        </is>
      </c>
      <c r="D613" t="n">
        <v>3576</v>
      </c>
    </row>
    <row r="614">
      <c r="A614" t="inlineStr">
        <is>
          <t>BOSTON BEER CO INC</t>
        </is>
      </c>
      <c r="B614" t="inlineStr">
        <is>
          <t>SAM</t>
        </is>
      </c>
      <c r="C614" t="inlineStr">
        <is>
          <t>BOSTON BEER CO INC</t>
        </is>
      </c>
      <c r="D614" t="n">
        <v>2082</v>
      </c>
    </row>
    <row r="615">
      <c r="A615" t="inlineStr">
        <is>
          <t>BOSTON PROPERTIES INC</t>
        </is>
      </c>
      <c r="B615" t="inlineStr">
        <is>
          <t>BXP</t>
        </is>
      </c>
      <c r="C615" t="inlineStr">
        <is>
          <t>BOSTON PROPERTIES INC</t>
        </is>
      </c>
      <c r="D615" t="n">
        <v>6798</v>
      </c>
    </row>
    <row r="616">
      <c r="A616" t="inlineStr">
        <is>
          <t>BOSTON SCIENTIFIC CORP</t>
        </is>
      </c>
      <c r="B616" t="inlineStr">
        <is>
          <t>BSX</t>
        </is>
      </c>
      <c r="C616" t="inlineStr">
        <is>
          <t>BOSTON SCIENTIFIC CORP</t>
        </is>
      </c>
      <c r="D616" t="n">
        <v>3841</v>
      </c>
    </row>
    <row r="617">
      <c r="A617" t="inlineStr">
        <is>
          <t>BOWMAN CONSULTING GROUP LTD.</t>
        </is>
      </c>
      <c r="B617" t="inlineStr">
        <is>
          <t>BWMN</t>
        </is>
      </c>
      <c r="C617" t="inlineStr">
        <is>
          <t>BOWMAN CONSULTING GROUP LTD.</t>
        </is>
      </c>
      <c r="D617" t="n">
        <v>8742</v>
      </c>
    </row>
    <row r="618">
      <c r="A618" t="inlineStr">
        <is>
          <t>BOX INC</t>
        </is>
      </c>
      <c r="B618" t="inlineStr">
        <is>
          <t>BOX</t>
        </is>
      </c>
      <c r="C618" t="inlineStr">
        <is>
          <t>BOX INC</t>
        </is>
      </c>
      <c r="D618" t="n">
        <v>7372</v>
      </c>
    </row>
    <row r="619">
      <c r="A619" t="inlineStr">
        <is>
          <t>BOXED, INC.</t>
        </is>
      </c>
      <c r="B619" t="inlineStr">
        <is>
          <t>BOXD</t>
        </is>
      </c>
      <c r="C619" t="inlineStr">
        <is>
          <t>BOXED, INC.</t>
        </is>
      </c>
      <c r="D619" t="n">
        <v>5961</v>
      </c>
    </row>
    <row r="620">
      <c r="A620" t="inlineStr">
        <is>
          <t>BOXLIGHT CORP</t>
        </is>
      </c>
      <c r="B620" t="inlineStr">
        <is>
          <t>BOXL</t>
        </is>
      </c>
      <c r="C620" t="inlineStr">
        <is>
          <t>BOXLIGHT CORP</t>
        </is>
      </c>
      <c r="D620" t="n">
        <v>8200</v>
      </c>
    </row>
    <row r="621">
      <c r="A621" t="inlineStr">
        <is>
          <t>BOYD GAMING CORP</t>
        </is>
      </c>
      <c r="B621" t="inlineStr">
        <is>
          <t>BYD</t>
        </is>
      </c>
      <c r="C621" t="inlineStr">
        <is>
          <t>BOYD GAMING CORP</t>
        </is>
      </c>
      <c r="D621" t="n">
        <v>7011</v>
      </c>
    </row>
    <row r="622">
      <c r="A622" t="inlineStr">
        <is>
          <t>BRADY CORP</t>
        </is>
      </c>
      <c r="B622" t="inlineStr">
        <is>
          <t>BRC</t>
        </is>
      </c>
      <c r="C622" t="inlineStr">
        <is>
          <t>BRADY CORP</t>
        </is>
      </c>
      <c r="D622" t="n">
        <v>3990</v>
      </c>
    </row>
    <row r="623">
      <c r="A623" t="inlineStr">
        <is>
          <t>BRAEMAR HOTELS &amp; RESORTS INC.</t>
        </is>
      </c>
      <c r="B623" t="inlineStr">
        <is>
          <t>BHR</t>
        </is>
      </c>
      <c r="C623" t="inlineStr">
        <is>
          <t>BRAEMAR HOTELS &amp; RESORTS INC.</t>
        </is>
      </c>
      <c r="D623" t="n">
        <v>6798</v>
      </c>
    </row>
    <row r="624">
      <c r="A624" t="inlineStr">
        <is>
          <t>BRANDYWINE REALTY TRUST</t>
        </is>
      </c>
      <c r="B624" t="inlineStr">
        <is>
          <t>BDN</t>
        </is>
      </c>
      <c r="C624" t="inlineStr">
        <is>
          <t>BRANDYWINE REALTY TRUST</t>
        </is>
      </c>
      <c r="D624" t="n">
        <v>6798</v>
      </c>
    </row>
    <row r="625">
      <c r="A625" t="inlineStr">
        <is>
          <t>BRAZE, INC.</t>
        </is>
      </c>
      <c r="B625" t="inlineStr">
        <is>
          <t>BRZE</t>
        </is>
      </c>
      <c r="C625" t="inlineStr">
        <is>
          <t>BRAZE, INC.</t>
        </is>
      </c>
      <c r="D625" t="n">
        <v>7372</v>
      </c>
    </row>
    <row r="626">
      <c r="A626" t="inlineStr">
        <is>
          <t>BRICKELL BIOTECH, INC.</t>
        </is>
      </c>
      <c r="B626" t="inlineStr">
        <is>
          <t>BBI</t>
        </is>
      </c>
      <c r="C626" t="inlineStr">
        <is>
          <t>BRICKELL BIOTECH, INC.</t>
        </is>
      </c>
      <c r="D626" t="n">
        <v>2836</v>
      </c>
    </row>
    <row r="627">
      <c r="A627" t="inlineStr">
        <is>
          <t>BRIDGEBIO PHARMA, INC.</t>
        </is>
      </c>
      <c r="B627" t="inlineStr">
        <is>
          <t>BBIO</t>
        </is>
      </c>
      <c r="C627" t="inlineStr">
        <is>
          <t>BRIDGEBIO PHARMA, INC.</t>
        </is>
      </c>
      <c r="D627" t="n">
        <v>2834</v>
      </c>
    </row>
    <row r="628">
      <c r="A628" t="inlineStr">
        <is>
          <t>BRIDGELINE DIGITAL, INC.</t>
        </is>
      </c>
      <c r="B628" t="inlineStr">
        <is>
          <t>BLIN</t>
        </is>
      </c>
      <c r="C628" t="inlineStr">
        <is>
          <t>BRIDGELINE DIGITAL, INC.</t>
        </is>
      </c>
      <c r="D628" t="n">
        <v>7372</v>
      </c>
    </row>
    <row r="629">
      <c r="A629" t="inlineStr">
        <is>
          <t>BRIDGEWATER BANCSHARES INC</t>
        </is>
      </c>
      <c r="B629" t="inlineStr">
        <is>
          <t>BWB</t>
        </is>
      </c>
      <c r="C629" t="inlineStr">
        <is>
          <t>BRIDGEWATER BANCSHARES INC</t>
        </is>
      </c>
      <c r="D629" t="n">
        <v>6022</v>
      </c>
    </row>
    <row r="630">
      <c r="A630" t="inlineStr">
        <is>
          <t>BRIDGFORD FOODS CORP</t>
        </is>
      </c>
      <c r="B630" t="inlineStr">
        <is>
          <t>BRID</t>
        </is>
      </c>
      <c r="C630" t="inlineStr">
        <is>
          <t>BRIDGFORD FOODS CORP</t>
        </is>
      </c>
      <c r="D630" t="n">
        <v>2013</v>
      </c>
    </row>
    <row r="631">
      <c r="A631" t="inlineStr">
        <is>
          <t>BRIGHAM MINERALS, INC.</t>
        </is>
      </c>
      <c r="B631" t="inlineStr">
        <is>
          <t>MNRL</t>
        </is>
      </c>
      <c r="C631" t="inlineStr">
        <is>
          <t>BRIGHAM MINERALS, INC.</t>
        </is>
      </c>
      <c r="D631" t="n">
        <v>1311</v>
      </c>
    </row>
    <row r="632">
      <c r="A632" t="inlineStr">
        <is>
          <t>BRIGHT HEALTH GROUP INC.</t>
        </is>
      </c>
      <c r="B632" t="inlineStr">
        <is>
          <t>BHG</t>
        </is>
      </c>
      <c r="C632" t="inlineStr">
        <is>
          <t>BRIGHT HEALTH GROUP INC.</t>
        </is>
      </c>
      <c r="D632" t="n">
        <v>6324</v>
      </c>
    </row>
    <row r="633">
      <c r="A633" t="inlineStr">
        <is>
          <t>BRIGHT HORIZONS FAMILY SOLUTIONS INC.</t>
        </is>
      </c>
      <c r="B633" t="inlineStr">
        <is>
          <t>BFAM</t>
        </is>
      </c>
      <c r="C633" t="inlineStr">
        <is>
          <t>BRIGHT HORIZONS FAMILY SOLUTIONS INC.</t>
        </is>
      </c>
      <c r="D633" t="n">
        <v>8351</v>
      </c>
    </row>
    <row r="634">
      <c r="A634" t="inlineStr">
        <is>
          <t>BRIGHT SCHOLAR EDUCATION HOLDINGS LTD</t>
        </is>
      </c>
      <c r="B634" t="inlineStr">
        <is>
          <t>BEDU</t>
        </is>
      </c>
      <c r="C634" t="inlineStr">
        <is>
          <t>BRIGHT SCHOLAR EDUCATION HOLDINGS LTD</t>
        </is>
      </c>
      <c r="D634" t="n">
        <v>8200</v>
      </c>
    </row>
    <row r="635">
      <c r="A635" t="inlineStr">
        <is>
          <t>BRIGHTCOVE INC</t>
        </is>
      </c>
      <c r="B635" t="inlineStr">
        <is>
          <t>BCOV</t>
        </is>
      </c>
      <c r="C635" t="inlineStr">
        <is>
          <t>BRIGHTCOVE INC</t>
        </is>
      </c>
      <c r="D635" t="n">
        <v>7374</v>
      </c>
    </row>
    <row r="636">
      <c r="A636" t="inlineStr">
        <is>
          <t>BRIGHTHOUSE FINANCIAL, INC.</t>
        </is>
      </c>
      <c r="B636" t="inlineStr">
        <is>
          <t>BHF</t>
        </is>
      </c>
      <c r="C636" t="inlineStr">
        <is>
          <t>BRIGHTHOUSE FINANCIAL, INC.</t>
        </is>
      </c>
      <c r="D636" t="n">
        <v>6311</v>
      </c>
    </row>
    <row r="637">
      <c r="A637" t="inlineStr">
        <is>
          <t>BRIGHTSPHERE INVESTMENT GROUP INC.</t>
        </is>
      </c>
      <c r="B637" t="inlineStr">
        <is>
          <t>BSIG</t>
        </is>
      </c>
      <c r="C637" t="inlineStr">
        <is>
          <t>BRIGHTSPHERE INVESTMENT GROUP INC.</t>
        </is>
      </c>
      <c r="D637" t="n">
        <v>6282</v>
      </c>
    </row>
    <row r="638">
      <c r="A638" t="inlineStr">
        <is>
          <t>BRIGHTSPIRE CAPITAL, INC.</t>
        </is>
      </c>
      <c r="B638" t="inlineStr">
        <is>
          <t>BRSP</t>
        </is>
      </c>
      <c r="C638" t="inlineStr">
        <is>
          <t>BRIGHTSPIRE CAPITAL, INC.</t>
        </is>
      </c>
      <c r="D638" t="n">
        <v>6798</v>
      </c>
    </row>
    <row r="639">
      <c r="A639" t="inlineStr">
        <is>
          <t>BRIGHTVIEW HOLDINGS, INC.</t>
        </is>
      </c>
      <c r="B639" t="inlineStr">
        <is>
          <t>BV</t>
        </is>
      </c>
      <c r="C639" t="inlineStr">
        <is>
          <t>BRIGHTVIEW HOLDINGS, INC.</t>
        </is>
      </c>
      <c r="D639" t="n">
        <v>700</v>
      </c>
    </row>
    <row r="640">
      <c r="A640" t="inlineStr">
        <is>
          <t>BRILLIANT EARTH GROUP, INC.</t>
        </is>
      </c>
      <c r="B640" t="inlineStr">
        <is>
          <t>BRLT</t>
        </is>
      </c>
      <c r="C640" t="inlineStr">
        <is>
          <t>BRILLIANT EARTH GROUP, INC.</t>
        </is>
      </c>
      <c r="D640" t="n">
        <v>3910</v>
      </c>
    </row>
    <row r="641">
      <c r="A641" t="inlineStr">
        <is>
          <t>BRINKER INTERNATIONAL, INC</t>
        </is>
      </c>
      <c r="B641" t="inlineStr">
        <is>
          <t>EAT</t>
        </is>
      </c>
      <c r="C641" t="inlineStr">
        <is>
          <t>BRINKER INTERNATIONAL, INC</t>
        </is>
      </c>
      <c r="D641" t="n">
        <v>5812</v>
      </c>
    </row>
    <row r="642">
      <c r="A642" t="inlineStr">
        <is>
          <t>BRINKS CO</t>
        </is>
      </c>
      <c r="B642" t="inlineStr">
        <is>
          <t>BCO</t>
        </is>
      </c>
      <c r="C642" t="inlineStr">
        <is>
          <t>BRINKS CO</t>
        </is>
      </c>
      <c r="D642" t="n">
        <v>4731</v>
      </c>
    </row>
    <row r="643">
      <c r="A643" t="inlineStr">
        <is>
          <t>BRISTOL MYERS SQUIBB CO</t>
        </is>
      </c>
      <c r="B643" t="inlineStr">
        <is>
          <t>BMY</t>
        </is>
      </c>
      <c r="C643" t="inlineStr">
        <is>
          <t>BRISTOL MYERS SQUIBB CO</t>
        </is>
      </c>
      <c r="D643" t="n">
        <v>2834</v>
      </c>
    </row>
    <row r="644">
      <c r="A644" t="inlineStr">
        <is>
          <t>BRISTOW GROUP INC.</t>
        </is>
      </c>
      <c r="B644" t="inlineStr">
        <is>
          <t>VTOL</t>
        </is>
      </c>
      <c r="C644" t="inlineStr">
        <is>
          <t>BRISTOW GROUP INC.</t>
        </is>
      </c>
      <c r="D644" t="n">
        <v>4522</v>
      </c>
    </row>
    <row r="645">
      <c r="A645" t="inlineStr">
        <is>
          <t>BRIXMOR PROPERTY GROUP INC.</t>
        </is>
      </c>
      <c r="B645" t="inlineStr">
        <is>
          <t>BRX</t>
        </is>
      </c>
      <c r="C645" t="inlineStr">
        <is>
          <t>BRIXMOR PROPERTY GROUP INC.</t>
        </is>
      </c>
      <c r="D645" t="n">
        <v>6798</v>
      </c>
    </row>
    <row r="646">
      <c r="A646" t="inlineStr">
        <is>
          <t>BROAD STREET REALTY, INC.</t>
        </is>
      </c>
      <c r="B646" t="inlineStr">
        <is>
          <t>BRST</t>
        </is>
      </c>
      <c r="C646" t="inlineStr">
        <is>
          <t>BROAD STREET REALTY, INC.</t>
        </is>
      </c>
      <c r="D646" t="n">
        <v>6500</v>
      </c>
    </row>
    <row r="647">
      <c r="A647" t="inlineStr">
        <is>
          <t>BROADCOM INC.</t>
        </is>
      </c>
      <c r="B647" t="inlineStr">
        <is>
          <t>AVGO</t>
        </is>
      </c>
      <c r="C647" t="inlineStr">
        <is>
          <t>BROADCOM INC.</t>
        </is>
      </c>
      <c r="D647" t="n">
        <v>3674</v>
      </c>
    </row>
    <row r="648">
      <c r="A648" t="inlineStr">
        <is>
          <t>BROADMARK REALTY CAPITAL INC.</t>
        </is>
      </c>
      <c r="B648" t="inlineStr">
        <is>
          <t>BRMK</t>
        </is>
      </c>
      <c r="C648" t="inlineStr">
        <is>
          <t>BROADMARK REALTY CAPITAL INC.</t>
        </is>
      </c>
      <c r="D648" t="n">
        <v>6798</v>
      </c>
    </row>
    <row r="649">
      <c r="A649" t="inlineStr">
        <is>
          <t>BROADRIDGE FINANCIAL SOLUTIONS, INC.</t>
        </is>
      </c>
      <c r="B649" t="inlineStr">
        <is>
          <t>BR</t>
        </is>
      </c>
      <c r="C649" t="inlineStr">
        <is>
          <t>BROADRIDGE FINANCIAL SOLUTIONS, INC.</t>
        </is>
      </c>
      <c r="D649" t="n">
        <v>7389</v>
      </c>
    </row>
    <row r="650">
      <c r="A650" t="inlineStr">
        <is>
          <t>BROADSTONE NET LEASE, INC.</t>
        </is>
      </c>
      <c r="B650" t="inlineStr">
        <is>
          <t>BNL</t>
        </is>
      </c>
      <c r="C650" t="inlineStr">
        <is>
          <t>BROADSTONE NET LEASE, INC.</t>
        </is>
      </c>
      <c r="D650" t="n">
        <v>6798</v>
      </c>
    </row>
    <row r="651">
      <c r="A651" t="inlineStr">
        <is>
          <t>BROADWAY FINANCIAL CORP DE</t>
        </is>
      </c>
      <c r="B651" t="inlineStr">
        <is>
          <t>BYFC</t>
        </is>
      </c>
      <c r="C651" t="inlineStr">
        <is>
          <t>BROADWAY FINANCIAL CORP DE</t>
        </is>
      </c>
      <c r="D651" t="n">
        <v>6035</v>
      </c>
    </row>
    <row r="652">
      <c r="A652" t="inlineStr">
        <is>
          <t>BROADWIND, INC.</t>
        </is>
      </c>
      <c r="B652" t="inlineStr">
        <is>
          <t>BWEN</t>
        </is>
      </c>
      <c r="C652" t="inlineStr">
        <is>
          <t>BROADWIND, INC.</t>
        </is>
      </c>
      <c r="D652" t="n">
        <v>3360</v>
      </c>
    </row>
    <row r="653">
      <c r="A653" t="inlineStr">
        <is>
          <t>BROOKDALE SENIOR LIVING INC.</t>
        </is>
      </c>
      <c r="B653" t="inlineStr">
        <is>
          <t>BKD</t>
        </is>
      </c>
      <c r="C653" t="inlineStr">
        <is>
          <t>BROOKDALE SENIOR LIVING INC.</t>
        </is>
      </c>
      <c r="D653" t="n">
        <v>8050</v>
      </c>
    </row>
    <row r="654">
      <c r="A654" t="inlineStr">
        <is>
          <t>BROOKLINE BANCORP INC</t>
        </is>
      </c>
      <c r="B654" t="inlineStr">
        <is>
          <t>BRKL</t>
        </is>
      </c>
      <c r="C654" t="inlineStr">
        <is>
          <t>BROOKLINE BANCORP INC</t>
        </is>
      </c>
      <c r="D654" t="n">
        <v>6035</v>
      </c>
    </row>
    <row r="655">
      <c r="A655" t="inlineStr">
        <is>
          <t>BROOKS AUTOMATION, INC.</t>
        </is>
      </c>
      <c r="B655" t="inlineStr">
        <is>
          <t>AZTA</t>
        </is>
      </c>
      <c r="C655" t="inlineStr">
        <is>
          <t>BROOKS AUTOMATION, INC.</t>
        </is>
      </c>
      <c r="D655" t="n">
        <v>3559</v>
      </c>
    </row>
    <row r="656">
      <c r="A656" t="inlineStr">
        <is>
          <t>BROWN &amp; BROWN, INC.</t>
        </is>
      </c>
      <c r="B656" t="inlineStr">
        <is>
          <t>BRO</t>
        </is>
      </c>
      <c r="C656" t="inlineStr">
        <is>
          <t>BROWN &amp; BROWN, INC.</t>
        </is>
      </c>
      <c r="D656" t="n">
        <v>6411</v>
      </c>
    </row>
    <row r="657">
      <c r="A657" t="inlineStr">
        <is>
          <t>BROWN FORMAN CORP</t>
        </is>
      </c>
      <c r="B657" t="inlineStr">
        <is>
          <t>BF-A</t>
        </is>
      </c>
      <c r="C657" t="inlineStr">
        <is>
          <t>BROWN FORMAN CORP</t>
        </is>
      </c>
      <c r="D657" t="n">
        <v>2080</v>
      </c>
    </row>
    <row r="658">
      <c r="A658" t="inlineStr">
        <is>
          <t>BRT APARTMENTS CORP.</t>
        </is>
      </c>
      <c r="B658" t="inlineStr">
        <is>
          <t>BRT</t>
        </is>
      </c>
      <c r="C658" t="inlineStr">
        <is>
          <t>BRT APARTMENTS CORP.</t>
        </is>
      </c>
      <c r="D658" t="n">
        <v>6798</v>
      </c>
    </row>
    <row r="659">
      <c r="A659" t="inlineStr">
        <is>
          <t>BRUKER CORP</t>
        </is>
      </c>
      <c r="B659" t="inlineStr">
        <is>
          <t>BRKR</t>
        </is>
      </c>
      <c r="C659" t="inlineStr">
        <is>
          <t>BRUKER CORP</t>
        </is>
      </c>
      <c r="D659" t="n">
        <v>3826</v>
      </c>
    </row>
    <row r="660">
      <c r="A660" t="inlineStr">
        <is>
          <t>BRUNSWICK CORP</t>
        </is>
      </c>
      <c r="B660" t="inlineStr">
        <is>
          <t>BC</t>
        </is>
      </c>
      <c r="C660" t="inlineStr">
        <is>
          <t>BRUNSWICK CORP</t>
        </is>
      </c>
      <c r="D660" t="n">
        <v>3510</v>
      </c>
    </row>
    <row r="661">
      <c r="A661" t="inlineStr">
        <is>
          <t>BSQUARE CORP /WA</t>
        </is>
      </c>
      <c r="B661" t="inlineStr">
        <is>
          <t>BSQR</t>
        </is>
      </c>
      <c r="C661" t="inlineStr">
        <is>
          <t>BSQUARE CORP /WA</t>
        </is>
      </c>
      <c r="D661" t="n">
        <v>7389</v>
      </c>
    </row>
    <row r="662">
      <c r="A662" t="inlineStr">
        <is>
          <t>BTRS HOLDINGS INC.</t>
        </is>
      </c>
      <c r="B662" t="inlineStr">
        <is>
          <t>BTRS</t>
        </is>
      </c>
      <c r="C662" t="inlineStr">
        <is>
          <t>BTRS HOLDINGS INC.</t>
        </is>
      </c>
      <c r="D662" t="n">
        <v>7371</v>
      </c>
    </row>
    <row r="663">
      <c r="A663" t="inlineStr">
        <is>
          <t>BUCKLE INC</t>
        </is>
      </c>
      <c r="B663" t="inlineStr">
        <is>
          <t>BKE</t>
        </is>
      </c>
      <c r="C663" t="inlineStr">
        <is>
          <t>BUCKLE INC</t>
        </is>
      </c>
      <c r="D663" t="n">
        <v>5651</v>
      </c>
    </row>
    <row r="664">
      <c r="A664" t="inlineStr">
        <is>
          <t>BUILD-A-BEAR WORKSHOP INC</t>
        </is>
      </c>
      <c r="B664" t="inlineStr">
        <is>
          <t>BBW</t>
        </is>
      </c>
      <c r="C664" t="inlineStr">
        <is>
          <t>BUILD-A-BEAR WORKSHOP INC</t>
        </is>
      </c>
      <c r="D664" t="n">
        <v>5945</v>
      </c>
    </row>
    <row r="665">
      <c r="A665" t="inlineStr">
        <is>
          <t>BUILDERS FIRSTSOURCE, INC.</t>
        </is>
      </c>
      <c r="B665" t="inlineStr">
        <is>
          <t>BLDR</t>
        </is>
      </c>
      <c r="C665" t="inlineStr">
        <is>
          <t>BUILDERS FIRSTSOURCE, INC.</t>
        </is>
      </c>
      <c r="D665" t="n">
        <v>5211</v>
      </c>
    </row>
    <row r="666">
      <c r="A666" t="inlineStr">
        <is>
          <t>BUMBLE INC.</t>
        </is>
      </c>
      <c r="B666" t="inlineStr">
        <is>
          <t>BMBL</t>
        </is>
      </c>
      <c r="C666" t="inlineStr">
        <is>
          <t>BUMBLE INC.</t>
        </is>
      </c>
      <c r="D666" t="n">
        <v>7370</v>
      </c>
    </row>
    <row r="667">
      <c r="A667" t="inlineStr">
        <is>
          <t>BUNGELTD</t>
        </is>
      </c>
      <c r="B667" t="inlineStr">
        <is>
          <t>BG</t>
        </is>
      </c>
      <c r="C667" t="inlineStr">
        <is>
          <t>BUNGELTD</t>
        </is>
      </c>
      <c r="D667" t="n">
        <v>2070</v>
      </c>
    </row>
    <row r="668">
      <c r="A668" t="inlineStr">
        <is>
          <t>BURFORD CAPITAL LTD</t>
        </is>
      </c>
      <c r="B668" t="inlineStr">
        <is>
          <t>BUR</t>
        </is>
      </c>
      <c r="C668" t="inlineStr">
        <is>
          <t>BURFORD CAPITAL LTD</t>
        </is>
      </c>
      <c r="D668" t="n">
        <v>6199</v>
      </c>
    </row>
    <row r="669">
      <c r="A669" t="inlineStr">
        <is>
          <t>BURLINGTON STORES, INC.</t>
        </is>
      </c>
      <c r="B669" t="inlineStr">
        <is>
          <t>BURL</t>
        </is>
      </c>
      <c r="C669" t="inlineStr">
        <is>
          <t>BURLINGTON STORES, INC.</t>
        </is>
      </c>
      <c r="D669" t="n">
        <v>5311</v>
      </c>
    </row>
    <row r="670">
      <c r="A670" t="inlineStr">
        <is>
          <t>BURNING ROCK BIOTECH LTD</t>
        </is>
      </c>
      <c r="B670" t="inlineStr">
        <is>
          <t>BNR</t>
        </is>
      </c>
      <c r="C670" t="inlineStr">
        <is>
          <t>BURNING ROCK BIOTECH LTD</t>
        </is>
      </c>
      <c r="D670" t="n">
        <v>8071</v>
      </c>
    </row>
    <row r="671">
      <c r="A671" t="inlineStr">
        <is>
          <t>BUSINESS FIRST BANCSHARES, INC.</t>
        </is>
      </c>
      <c r="B671" t="inlineStr">
        <is>
          <t>BFST</t>
        </is>
      </c>
      <c r="C671" t="inlineStr">
        <is>
          <t>BUSINESS FIRST BANCSHARES, INC.</t>
        </is>
      </c>
      <c r="D671" t="n">
        <v>6022</v>
      </c>
    </row>
    <row r="672">
      <c r="A672" t="inlineStr">
        <is>
          <t>BUTLER NATIONAL CORP</t>
        </is>
      </c>
      <c r="B672" t="inlineStr">
        <is>
          <t>BUKS</t>
        </is>
      </c>
      <c r="C672" t="inlineStr">
        <is>
          <t>BUTLER NATIONAL CORP</t>
        </is>
      </c>
      <c r="D672" t="n">
        <v>7990</v>
      </c>
    </row>
    <row r="673">
      <c r="A673" t="inlineStr">
        <is>
          <t>BUTTERFLY NETWORK, INC.</t>
        </is>
      </c>
      <c r="B673" t="inlineStr">
        <is>
          <t>BFLY</t>
        </is>
      </c>
      <c r="C673" t="inlineStr">
        <is>
          <t>BUTTERFLY NETWORK, INC.</t>
        </is>
      </c>
      <c r="D673" t="n">
        <v>3844</v>
      </c>
    </row>
    <row r="674">
      <c r="A674" t="inlineStr">
        <is>
          <t>BUZZFEED, INC.</t>
        </is>
      </c>
      <c r="B674" t="inlineStr">
        <is>
          <t>BZFD</t>
        </is>
      </c>
      <c r="C674" t="inlineStr">
        <is>
          <t>BUZZFEED, INC.</t>
        </is>
      </c>
      <c r="D674" t="n">
        <v>4899</v>
      </c>
    </row>
    <row r="675">
      <c r="A675" t="inlineStr">
        <is>
          <t>BWX TECHNOLOGIES, INC.</t>
        </is>
      </c>
      <c r="B675" t="inlineStr">
        <is>
          <t>BWXT</t>
        </is>
      </c>
      <c r="C675" t="inlineStr">
        <is>
          <t>BWX TECHNOLOGIES, INC.</t>
        </is>
      </c>
      <c r="D675" t="n">
        <v>3510</v>
      </c>
    </row>
    <row r="676">
      <c r="A676" t="inlineStr">
        <is>
          <t>BYLINE BANCORP, INC.</t>
        </is>
      </c>
      <c r="B676" t="inlineStr">
        <is>
          <t>BY</t>
        </is>
      </c>
      <c r="C676" t="inlineStr">
        <is>
          <t>BYLINE BANCORP, INC.</t>
        </is>
      </c>
      <c r="D676" t="n">
        <v>6022</v>
      </c>
    </row>
    <row r="677">
      <c r="A677" t="inlineStr">
        <is>
          <t>BYRNA TECHNOLOGIES INC.</t>
        </is>
      </c>
      <c r="B677" t="inlineStr">
        <is>
          <t>BYRN</t>
        </is>
      </c>
      <c r="C677" t="inlineStr">
        <is>
          <t>BYRNA TECHNOLOGIES INC.</t>
        </is>
      </c>
      <c r="D677" t="n">
        <v>3690</v>
      </c>
    </row>
    <row r="678">
      <c r="A678" t="inlineStr">
        <is>
          <t>C. H. ROBINSON WORLDWIDE, INC.</t>
        </is>
      </c>
      <c r="B678" t="inlineStr">
        <is>
          <t>CHRW</t>
        </is>
      </c>
      <c r="C678" t="inlineStr">
        <is>
          <t>C. H. ROBINSON WORLDWIDE, INC.</t>
        </is>
      </c>
      <c r="D678" t="n">
        <v>4731</v>
      </c>
    </row>
    <row r="679">
      <c r="A679" t="inlineStr">
        <is>
          <t>C3.AI, INC.</t>
        </is>
      </c>
      <c r="B679" t="inlineStr">
        <is>
          <t>AI</t>
        </is>
      </c>
      <c r="C679" t="inlineStr">
        <is>
          <t>C3.AI, INC.</t>
        </is>
      </c>
      <c r="D679" t="n">
        <v>7372</v>
      </c>
    </row>
    <row r="680">
      <c r="A680" t="inlineStr">
        <is>
          <t>CABLE ONE, INC.</t>
        </is>
      </c>
      <c r="B680" t="inlineStr">
        <is>
          <t>CABO</t>
        </is>
      </c>
      <c r="C680" t="inlineStr">
        <is>
          <t>CABLE ONE, INC.</t>
        </is>
      </c>
      <c r="D680" t="n">
        <v>4841</v>
      </c>
    </row>
    <row r="681">
      <c r="A681" t="inlineStr">
        <is>
          <t>CABOT CORP</t>
        </is>
      </c>
      <c r="B681" t="inlineStr">
        <is>
          <t>CBT</t>
        </is>
      </c>
      <c r="C681" t="inlineStr">
        <is>
          <t>CABOT CORP</t>
        </is>
      </c>
      <c r="D681" t="n">
        <v>2890</v>
      </c>
    </row>
    <row r="682">
      <c r="A682" t="inlineStr">
        <is>
          <t>CACI INTERNATIONAL INC /DE/</t>
        </is>
      </c>
      <c r="B682" t="inlineStr">
        <is>
          <t>CACI</t>
        </is>
      </c>
      <c r="C682" t="inlineStr">
        <is>
          <t>CACI INTERNATIONAL INC /DE/</t>
        </is>
      </c>
      <c r="D682" t="n">
        <v>7373</v>
      </c>
    </row>
    <row r="683">
      <c r="A683" t="inlineStr">
        <is>
          <t>CACTUS, INC.</t>
        </is>
      </c>
      <c r="B683" t="inlineStr">
        <is>
          <t>WHD</t>
        </is>
      </c>
      <c r="C683" t="inlineStr">
        <is>
          <t>CACTUS, INC.</t>
        </is>
      </c>
      <c r="D683" t="n">
        <v>3533</v>
      </c>
    </row>
    <row r="684">
      <c r="A684" t="inlineStr">
        <is>
          <t>CADENCE DESIGN SYSTEMS INC</t>
        </is>
      </c>
      <c r="B684" t="inlineStr">
        <is>
          <t>CDNS</t>
        </is>
      </c>
      <c r="C684" t="inlineStr">
        <is>
          <t>CADENCE DESIGN SYSTEMS INC</t>
        </is>
      </c>
      <c r="D684" t="n">
        <v>7372</v>
      </c>
    </row>
    <row r="685">
      <c r="A685" t="inlineStr">
        <is>
          <t>CADIZ INC</t>
        </is>
      </c>
      <c r="B685" t="inlineStr">
        <is>
          <t>CDZI</t>
        </is>
      </c>
      <c r="C685" t="inlineStr">
        <is>
          <t>CADIZ INC</t>
        </is>
      </c>
      <c r="D685" t="n">
        <v>4941</v>
      </c>
    </row>
    <row r="686">
      <c r="A686" t="inlineStr">
        <is>
          <t>CADRE HOLDINGS, INC.</t>
        </is>
      </c>
      <c r="B686" t="inlineStr">
        <is>
          <t>CDRE</t>
        </is>
      </c>
      <c r="C686" t="inlineStr">
        <is>
          <t>CADRE HOLDINGS, INC.</t>
        </is>
      </c>
      <c r="D686" t="n">
        <v>3842</v>
      </c>
    </row>
    <row r="687">
      <c r="A687" t="inlineStr">
        <is>
          <t>CAESARS ENTERTAINMENT, INC.</t>
        </is>
      </c>
      <c r="B687" t="inlineStr">
        <is>
          <t>CZR</t>
        </is>
      </c>
      <c r="C687" t="inlineStr">
        <is>
          <t>CAESARS ENTERTAINMENT, INC.</t>
        </is>
      </c>
      <c r="D687" t="n">
        <v>7011</v>
      </c>
    </row>
    <row r="688">
      <c r="A688" t="inlineStr">
        <is>
          <t>CAESARSTONE LTD.</t>
        </is>
      </c>
      <c r="B688" t="inlineStr">
        <is>
          <t>CSTE</t>
        </is>
      </c>
      <c r="C688" t="inlineStr">
        <is>
          <t>CAESARSTONE LTD.</t>
        </is>
      </c>
      <c r="D688" t="n">
        <v>3281</v>
      </c>
    </row>
    <row r="689">
      <c r="A689" t="inlineStr">
        <is>
          <t>CAL-MAINE FOODS INC</t>
        </is>
      </c>
      <c r="B689" t="inlineStr">
        <is>
          <t>CALM</t>
        </is>
      </c>
      <c r="C689" t="inlineStr">
        <is>
          <t>CAL-MAINE FOODS INC</t>
        </is>
      </c>
      <c r="D689" t="n">
        <v>200</v>
      </c>
    </row>
    <row r="690">
      <c r="A690" t="inlineStr">
        <is>
          <t>CALAMP CORP.</t>
        </is>
      </c>
      <c r="B690" t="inlineStr">
        <is>
          <t>CAMP</t>
        </is>
      </c>
      <c r="C690" t="inlineStr">
        <is>
          <t>CALAMP CORP.</t>
        </is>
      </c>
      <c r="D690" t="n">
        <v>3663</v>
      </c>
    </row>
    <row r="691">
      <c r="A691" t="inlineStr">
        <is>
          <t>CALAVO GROWERS INC</t>
        </is>
      </c>
      <c r="B691" t="inlineStr">
        <is>
          <t>CVGW</t>
        </is>
      </c>
      <c r="C691" t="inlineStr">
        <is>
          <t>CALAVO GROWERS INC</t>
        </is>
      </c>
      <c r="D691" t="n">
        <v>700</v>
      </c>
    </row>
    <row r="692">
      <c r="A692" t="inlineStr">
        <is>
          <t>CALERES INC</t>
        </is>
      </c>
      <c r="B692" t="inlineStr">
        <is>
          <t>CAL</t>
        </is>
      </c>
      <c r="C692" t="inlineStr">
        <is>
          <t>CALERES INC</t>
        </is>
      </c>
      <c r="D692" t="n">
        <v>3140</v>
      </c>
    </row>
    <row r="693">
      <c r="A693" t="inlineStr">
        <is>
          <t>CALIFORNIA BANCORP</t>
        </is>
      </c>
      <c r="B693" t="inlineStr">
        <is>
          <t>CALB</t>
        </is>
      </c>
      <c r="C693" t="inlineStr">
        <is>
          <t>CALIFORNIA BANCORP</t>
        </is>
      </c>
      <c r="D693" t="n">
        <v>6022</v>
      </c>
    </row>
    <row r="694">
      <c r="A694" t="inlineStr">
        <is>
          <t>CALIFORNIA WATER SERVICE GROUP</t>
        </is>
      </c>
      <c r="B694" t="inlineStr">
        <is>
          <t>CWT</t>
        </is>
      </c>
      <c r="C694" t="inlineStr">
        <is>
          <t>CALIFORNIA WATER SERVICE GROUP</t>
        </is>
      </c>
      <c r="D694" t="n">
        <v>4941</v>
      </c>
    </row>
    <row r="695">
      <c r="A695" t="inlineStr">
        <is>
          <t>CALIX, INC</t>
        </is>
      </c>
      <c r="B695" t="inlineStr">
        <is>
          <t>CALX</t>
        </is>
      </c>
      <c r="C695" t="inlineStr">
        <is>
          <t>CALIX, INC</t>
        </is>
      </c>
      <c r="D695" t="n">
        <v>4899</v>
      </c>
    </row>
    <row r="696">
      <c r="A696" t="inlineStr">
        <is>
          <t>CALLAWAY GOLF CO</t>
        </is>
      </c>
      <c r="B696" t="inlineStr">
        <is>
          <t>ELY</t>
        </is>
      </c>
      <c r="C696" t="inlineStr">
        <is>
          <t>CALLAWAY GOLF CO</t>
        </is>
      </c>
      <c r="D696" t="n">
        <v>3949</v>
      </c>
    </row>
    <row r="697">
      <c r="A697" t="inlineStr">
        <is>
          <t>CALLON PETROLEUM CO</t>
        </is>
      </c>
      <c r="B697" t="inlineStr">
        <is>
          <t>CPE</t>
        </is>
      </c>
      <c r="C697" t="inlineStr">
        <is>
          <t>CALLON PETROLEUM CO</t>
        </is>
      </c>
      <c r="D697" t="n">
        <v>1311</v>
      </c>
    </row>
    <row r="698">
      <c r="A698" t="inlineStr">
        <is>
          <t>CALUMET SPECIALTY PRODUCTS PARTNERS, L.P.</t>
        </is>
      </c>
      <c r="B698" t="inlineStr">
        <is>
          <t>CLMT</t>
        </is>
      </c>
      <c r="C698" t="inlineStr">
        <is>
          <t>CALUMET SPECIALTY PRODUCTS PARTNERS, L.P.</t>
        </is>
      </c>
      <c r="D698" t="n">
        <v>2911</v>
      </c>
    </row>
    <row r="699">
      <c r="A699" t="inlineStr">
        <is>
          <t>CAMBIUM NETWORKS CORP</t>
        </is>
      </c>
      <c r="B699" t="inlineStr">
        <is>
          <t>CMBM</t>
        </is>
      </c>
      <c r="C699" t="inlineStr">
        <is>
          <t>CAMBIUM NETWORKS CORP</t>
        </is>
      </c>
      <c r="D699" t="n">
        <v>3663</v>
      </c>
    </row>
    <row r="700">
      <c r="A700" t="inlineStr">
        <is>
          <t>CAMBRIDGE BANCORP</t>
        </is>
      </c>
      <c r="B700" t="inlineStr">
        <is>
          <t>CATC</t>
        </is>
      </c>
      <c r="C700" t="inlineStr">
        <is>
          <t>CAMBRIDGE BANCORP</t>
        </is>
      </c>
      <c r="D700" t="n">
        <v>6022</v>
      </c>
    </row>
    <row r="701">
      <c r="A701" t="inlineStr">
        <is>
          <t>CAMDEN NATIONAL CORP</t>
        </is>
      </c>
      <c r="B701" t="inlineStr">
        <is>
          <t>CAC</t>
        </is>
      </c>
      <c r="C701" t="inlineStr">
        <is>
          <t>CAMDEN NATIONAL CORP</t>
        </is>
      </c>
      <c r="D701" t="n">
        <v>6021</v>
      </c>
    </row>
    <row r="702">
      <c r="A702" t="inlineStr">
        <is>
          <t>CAMDEN PROPERTY TRUST</t>
        </is>
      </c>
      <c r="B702" t="inlineStr">
        <is>
          <t>CPT</t>
        </is>
      </c>
      <c r="C702" t="inlineStr">
        <is>
          <t>CAMDEN PROPERTY TRUST</t>
        </is>
      </c>
      <c r="D702" t="n">
        <v>6798</v>
      </c>
    </row>
    <row r="703">
      <c r="A703" t="inlineStr">
        <is>
          <t>CAMPBELL SOUP CO</t>
        </is>
      </c>
      <c r="B703" t="inlineStr">
        <is>
          <t>CPB</t>
        </is>
      </c>
      <c r="C703" t="inlineStr">
        <is>
          <t>CAMPBELL SOUP CO</t>
        </is>
      </c>
      <c r="D703" t="n">
        <v>2000</v>
      </c>
    </row>
    <row r="704">
      <c r="A704" t="inlineStr">
        <is>
          <t>CAMPING WORLD HOLDINGS, INC.</t>
        </is>
      </c>
      <c r="B704" t="inlineStr">
        <is>
          <t>CWH</t>
        </is>
      </c>
      <c r="C704" t="inlineStr">
        <is>
          <t>CAMPING WORLD HOLDINGS, INC.</t>
        </is>
      </c>
      <c r="D704" t="n">
        <v>5500</v>
      </c>
    </row>
    <row r="705">
      <c r="A705" t="inlineStr">
        <is>
          <t>CAMTEK LTD</t>
        </is>
      </c>
      <c r="B705" t="inlineStr">
        <is>
          <t>CAMT</t>
        </is>
      </c>
      <c r="C705" t="inlineStr">
        <is>
          <t>CAMTEK LTD</t>
        </is>
      </c>
      <c r="D705" t="n">
        <v>3827</v>
      </c>
    </row>
    <row r="706">
      <c r="A706" t="inlineStr">
        <is>
          <t>CANAAN INC.</t>
        </is>
      </c>
      <c r="B706" t="inlineStr">
        <is>
          <t>CAN</t>
        </is>
      </c>
      <c r="C706" t="inlineStr">
        <is>
          <t>CANAAN INC.</t>
        </is>
      </c>
      <c r="D706" t="n">
        <v>3674</v>
      </c>
    </row>
    <row r="707">
      <c r="A707" t="inlineStr">
        <is>
          <t>CANADIAN SOLAR INC.</t>
        </is>
      </c>
      <c r="B707" t="inlineStr">
        <is>
          <t>CSIQ</t>
        </is>
      </c>
      <c r="C707" t="inlineStr">
        <is>
          <t>CANADIAN SOLAR INC.</t>
        </is>
      </c>
      <c r="D707" t="n">
        <v>3674</v>
      </c>
    </row>
    <row r="708">
      <c r="A708" t="inlineStr">
        <is>
          <t>CANDEL THERAPEUTICS, INC.</t>
        </is>
      </c>
      <c r="B708" t="inlineStr">
        <is>
          <t>CADL</t>
        </is>
      </c>
      <c r="C708" t="inlineStr">
        <is>
          <t>CANDEL THERAPEUTICS, INC.</t>
        </is>
      </c>
      <c r="D708" t="n">
        <v>2836</v>
      </c>
    </row>
    <row r="709">
      <c r="A709" t="inlineStr">
        <is>
          <t>CANGO INC.</t>
        </is>
      </c>
      <c r="B709" t="inlineStr">
        <is>
          <t>CANG</t>
        </is>
      </c>
      <c r="C709" t="inlineStr">
        <is>
          <t>CANGO INC.</t>
        </is>
      </c>
      <c r="D709" t="n">
        <v>7372</v>
      </c>
    </row>
    <row r="710">
      <c r="A710" t="inlineStr">
        <is>
          <t>CANNAE HOLDINGS, INC.</t>
        </is>
      </c>
      <c r="B710" t="inlineStr">
        <is>
          <t>CNNE</t>
        </is>
      </c>
      <c r="C710" t="inlineStr">
        <is>
          <t>CANNAE HOLDINGS, INC.</t>
        </is>
      </c>
      <c r="D710" t="n">
        <v>5810</v>
      </c>
    </row>
    <row r="711">
      <c r="A711" t="inlineStr">
        <is>
          <t>CANO HEALTH, INC.</t>
        </is>
      </c>
      <c r="B711" t="inlineStr">
        <is>
          <t>CANO</t>
        </is>
      </c>
      <c r="C711" t="inlineStr">
        <is>
          <t>CANO HEALTH, INC.</t>
        </is>
      </c>
      <c r="D711" t="n">
        <v>8011</v>
      </c>
    </row>
    <row r="712">
      <c r="A712" t="inlineStr">
        <is>
          <t>CANOO INC.</t>
        </is>
      </c>
      <c r="B712" t="inlineStr">
        <is>
          <t>GOEV</t>
        </is>
      </c>
      <c r="C712" t="inlineStr">
        <is>
          <t>CANOO INC.</t>
        </is>
      </c>
      <c r="D712" t="n">
        <v>3714</v>
      </c>
    </row>
    <row r="713">
      <c r="A713" t="inlineStr">
        <is>
          <t>CANTALOUPE, INC.</t>
        </is>
      </c>
      <c r="B713" t="inlineStr">
        <is>
          <t>CTLP</t>
        </is>
      </c>
      <c r="C713" t="inlineStr">
        <is>
          <t>CANTALOUPE, INC.</t>
        </is>
      </c>
      <c r="D713" t="n">
        <v>3578</v>
      </c>
    </row>
    <row r="714">
      <c r="A714" t="inlineStr">
        <is>
          <t>CANTERBURY PARK HOLDING CORP</t>
        </is>
      </c>
      <c r="B714" t="inlineStr">
        <is>
          <t>CPHC</t>
        </is>
      </c>
      <c r="C714" t="inlineStr">
        <is>
          <t>CANTERBURY PARK HOLDING CORP</t>
        </is>
      </c>
      <c r="D714" t="n">
        <v>7948</v>
      </c>
    </row>
    <row r="715">
      <c r="A715" t="inlineStr">
        <is>
          <t>CAPITAL BANCORP INC</t>
        </is>
      </c>
      <c r="B715" t="inlineStr">
        <is>
          <t>CBNK</t>
        </is>
      </c>
      <c r="C715" t="inlineStr">
        <is>
          <t>CAPITAL BANCORP INC</t>
        </is>
      </c>
      <c r="D715" t="n">
        <v>6021</v>
      </c>
    </row>
    <row r="716">
      <c r="A716" t="inlineStr">
        <is>
          <t>CAPITAL CITY BANK GROUP INC</t>
        </is>
      </c>
      <c r="B716" t="inlineStr">
        <is>
          <t>CCBG</t>
        </is>
      </c>
      <c r="C716" t="inlineStr">
        <is>
          <t>CAPITAL CITY BANK GROUP INC</t>
        </is>
      </c>
      <c r="D716" t="n">
        <v>6022</v>
      </c>
    </row>
    <row r="717">
      <c r="A717" t="inlineStr">
        <is>
          <t>CAPITAL ONE FINANCIAL CORP</t>
        </is>
      </c>
      <c r="B717" t="inlineStr">
        <is>
          <t>COF</t>
        </is>
      </c>
      <c r="C717" t="inlineStr">
        <is>
          <t>CAPITAL ONE FINANCIAL CORP</t>
        </is>
      </c>
      <c r="D717" t="n">
        <v>6021</v>
      </c>
    </row>
    <row r="718">
      <c r="A718" t="inlineStr">
        <is>
          <t>CAPITOL FEDERAL FINANCIAL, INC.</t>
        </is>
      </c>
      <c r="B718" t="inlineStr">
        <is>
          <t>CFFN</t>
        </is>
      </c>
      <c r="C718" t="inlineStr">
        <is>
          <t>CAPITOL FEDERAL FINANCIAL, INC.</t>
        </is>
      </c>
      <c r="D718" t="n">
        <v>6035</v>
      </c>
    </row>
    <row r="719">
      <c r="A719" t="inlineStr">
        <is>
          <t>CAPRI HOLDINGS LTD</t>
        </is>
      </c>
      <c r="B719" t="inlineStr">
        <is>
          <t>CPRI</t>
        </is>
      </c>
      <c r="C719" t="inlineStr">
        <is>
          <t>CAPRI HOLDINGS LTD</t>
        </is>
      </c>
      <c r="D719" t="n">
        <v>3100</v>
      </c>
    </row>
    <row r="720">
      <c r="A720" t="inlineStr">
        <is>
          <t>CAPRICOR THERAPEUTICS, INC.</t>
        </is>
      </c>
      <c r="B720" t="inlineStr">
        <is>
          <t>CAPR</t>
        </is>
      </c>
      <c r="C720" t="inlineStr">
        <is>
          <t>CAPRICOR THERAPEUTICS, INC.</t>
        </is>
      </c>
      <c r="D720" t="n">
        <v>2834</v>
      </c>
    </row>
    <row r="721">
      <c r="A721" t="inlineStr">
        <is>
          <t>CAPSTAR FINANCIAL HOLDINGS, INC.</t>
        </is>
      </c>
      <c r="B721" t="inlineStr">
        <is>
          <t>CSTR</t>
        </is>
      </c>
      <c r="C721" t="inlineStr">
        <is>
          <t>CAPSTAR FINANCIAL HOLDINGS, INC.</t>
        </is>
      </c>
      <c r="D721" t="n">
        <v>6022</v>
      </c>
    </row>
    <row r="722">
      <c r="A722" t="inlineStr">
        <is>
          <t>CAPSTONE GREEN ENERGY CORP</t>
        </is>
      </c>
      <c r="B722" t="inlineStr">
        <is>
          <t>CGRN</t>
        </is>
      </c>
      <c r="C722" t="inlineStr">
        <is>
          <t>CAPSTONE GREEN ENERGY CORP</t>
        </is>
      </c>
      <c r="D722" t="n">
        <v>3510</v>
      </c>
    </row>
    <row r="723">
      <c r="A723" t="inlineStr">
        <is>
          <t>CARA THERAPEUTICS, INC.</t>
        </is>
      </c>
      <c r="B723" t="inlineStr">
        <is>
          <t>CARA</t>
        </is>
      </c>
      <c r="C723" t="inlineStr">
        <is>
          <t>CARA THERAPEUTICS, INC.</t>
        </is>
      </c>
      <c r="D723" t="n">
        <v>2834</v>
      </c>
    </row>
    <row r="724">
      <c r="A724" t="inlineStr">
        <is>
          <t>CARDIFF ONCOLOGY, INC.</t>
        </is>
      </c>
      <c r="B724" t="inlineStr">
        <is>
          <t>CRDF</t>
        </is>
      </c>
      <c r="C724" t="inlineStr">
        <is>
          <t>CARDIFF ONCOLOGY, INC.</t>
        </is>
      </c>
      <c r="D724" t="n">
        <v>2836</v>
      </c>
    </row>
    <row r="725">
      <c r="A725" t="inlineStr">
        <is>
          <t>CARDINAL HEALTH INC</t>
        </is>
      </c>
      <c r="B725" t="inlineStr">
        <is>
          <t>CAH</t>
        </is>
      </c>
      <c r="C725" t="inlineStr">
        <is>
          <t>CARDINAL HEALTH INC</t>
        </is>
      </c>
      <c r="D725" t="n">
        <v>5122</v>
      </c>
    </row>
    <row r="726">
      <c r="A726" t="inlineStr">
        <is>
          <t>CARDIOVASCULAR SYSTEMS INC</t>
        </is>
      </c>
      <c r="B726" t="inlineStr">
        <is>
          <t>CSII</t>
        </is>
      </c>
      <c r="C726" t="inlineStr">
        <is>
          <t>CARDIOVASCULAR SYSTEMS INC</t>
        </is>
      </c>
      <c r="D726" t="n">
        <v>3841</v>
      </c>
    </row>
    <row r="727">
      <c r="A727" t="inlineStr">
        <is>
          <t>CARDLYTICS, INC.</t>
        </is>
      </c>
      <c r="B727" t="inlineStr">
        <is>
          <t>CDLX</t>
        </is>
      </c>
      <c r="C727" t="inlineStr">
        <is>
          <t>CARDLYTICS, INC.</t>
        </is>
      </c>
      <c r="D727" t="n">
        <v>7370</v>
      </c>
    </row>
    <row r="728">
      <c r="A728" t="inlineStr">
        <is>
          <t>CARECLOUD, INC.</t>
        </is>
      </c>
      <c r="B728" t="inlineStr">
        <is>
          <t>MTBC</t>
        </is>
      </c>
      <c r="C728" t="inlineStr">
        <is>
          <t>CARECLOUD, INC.</t>
        </is>
      </c>
      <c r="D728" t="n">
        <v>7372</v>
      </c>
    </row>
    <row r="729">
      <c r="A729" t="inlineStr">
        <is>
          <t>CAREDX, INC.</t>
        </is>
      </c>
      <c r="B729" t="inlineStr">
        <is>
          <t>CDNA</t>
        </is>
      </c>
      <c r="C729" t="inlineStr">
        <is>
          <t>CAREDX, INC.</t>
        </is>
      </c>
      <c r="D729" t="n">
        <v>8071</v>
      </c>
    </row>
    <row r="730">
      <c r="A730" t="inlineStr">
        <is>
          <t>CAREMAX, INC.</t>
        </is>
      </c>
      <c r="B730" t="inlineStr">
        <is>
          <t>CMAX</t>
        </is>
      </c>
      <c r="C730" t="inlineStr">
        <is>
          <t>CAREMAX, INC.</t>
        </is>
      </c>
      <c r="D730" t="n">
        <v>8050</v>
      </c>
    </row>
    <row r="731">
      <c r="A731" t="inlineStr">
        <is>
          <t>CARETRUST REIT, INC.</t>
        </is>
      </c>
      <c r="B731" t="inlineStr">
        <is>
          <t>CTRE</t>
        </is>
      </c>
      <c r="C731" t="inlineStr">
        <is>
          <t>CARETRUST REIT, INC.</t>
        </is>
      </c>
      <c r="D731" t="n">
        <v>6798</v>
      </c>
    </row>
    <row r="732">
      <c r="A732" t="inlineStr">
        <is>
          <t>CARGURUS, INC.</t>
        </is>
      </c>
      <c r="B732" t="inlineStr">
        <is>
          <t>CARG</t>
        </is>
      </c>
      <c r="C732" t="inlineStr">
        <is>
          <t>CARGURUS, INC.</t>
        </is>
      </c>
      <c r="D732" t="n">
        <v>7374</v>
      </c>
    </row>
    <row r="733">
      <c r="A733" t="inlineStr">
        <is>
          <t>CARIBOU BIOSCIENCES, INC.</t>
        </is>
      </c>
      <c r="B733" t="inlineStr">
        <is>
          <t>CRBU</t>
        </is>
      </c>
      <c r="C733" t="inlineStr">
        <is>
          <t>CARIBOU BIOSCIENCES, INC.</t>
        </is>
      </c>
      <c r="D733" t="n">
        <v>2836</v>
      </c>
    </row>
    <row r="734">
      <c r="A734" t="inlineStr">
        <is>
          <t>CARLISLE COMPANIES INC</t>
        </is>
      </c>
      <c r="B734" t="inlineStr">
        <is>
          <t>CSL</t>
        </is>
      </c>
      <c r="C734" t="inlineStr">
        <is>
          <t>CARLISLE COMPANIES INC</t>
        </is>
      </c>
      <c r="D734" t="n">
        <v>3060</v>
      </c>
    </row>
    <row r="735">
      <c r="A735" t="inlineStr">
        <is>
          <t>CARLOTZ, INC.</t>
        </is>
      </c>
      <c r="B735" t="inlineStr">
        <is>
          <t>LOTZ</t>
        </is>
      </c>
      <c r="C735" t="inlineStr">
        <is>
          <t>CARLOTZ, INC.</t>
        </is>
      </c>
      <c r="D735" t="n">
        <v>5500</v>
      </c>
    </row>
    <row r="736">
      <c r="A736" t="inlineStr">
        <is>
          <t>CARLYLE GROUP INC.</t>
        </is>
      </c>
      <c r="B736" t="inlineStr">
        <is>
          <t>CG</t>
        </is>
      </c>
      <c r="C736" t="inlineStr">
        <is>
          <t>CARLYLE GROUP INC.</t>
        </is>
      </c>
      <c r="D736" t="n">
        <v>6282</v>
      </c>
    </row>
    <row r="737">
      <c r="A737" t="inlineStr">
        <is>
          <t>CARMAX INC</t>
        </is>
      </c>
      <c r="B737" t="inlineStr">
        <is>
          <t>KMX</t>
        </is>
      </c>
      <c r="C737" t="inlineStr">
        <is>
          <t>CARMAX INC</t>
        </is>
      </c>
      <c r="D737" t="n">
        <v>5500</v>
      </c>
    </row>
    <row r="738">
      <c r="A738" t="inlineStr">
        <is>
          <t>CARNIVAL CORP</t>
        </is>
      </c>
      <c r="B738" t="inlineStr">
        <is>
          <t>CCL</t>
        </is>
      </c>
      <c r="C738" t="inlineStr">
        <is>
          <t>CARNIVAL CORP</t>
        </is>
      </c>
      <c r="D738" t="n">
        <v>4400</v>
      </c>
    </row>
    <row r="739">
      <c r="A739" t="inlineStr">
        <is>
          <t>CARPARTS.COM, INC.</t>
        </is>
      </c>
      <c r="B739" t="inlineStr">
        <is>
          <t>PRTS</t>
        </is>
      </c>
      <c r="C739" t="inlineStr">
        <is>
          <t>CARPARTS.COM, INC.</t>
        </is>
      </c>
      <c r="D739" t="n">
        <v>5531</v>
      </c>
    </row>
    <row r="740">
      <c r="A740" t="inlineStr">
        <is>
          <t>CARPENTER TECHNOLOGY CORP</t>
        </is>
      </c>
      <c r="B740" t="inlineStr">
        <is>
          <t>CRS</t>
        </is>
      </c>
      <c r="C740" t="inlineStr">
        <is>
          <t>CARPENTER TECHNOLOGY CORP</t>
        </is>
      </c>
      <c r="D740" t="n">
        <v>3312</v>
      </c>
    </row>
    <row r="741">
      <c r="A741" t="inlineStr">
        <is>
          <t>CARRIAGE SERVICES INC</t>
        </is>
      </c>
      <c r="B741" t="inlineStr">
        <is>
          <t>CSV</t>
        </is>
      </c>
      <c r="C741" t="inlineStr">
        <is>
          <t>CARRIAGE SERVICES INC</t>
        </is>
      </c>
      <c r="D741" t="n">
        <v>7200</v>
      </c>
    </row>
    <row r="742">
      <c r="A742" t="inlineStr">
        <is>
          <t>CARRIER GLOBAL CORP</t>
        </is>
      </c>
      <c r="B742" t="inlineStr">
        <is>
          <t>CARR</t>
        </is>
      </c>
      <c r="C742" t="inlineStr">
        <is>
          <t>CARRIER GLOBAL CORP</t>
        </is>
      </c>
      <c r="D742" t="n">
        <v>3585</v>
      </c>
    </row>
    <row r="743">
      <c r="A743" t="inlineStr">
        <is>
          <t>CARROLS RESTAURANT GROUP, INC.</t>
        </is>
      </c>
      <c r="B743" t="inlineStr">
        <is>
          <t>TAST</t>
        </is>
      </c>
      <c r="C743" t="inlineStr">
        <is>
          <t>CARROLS RESTAURANT GROUP, INC.</t>
        </is>
      </c>
      <c r="D743" t="n">
        <v>5812</v>
      </c>
    </row>
    <row r="744">
      <c r="A744" t="inlineStr">
        <is>
          <t>CARS.COM INC.</t>
        </is>
      </c>
      <c r="B744" t="inlineStr">
        <is>
          <t>CARS</t>
        </is>
      </c>
      <c r="C744" t="inlineStr">
        <is>
          <t>CARS.COM INC.</t>
        </is>
      </c>
      <c r="D744" t="n">
        <v>7374</v>
      </c>
    </row>
    <row r="745">
      <c r="A745" t="inlineStr">
        <is>
          <t>CARTER BANKSHARES, INC.</t>
        </is>
      </c>
      <c r="B745" t="inlineStr">
        <is>
          <t>CARE</t>
        </is>
      </c>
      <c r="C745" t="inlineStr">
        <is>
          <t>CARTER BANKSHARES, INC.</t>
        </is>
      </c>
      <c r="D745" t="n">
        <v>6021</v>
      </c>
    </row>
    <row r="746">
      <c r="A746" t="inlineStr">
        <is>
          <t>CARTERS INC</t>
        </is>
      </c>
      <c r="B746" t="inlineStr">
        <is>
          <t>CRI</t>
        </is>
      </c>
      <c r="C746" t="inlineStr">
        <is>
          <t>CARTERS INC</t>
        </is>
      </c>
      <c r="D746" t="n">
        <v>2300</v>
      </c>
    </row>
    <row r="747">
      <c r="A747" t="inlineStr">
        <is>
          <t>CARVANA CO.</t>
        </is>
      </c>
      <c r="B747" t="inlineStr">
        <is>
          <t>CVNA</t>
        </is>
      </c>
      <c r="C747" t="inlineStr">
        <is>
          <t>CARVANA CO.</t>
        </is>
      </c>
      <c r="D747" t="n">
        <v>5500</v>
      </c>
    </row>
    <row r="748">
      <c r="A748" t="inlineStr">
        <is>
          <t>CARVER BANCORP INC</t>
        </is>
      </c>
      <c r="B748" t="inlineStr">
        <is>
          <t>CARV</t>
        </is>
      </c>
      <c r="C748" t="inlineStr">
        <is>
          <t>CARVER BANCORP INC</t>
        </is>
      </c>
      <c r="D748" t="n">
        <v>6035</v>
      </c>
    </row>
    <row r="749">
      <c r="A749" t="inlineStr">
        <is>
          <t>CASA SYSTEMS INC</t>
        </is>
      </c>
      <c r="B749" t="inlineStr">
        <is>
          <t>CASA</t>
        </is>
      </c>
      <c r="C749" t="inlineStr">
        <is>
          <t>CASA SYSTEMS INC</t>
        </is>
      </c>
      <c r="D749" t="n">
        <v>3663</v>
      </c>
    </row>
    <row r="750">
      <c r="A750" t="inlineStr">
        <is>
          <t>CASELLA WASTE SYSTEMS INC</t>
        </is>
      </c>
      <c r="B750" t="inlineStr">
        <is>
          <t>CWST</t>
        </is>
      </c>
      <c r="C750" t="inlineStr">
        <is>
          <t>CASELLA WASTE SYSTEMS INC</t>
        </is>
      </c>
      <c r="D750" t="n">
        <v>4953</v>
      </c>
    </row>
    <row r="751">
      <c r="A751" t="inlineStr">
        <is>
          <t>CASEYS GENERAL STORES INC</t>
        </is>
      </c>
      <c r="B751" t="inlineStr">
        <is>
          <t>CASY</t>
        </is>
      </c>
      <c r="C751" t="inlineStr">
        <is>
          <t>CASEYS GENERAL STORES INC</t>
        </is>
      </c>
      <c r="D751" t="n">
        <v>5500</v>
      </c>
    </row>
    <row r="752">
      <c r="A752" t="inlineStr">
        <is>
          <t>CASI PHARMACEUTICALS, INC.</t>
        </is>
      </c>
      <c r="B752" t="inlineStr">
        <is>
          <t>CASI</t>
        </is>
      </c>
      <c r="C752" t="inlineStr">
        <is>
          <t>CASI PHARMACEUTICALS, INC.</t>
        </is>
      </c>
      <c r="D752" t="n">
        <v>2836</v>
      </c>
    </row>
    <row r="753">
      <c r="A753" t="inlineStr">
        <is>
          <t>CASS INFORMATION SYSTEMS INC</t>
        </is>
      </c>
      <c r="B753" t="inlineStr">
        <is>
          <t>CASS</t>
        </is>
      </c>
      <c r="C753" t="inlineStr">
        <is>
          <t>CASS INFORMATION SYSTEMS INC</t>
        </is>
      </c>
      <c r="D753" t="n">
        <v>7389</v>
      </c>
    </row>
    <row r="754">
      <c r="A754" t="inlineStr">
        <is>
          <t>CASTLE BIOSCIENCES INC</t>
        </is>
      </c>
      <c r="B754" t="inlineStr">
        <is>
          <t>CSTL</t>
        </is>
      </c>
      <c r="C754" t="inlineStr">
        <is>
          <t>CASTLE BIOSCIENCES INC</t>
        </is>
      </c>
      <c r="D754" t="n">
        <v>8071</v>
      </c>
    </row>
    <row r="755">
      <c r="A755" t="inlineStr">
        <is>
          <t>CASTOR MARITIME INC.</t>
        </is>
      </c>
      <c r="B755" t="inlineStr">
        <is>
          <t>CTRM</t>
        </is>
      </c>
      <c r="C755" t="inlineStr">
        <is>
          <t>CASTOR MARITIME INC.</t>
        </is>
      </c>
      <c r="D755" t="n">
        <v>4412</v>
      </c>
    </row>
    <row r="756">
      <c r="A756" t="inlineStr">
        <is>
          <t>CATALENT, INC.</t>
        </is>
      </c>
      <c r="B756" t="inlineStr">
        <is>
          <t>CTLT</t>
        </is>
      </c>
      <c r="C756" t="inlineStr">
        <is>
          <t>CATALENT, INC.</t>
        </is>
      </c>
      <c r="D756" t="n">
        <v>2834</v>
      </c>
    </row>
    <row r="757">
      <c r="A757" t="inlineStr">
        <is>
          <t>CATALYST BANCORP, INC.</t>
        </is>
      </c>
      <c r="B757" t="inlineStr">
        <is>
          <t>CLST</t>
        </is>
      </c>
      <c r="C757" t="inlineStr">
        <is>
          <t>CATALYST BANCORP, INC.</t>
        </is>
      </c>
      <c r="D757" t="n">
        <v>6035</v>
      </c>
    </row>
    <row r="758">
      <c r="A758" t="inlineStr">
        <is>
          <t>CATALYST BIOSCIENCES, INC.</t>
        </is>
      </c>
      <c r="B758" t="inlineStr">
        <is>
          <t>CBIO</t>
        </is>
      </c>
      <c r="C758" t="inlineStr">
        <is>
          <t>CATALYST BIOSCIENCES, INC.</t>
        </is>
      </c>
      <c r="D758" t="n">
        <v>2834</v>
      </c>
    </row>
    <row r="759">
      <c r="A759" t="inlineStr">
        <is>
          <t>CATALYST PHARMACEUTICALS, INC.</t>
        </is>
      </c>
      <c r="B759" t="inlineStr">
        <is>
          <t>CPRX</t>
        </is>
      </c>
      <c r="C759" t="inlineStr">
        <is>
          <t>CATALYST PHARMACEUTICALS, INC.</t>
        </is>
      </c>
      <c r="D759" t="n">
        <v>2834</v>
      </c>
    </row>
    <row r="760">
      <c r="A760" t="inlineStr">
        <is>
          <t>CATCHMARK TIMBER TRUST, INC.</t>
        </is>
      </c>
      <c r="B760" t="inlineStr">
        <is>
          <t>CTT</t>
        </is>
      </c>
      <c r="C760" t="inlineStr">
        <is>
          <t>CATCHMARK TIMBER TRUST, INC.</t>
        </is>
      </c>
      <c r="D760" t="n">
        <v>6798</v>
      </c>
    </row>
    <row r="761">
      <c r="A761" t="inlineStr">
        <is>
          <t>CATERPILLAR INC</t>
        </is>
      </c>
      <c r="B761" t="inlineStr">
        <is>
          <t>CAT</t>
        </is>
      </c>
      <c r="C761" t="inlineStr">
        <is>
          <t>CATERPILLAR INC</t>
        </is>
      </c>
      <c r="D761" t="n">
        <v>3531</v>
      </c>
    </row>
    <row r="762">
      <c r="A762" t="inlineStr">
        <is>
          <t>CATHAY GENERAL BANCORP</t>
        </is>
      </c>
      <c r="B762" t="inlineStr">
        <is>
          <t>CATY</t>
        </is>
      </c>
      <c r="C762" t="inlineStr">
        <is>
          <t>CATHAY GENERAL BANCORP</t>
        </is>
      </c>
      <c r="D762" t="n">
        <v>6022</v>
      </c>
    </row>
    <row r="763">
      <c r="A763" t="inlineStr">
        <is>
          <t>CATO CORP</t>
        </is>
      </c>
      <c r="B763" t="inlineStr">
        <is>
          <t>CATO</t>
        </is>
      </c>
      <c r="C763" t="inlineStr">
        <is>
          <t>CATO CORP</t>
        </is>
      </c>
      <c r="D763" t="n">
        <v>5621</v>
      </c>
    </row>
    <row r="764">
      <c r="A764" t="inlineStr">
        <is>
          <t>CAVCO INDUSTRIES INC.</t>
        </is>
      </c>
      <c r="B764" t="inlineStr">
        <is>
          <t>CVCO</t>
        </is>
      </c>
      <c r="C764" t="inlineStr">
        <is>
          <t>CAVCO INDUSTRIES INC.</t>
        </is>
      </c>
      <c r="D764" t="n">
        <v>2451</v>
      </c>
    </row>
    <row r="765">
      <c r="A765" t="inlineStr">
        <is>
          <t>CB FINANCIAL SERVICES, INC.</t>
        </is>
      </c>
      <c r="B765" t="inlineStr">
        <is>
          <t>CBFV</t>
        </is>
      </c>
      <c r="C765" t="inlineStr">
        <is>
          <t>CB FINANCIAL SERVICES, INC.</t>
        </is>
      </c>
      <c r="D765" t="n">
        <v>6022</v>
      </c>
    </row>
    <row r="766">
      <c r="A766" t="inlineStr">
        <is>
          <t>CBAK ENERGY TECHNOLOGY, INC.</t>
        </is>
      </c>
      <c r="B766" t="inlineStr">
        <is>
          <t>CBAT</t>
        </is>
      </c>
      <c r="C766" t="inlineStr">
        <is>
          <t>CBAK ENERGY TECHNOLOGY, INC.</t>
        </is>
      </c>
      <c r="D766" t="n">
        <v>3690</v>
      </c>
    </row>
    <row r="767">
      <c r="A767" t="inlineStr">
        <is>
          <t>CBDMD, INC.</t>
        </is>
      </c>
      <c r="B767" t="inlineStr">
        <is>
          <t>YCBD</t>
        </is>
      </c>
      <c r="C767" t="inlineStr">
        <is>
          <t>CBDMD, INC.</t>
        </is>
      </c>
      <c r="D767" t="n">
        <v>2844</v>
      </c>
    </row>
    <row r="768">
      <c r="A768" t="inlineStr">
        <is>
          <t>CBIZ, INC.</t>
        </is>
      </c>
      <c r="B768" t="inlineStr">
        <is>
          <t>CBZ</t>
        </is>
      </c>
      <c r="C768" t="inlineStr">
        <is>
          <t>CBIZ, INC.</t>
        </is>
      </c>
      <c r="D768" t="n">
        <v>7389</v>
      </c>
    </row>
    <row r="769">
      <c r="A769" t="inlineStr">
        <is>
          <t>CBL &amp; ASSOCIATES PROPERTIES INC</t>
        </is>
      </c>
      <c r="B769" t="inlineStr">
        <is>
          <t>CBL</t>
        </is>
      </c>
      <c r="C769" t="inlineStr">
        <is>
          <t>CBL &amp; ASSOCIATES PROPERTIES INC</t>
        </is>
      </c>
      <c r="D769" t="n">
        <v>6798</v>
      </c>
    </row>
    <row r="770">
      <c r="A770" t="inlineStr">
        <is>
          <t>CBOE GLOBAL MARKETS, INC.</t>
        </is>
      </c>
      <c r="B770" t="inlineStr">
        <is>
          <t>CBOE</t>
        </is>
      </c>
      <c r="C770" t="inlineStr">
        <is>
          <t>CBOE GLOBAL MARKETS, INC.</t>
        </is>
      </c>
      <c r="D770" t="n">
        <v>6200</v>
      </c>
    </row>
    <row r="771">
      <c r="A771" t="inlineStr">
        <is>
          <t>CBRE GROUP, INC.</t>
        </is>
      </c>
      <c r="B771" t="inlineStr">
        <is>
          <t>CBRE</t>
        </is>
      </c>
      <c r="C771" t="inlineStr">
        <is>
          <t>CBRE GROUP, INC.</t>
        </is>
      </c>
      <c r="D771" t="n">
        <v>6500</v>
      </c>
    </row>
    <row r="772">
      <c r="A772" t="inlineStr">
        <is>
          <t>CBTX, INC.</t>
        </is>
      </c>
      <c r="B772" t="inlineStr">
        <is>
          <t>CBTX</t>
        </is>
      </c>
      <c r="C772" t="inlineStr">
        <is>
          <t>CBTX, INC.</t>
        </is>
      </c>
      <c r="D772" t="n">
        <v>6021</v>
      </c>
    </row>
    <row r="773">
      <c r="A773" t="inlineStr">
        <is>
          <t>CCC INTELLIGENT SOLUTIONS HOLDINGS INC.</t>
        </is>
      </c>
      <c r="B773" t="inlineStr">
        <is>
          <t>CCCS</t>
        </is>
      </c>
      <c r="C773" t="inlineStr">
        <is>
          <t>CCC INTELLIGENT SOLUTIONS HOLDINGS INC.</t>
        </is>
      </c>
      <c r="D773" t="n">
        <v>7372</v>
      </c>
    </row>
    <row r="774">
      <c r="A774" t="inlineStr">
        <is>
          <t>CDK GLOBAL, INC.</t>
        </is>
      </c>
      <c r="B774" t="inlineStr">
        <is>
          <t>CDK</t>
        </is>
      </c>
      <c r="C774" t="inlineStr">
        <is>
          <t>CDK GLOBAL, INC.</t>
        </is>
      </c>
      <c r="D774" t="n">
        <v>7389</v>
      </c>
    </row>
    <row r="775">
      <c r="A775" t="inlineStr">
        <is>
          <t>CDW CORP</t>
        </is>
      </c>
      <c r="B775" t="inlineStr">
        <is>
          <t>CDW</t>
        </is>
      </c>
      <c r="C775" t="inlineStr">
        <is>
          <t>CDW CORP</t>
        </is>
      </c>
      <c r="D775" t="n">
        <v>5961</v>
      </c>
    </row>
    <row r="776">
      <c r="A776" t="inlineStr">
        <is>
          <t>CECO ENVIRONMENTAL CORP</t>
        </is>
      </c>
      <c r="B776" t="inlineStr">
        <is>
          <t>CECE</t>
        </is>
      </c>
      <c r="C776" t="inlineStr">
        <is>
          <t>CECO ENVIRONMENTAL CORP</t>
        </is>
      </c>
      <c r="D776" t="n">
        <v>3564</v>
      </c>
    </row>
    <row r="777">
      <c r="A777" t="inlineStr">
        <is>
          <t>CEDAR FAIR L P</t>
        </is>
      </c>
      <c r="B777" t="inlineStr">
        <is>
          <t>FUN</t>
        </is>
      </c>
      <c r="C777" t="inlineStr">
        <is>
          <t>CEDAR FAIR L P</t>
        </is>
      </c>
      <c r="D777" t="n">
        <v>7990</v>
      </c>
    </row>
    <row r="778">
      <c r="A778" t="inlineStr">
        <is>
          <t>CEDAR REALTY TRUST, INC.</t>
        </is>
      </c>
      <c r="B778" t="inlineStr">
        <is>
          <t>CDR</t>
        </is>
      </c>
      <c r="C778" t="inlineStr">
        <is>
          <t>CEDAR REALTY TRUST, INC.</t>
        </is>
      </c>
      <c r="D778" t="n">
        <v>6798</v>
      </c>
    </row>
    <row r="779">
      <c r="A779" t="inlineStr">
        <is>
          <t>CELANESE CORP</t>
        </is>
      </c>
      <c r="B779" t="inlineStr">
        <is>
          <t>CE</t>
        </is>
      </c>
      <c r="C779" t="inlineStr">
        <is>
          <t>CELANESE CORP</t>
        </is>
      </c>
      <c r="D779" t="n">
        <v>2820</v>
      </c>
    </row>
    <row r="780">
      <c r="A780" t="inlineStr">
        <is>
          <t>CELLDEX THERAPEUTICS, INC.</t>
        </is>
      </c>
      <c r="B780" t="inlineStr">
        <is>
          <t>CLDX</t>
        </is>
      </c>
      <c r="C780" t="inlineStr">
        <is>
          <t>CELLDEX THERAPEUTICS, INC.</t>
        </is>
      </c>
      <c r="D780" t="n">
        <v>2835</v>
      </c>
    </row>
    <row r="781">
      <c r="A781" t="inlineStr">
        <is>
          <t>CELLEBRITE DI LTD.</t>
        </is>
      </c>
      <c r="B781" t="inlineStr">
        <is>
          <t>CLBT</t>
        </is>
      </c>
      <c r="C781" t="inlineStr">
        <is>
          <t>CELLEBRITE DI LTD.</t>
        </is>
      </c>
      <c r="D781" t="n">
        <v>7372</v>
      </c>
    </row>
    <row r="782">
      <c r="A782" t="inlineStr">
        <is>
          <t>CELSION CORP</t>
        </is>
      </c>
      <c r="B782" t="inlineStr">
        <is>
          <t>CLSN</t>
        </is>
      </c>
      <c r="C782" t="inlineStr">
        <is>
          <t>CELSION CORP</t>
        </is>
      </c>
      <c r="D782" t="n">
        <v>2834</v>
      </c>
    </row>
    <row r="783">
      <c r="A783" t="inlineStr">
        <is>
          <t>CELSIUS HOLDINGS, INC.</t>
        </is>
      </c>
      <c r="B783" t="inlineStr">
        <is>
          <t>CELH</t>
        </is>
      </c>
      <c r="C783" t="inlineStr">
        <is>
          <t>CELSIUS HOLDINGS, INC.</t>
        </is>
      </c>
      <c r="D783" t="n">
        <v>2086</v>
      </c>
    </row>
    <row r="784">
      <c r="A784" t="inlineStr">
        <is>
          <t>CELULARITY INC</t>
        </is>
      </c>
      <c r="B784" t="inlineStr">
        <is>
          <t>CELU</t>
        </is>
      </c>
      <c r="C784" t="inlineStr">
        <is>
          <t>CELULARITY INC</t>
        </is>
      </c>
      <c r="D784" t="n">
        <v>2834</v>
      </c>
    </row>
    <row r="785">
      <c r="A785" t="inlineStr">
        <is>
          <t>CENTENE CORP</t>
        </is>
      </c>
      <c r="B785" t="inlineStr">
        <is>
          <t>CNC</t>
        </is>
      </c>
      <c r="C785" t="inlineStr">
        <is>
          <t>CENTENE CORP</t>
        </is>
      </c>
      <c r="D785" t="n">
        <v>6324</v>
      </c>
    </row>
    <row r="786">
      <c r="A786" t="inlineStr">
        <is>
          <t>CENTENNIAL RESOURCE DEVELOPMENT, INC.</t>
        </is>
      </c>
      <c r="B786" t="inlineStr">
        <is>
          <t>CDEV</t>
        </is>
      </c>
      <c r="C786" t="inlineStr">
        <is>
          <t>CENTENNIAL RESOURCE DEVELOPMENT, INC.</t>
        </is>
      </c>
      <c r="D786" t="n">
        <v>1311</v>
      </c>
    </row>
    <row r="787">
      <c r="A787" t="inlineStr">
        <is>
          <t>CENTERPOINT ENERGY INC</t>
        </is>
      </c>
      <c r="B787" t="inlineStr">
        <is>
          <t>CNP</t>
        </is>
      </c>
      <c r="C787" t="inlineStr">
        <is>
          <t>CENTERPOINT ENERGY INC</t>
        </is>
      </c>
      <c r="D787" t="n">
        <v>4911</v>
      </c>
    </row>
    <row r="788">
      <c r="A788" t="inlineStr">
        <is>
          <t>CENTERSPACE</t>
        </is>
      </c>
      <c r="B788" t="inlineStr">
        <is>
          <t>CSR</t>
        </is>
      </c>
      <c r="C788" t="inlineStr">
        <is>
          <t>CENTERSPACE</t>
        </is>
      </c>
      <c r="D788" t="n">
        <v>6798</v>
      </c>
    </row>
    <row r="789">
      <c r="A789" t="inlineStr">
        <is>
          <t>CENTRAL GARDEN &amp; PET CO</t>
        </is>
      </c>
      <c r="B789" t="inlineStr">
        <is>
          <t>CENT</t>
        </is>
      </c>
      <c r="C789" t="inlineStr">
        <is>
          <t>CENTRAL GARDEN &amp; PET CO</t>
        </is>
      </c>
      <c r="D789" t="n">
        <v>5190</v>
      </c>
    </row>
    <row r="790">
      <c r="A790" t="inlineStr">
        <is>
          <t>CENTRAL PACIFIC FINANCIAL CORP</t>
        </is>
      </c>
      <c r="B790" t="inlineStr">
        <is>
          <t>CPF</t>
        </is>
      </c>
      <c r="C790" t="inlineStr">
        <is>
          <t>CENTRAL PACIFIC FINANCIAL CORP</t>
        </is>
      </c>
      <c r="D790" t="n">
        <v>6022</v>
      </c>
    </row>
    <row r="791">
      <c r="A791" t="inlineStr">
        <is>
          <t>CENTRAL VALLEY COMMUNITY BANCORP</t>
        </is>
      </c>
      <c r="B791" t="inlineStr">
        <is>
          <t>CVCY</t>
        </is>
      </c>
      <c r="C791" t="inlineStr">
        <is>
          <t>CENTRAL VALLEY COMMUNITY BANCORP</t>
        </is>
      </c>
      <c r="D791" t="n">
        <v>6022</v>
      </c>
    </row>
    <row r="792">
      <c r="A792" t="inlineStr">
        <is>
          <t>CENTRUS ENERGY CORP</t>
        </is>
      </c>
      <c r="B792" t="inlineStr">
        <is>
          <t>LEU</t>
        </is>
      </c>
      <c r="C792" t="inlineStr">
        <is>
          <t>CENTRUS ENERGY CORP</t>
        </is>
      </c>
      <c r="D792" t="n">
        <v>1400</v>
      </c>
    </row>
    <row r="793">
      <c r="A793" t="inlineStr">
        <is>
          <t>CENTURY ALUMINUM CO</t>
        </is>
      </c>
      <c r="B793" t="inlineStr">
        <is>
          <t>CENX</t>
        </is>
      </c>
      <c r="C793" t="inlineStr">
        <is>
          <t>CENTURY ALUMINUM CO</t>
        </is>
      </c>
      <c r="D793" t="n">
        <v>3334</v>
      </c>
    </row>
    <row r="794">
      <c r="A794" t="inlineStr">
        <is>
          <t>CENTURY CASINOS INC /CO/</t>
        </is>
      </c>
      <c r="B794" t="inlineStr">
        <is>
          <t>CNTY</t>
        </is>
      </c>
      <c r="C794" t="inlineStr">
        <is>
          <t>CENTURY CASINOS INC /CO/</t>
        </is>
      </c>
      <c r="D794" t="n">
        <v>7011</v>
      </c>
    </row>
    <row r="795">
      <c r="A795" t="inlineStr">
        <is>
          <t>CENTURY COMMUNITIES, INC.</t>
        </is>
      </c>
      <c r="B795" t="inlineStr">
        <is>
          <t>CCS</t>
        </is>
      </c>
      <c r="C795" t="inlineStr">
        <is>
          <t>CENTURY COMMUNITIES, INC.</t>
        </is>
      </c>
      <c r="D795" t="n">
        <v>1531</v>
      </c>
    </row>
    <row r="796">
      <c r="A796" t="inlineStr">
        <is>
          <t>CERAGON NETWORKS LTD</t>
        </is>
      </c>
      <c r="B796" t="inlineStr">
        <is>
          <t>CRNT</t>
        </is>
      </c>
      <c r="C796" t="inlineStr">
        <is>
          <t>CERAGON NETWORKS LTD</t>
        </is>
      </c>
      <c r="D796" t="n">
        <v>3663</v>
      </c>
    </row>
    <row r="797">
      <c r="A797" t="inlineStr">
        <is>
          <t>CERBERUS CYBER SENTINEL CORP</t>
        </is>
      </c>
      <c r="B797" t="inlineStr">
        <is>
          <t>CISO</t>
        </is>
      </c>
      <c r="C797" t="inlineStr">
        <is>
          <t>CERBERUS CYBER SENTINEL CORP</t>
        </is>
      </c>
      <c r="D797" t="n">
        <v>8742</v>
      </c>
    </row>
    <row r="798">
      <c r="A798" t="inlineStr">
        <is>
          <t>CERENCE INC.</t>
        </is>
      </c>
      <c r="B798" t="inlineStr">
        <is>
          <t>CRNC</t>
        </is>
      </c>
      <c r="C798" t="inlineStr">
        <is>
          <t>CERENCE INC.</t>
        </is>
      </c>
      <c r="D798" t="n">
        <v>7372</v>
      </c>
    </row>
    <row r="799">
      <c r="A799" t="inlineStr">
        <is>
          <t>CERIDIAN HCM HOLDING INC.</t>
        </is>
      </c>
      <c r="B799" t="inlineStr">
        <is>
          <t>CDAY</t>
        </is>
      </c>
      <c r="C799" t="inlineStr">
        <is>
          <t>CERIDIAN HCM HOLDING INC.</t>
        </is>
      </c>
      <c r="D799" t="n">
        <v>7372</v>
      </c>
    </row>
    <row r="800">
      <c r="A800" t="inlineStr">
        <is>
          <t>CERTARA, INC.</t>
        </is>
      </c>
      <c r="B800" t="inlineStr">
        <is>
          <t>CERT</t>
        </is>
      </c>
      <c r="C800" t="inlineStr">
        <is>
          <t>CERTARA, INC.</t>
        </is>
      </c>
      <c r="D800" t="n">
        <v>7372</v>
      </c>
    </row>
    <row r="801">
      <c r="A801" t="inlineStr">
        <is>
          <t>CERUS CORP</t>
        </is>
      </c>
      <c r="B801" t="inlineStr">
        <is>
          <t>CERS</t>
        </is>
      </c>
      <c r="C801" t="inlineStr">
        <is>
          <t>CERUS CORP</t>
        </is>
      </c>
      <c r="D801" t="n">
        <v>3841</v>
      </c>
    </row>
    <row r="802">
      <c r="A802" t="inlineStr">
        <is>
          <t>CEVA INC</t>
        </is>
      </c>
      <c r="B802" t="inlineStr">
        <is>
          <t>CEVA</t>
        </is>
      </c>
      <c r="C802" t="inlineStr">
        <is>
          <t>CEVA INC</t>
        </is>
      </c>
      <c r="D802" t="n">
        <v>7370</v>
      </c>
    </row>
    <row r="803">
      <c r="A803" t="inlineStr">
        <is>
          <t>CF BANKSHARES INC.</t>
        </is>
      </c>
      <c r="B803" t="inlineStr">
        <is>
          <t>CFBK</t>
        </is>
      </c>
      <c r="C803" t="inlineStr">
        <is>
          <t>CF BANKSHARES INC.</t>
        </is>
      </c>
      <c r="D803" t="n">
        <v>6021</v>
      </c>
    </row>
    <row r="804">
      <c r="A804" t="inlineStr">
        <is>
          <t>CF INDUSTRIES HOLDINGS, INC.</t>
        </is>
      </c>
      <c r="B804" t="inlineStr">
        <is>
          <t>CF</t>
        </is>
      </c>
      <c r="C804" t="inlineStr">
        <is>
          <t>CF INDUSTRIES HOLDINGS, INC.</t>
        </is>
      </c>
      <c r="D804" t="n">
        <v>2870</v>
      </c>
    </row>
    <row r="805">
      <c r="A805" t="inlineStr">
        <is>
          <t>CHAMPIONS ONCOLOGY, INC.</t>
        </is>
      </c>
      <c r="B805" t="inlineStr">
        <is>
          <t>CSBR</t>
        </is>
      </c>
      <c r="C805" t="inlineStr">
        <is>
          <t>CHAMPIONS ONCOLOGY, INC.</t>
        </is>
      </c>
      <c r="D805" t="n">
        <v>2836</v>
      </c>
    </row>
    <row r="806">
      <c r="A806" t="inlineStr">
        <is>
          <t>CHAMPIONX CORP</t>
        </is>
      </c>
      <c r="B806" t="inlineStr">
        <is>
          <t>CHX</t>
        </is>
      </c>
      <c r="C806" t="inlineStr">
        <is>
          <t>CHAMPIONX CORP</t>
        </is>
      </c>
      <c r="D806" t="n">
        <v>3530</v>
      </c>
    </row>
    <row r="807">
      <c r="A807" t="inlineStr">
        <is>
          <t>CHANGE HEALTHCARE INC.</t>
        </is>
      </c>
      <c r="B807" t="inlineStr">
        <is>
          <t>CHNG</t>
        </is>
      </c>
      <c r="C807" t="inlineStr">
        <is>
          <t>CHANGE HEALTHCARE INC.</t>
        </is>
      </c>
      <c r="D807" t="n">
        <v>7374</v>
      </c>
    </row>
    <row r="808">
      <c r="A808" t="inlineStr">
        <is>
          <t>CHANNELADVISOR CORP</t>
        </is>
      </c>
      <c r="B808" t="inlineStr">
        <is>
          <t>ECOM</t>
        </is>
      </c>
      <c r="C808" t="inlineStr">
        <is>
          <t>CHANNELADVISOR CORP</t>
        </is>
      </c>
      <c r="D808" t="n">
        <v>7372</v>
      </c>
    </row>
    <row r="809">
      <c r="A809" t="inlineStr">
        <is>
          <t>CHARAH SOLUTIONS, INC.</t>
        </is>
      </c>
      <c r="B809" t="inlineStr">
        <is>
          <t>CHRA</t>
        </is>
      </c>
      <c r="C809" t="inlineStr">
        <is>
          <t>CHARAH SOLUTIONS, INC.</t>
        </is>
      </c>
      <c r="D809" t="n">
        <v>4955</v>
      </c>
    </row>
    <row r="810">
      <c r="A810" t="inlineStr">
        <is>
          <t>CHARGE ENTERPRISES, INC.</t>
        </is>
      </c>
      <c r="B810" t="inlineStr">
        <is>
          <t>CRGE</t>
        </is>
      </c>
      <c r="C810" t="inlineStr">
        <is>
          <t>CHARGE ENTERPRISES, INC.</t>
        </is>
      </c>
      <c r="D810" t="n">
        <v>4822</v>
      </c>
    </row>
    <row r="811">
      <c r="A811" t="inlineStr">
        <is>
          <t>CHARGEPOINT HOLDINGS, INC.</t>
        </is>
      </c>
      <c r="B811" t="inlineStr">
        <is>
          <t>CHPT</t>
        </is>
      </c>
      <c r="C811" t="inlineStr">
        <is>
          <t>CHARGEPOINT HOLDINGS, INC.</t>
        </is>
      </c>
      <c r="D811" t="n">
        <v>3790</v>
      </c>
    </row>
    <row r="812">
      <c r="A812" t="inlineStr">
        <is>
          <t>CHARLES &amp; COLVARD LTD</t>
        </is>
      </c>
      <c r="B812" t="inlineStr">
        <is>
          <t>CTHR</t>
        </is>
      </c>
      <c r="C812" t="inlineStr">
        <is>
          <t>CHARLES &amp; COLVARD LTD</t>
        </is>
      </c>
      <c r="D812" t="n">
        <v>3910</v>
      </c>
    </row>
    <row r="813">
      <c r="A813" t="inlineStr">
        <is>
          <t>CHARLES RIVER LABORATORIES INTERNATIONAL, INC.</t>
        </is>
      </c>
      <c r="B813" t="inlineStr">
        <is>
          <t>CRL</t>
        </is>
      </c>
      <c r="C813" t="inlineStr">
        <is>
          <t>CHARLES RIVER LABORATORIES INTERNATIONAL, INC.</t>
        </is>
      </c>
      <c r="D813" t="n">
        <v>8731</v>
      </c>
    </row>
    <row r="814">
      <c r="A814" t="inlineStr">
        <is>
          <t>CHARLOTTE'S WEB HOLDINGS, INC.</t>
        </is>
      </c>
      <c r="B814" t="inlineStr">
        <is>
          <t>CWBHF</t>
        </is>
      </c>
      <c r="C814" t="inlineStr">
        <is>
          <t>CHARLOTTE'S WEB HOLDINGS, INC.</t>
        </is>
      </c>
      <c r="D814" t="n">
        <v>100</v>
      </c>
    </row>
    <row r="815">
      <c r="A815" t="inlineStr">
        <is>
          <t>CHART INDUSTRIES INC</t>
        </is>
      </c>
      <c r="B815" t="inlineStr">
        <is>
          <t>GTLS</t>
        </is>
      </c>
      <c r="C815" t="inlineStr">
        <is>
          <t>CHART INDUSTRIES INC</t>
        </is>
      </c>
      <c r="D815" t="n">
        <v>3443</v>
      </c>
    </row>
    <row r="816">
      <c r="A816" t="inlineStr">
        <is>
          <t>CHARTER COMMUNICATIONS, INC. /MO/</t>
        </is>
      </c>
      <c r="B816" t="inlineStr">
        <is>
          <t>CHTR</t>
        </is>
      </c>
      <c r="C816" t="inlineStr">
        <is>
          <t>CHARTER COMMUNICATIONS, INC. /MO/</t>
        </is>
      </c>
      <c r="D816" t="n">
        <v>4841</v>
      </c>
    </row>
    <row r="817">
      <c r="A817" t="inlineStr">
        <is>
          <t>CHASE CORP</t>
        </is>
      </c>
      <c r="B817" t="inlineStr">
        <is>
          <t>CCF</t>
        </is>
      </c>
      <c r="C817" t="inlineStr">
        <is>
          <t>CHASE CORP</t>
        </is>
      </c>
      <c r="D817" t="n">
        <v>3640</v>
      </c>
    </row>
    <row r="818">
      <c r="A818" t="inlineStr">
        <is>
          <t>CHATHAM LODGING TRUST</t>
        </is>
      </c>
      <c r="B818" t="inlineStr">
        <is>
          <t>CLDT</t>
        </is>
      </c>
      <c r="C818" t="inlineStr">
        <is>
          <t>CHATHAM LODGING TRUST</t>
        </is>
      </c>
      <c r="D818" t="n">
        <v>6798</v>
      </c>
    </row>
    <row r="819">
      <c r="A819" t="inlineStr">
        <is>
          <t>CHECK POINT SOFTWARE TECHNOLOGIES LTD</t>
        </is>
      </c>
      <c r="B819" t="inlineStr">
        <is>
          <t>CHKP</t>
        </is>
      </c>
      <c r="C819" t="inlineStr">
        <is>
          <t>CHECK POINT SOFTWARE TECHNOLOGIES LTD</t>
        </is>
      </c>
      <c r="D819" t="n">
        <v>7372</v>
      </c>
    </row>
    <row r="820">
      <c r="A820" t="inlineStr">
        <is>
          <t>CHEESECAKE FACTORY INC</t>
        </is>
      </c>
      <c r="B820" t="inlineStr">
        <is>
          <t>CAKE</t>
        </is>
      </c>
      <c r="C820" t="inlineStr">
        <is>
          <t>CHEESECAKE FACTORY INC</t>
        </is>
      </c>
      <c r="D820" t="n">
        <v>5812</v>
      </c>
    </row>
    <row r="821">
      <c r="A821" t="inlineStr">
        <is>
          <t>CHEETAH MOBILE INC.</t>
        </is>
      </c>
      <c r="B821" t="inlineStr">
        <is>
          <t>CMCM</t>
        </is>
      </c>
      <c r="C821" t="inlineStr">
        <is>
          <t>CHEETAH MOBILE INC.</t>
        </is>
      </c>
      <c r="D821" t="n">
        <v>7372</v>
      </c>
    </row>
    <row r="822">
      <c r="A822" t="inlineStr">
        <is>
          <t>CHEFS' WAREHOUSE, INC.</t>
        </is>
      </c>
      <c r="B822" t="inlineStr">
        <is>
          <t>CHEF</t>
        </is>
      </c>
      <c r="C822" t="inlineStr">
        <is>
          <t>CHEFS' WAREHOUSE, INC.</t>
        </is>
      </c>
      <c r="D822" t="n">
        <v>5141</v>
      </c>
    </row>
    <row r="823">
      <c r="A823" t="inlineStr">
        <is>
          <t>CHEGG, INC</t>
        </is>
      </c>
      <c r="B823" t="inlineStr">
        <is>
          <t>CHGG</t>
        </is>
      </c>
      <c r="C823" t="inlineStr">
        <is>
          <t>CHEGG, INC</t>
        </is>
      </c>
      <c r="D823" t="n">
        <v>8200</v>
      </c>
    </row>
    <row r="824">
      <c r="A824" t="inlineStr">
        <is>
          <t>CHEMBIO DIAGNOSTICS, INC.</t>
        </is>
      </c>
      <c r="B824" t="inlineStr">
        <is>
          <t>CEMI</t>
        </is>
      </c>
      <c r="C824" t="inlineStr">
        <is>
          <t>CHEMBIO DIAGNOSTICS, INC.</t>
        </is>
      </c>
      <c r="D824" t="n">
        <v>2834</v>
      </c>
    </row>
    <row r="825">
      <c r="A825" t="inlineStr">
        <is>
          <t>CHEMED CORP</t>
        </is>
      </c>
      <c r="B825" t="inlineStr">
        <is>
          <t>CHE</t>
        </is>
      </c>
      <c r="C825" t="inlineStr">
        <is>
          <t>CHEMED CORP</t>
        </is>
      </c>
      <c r="D825" t="n">
        <v>8082</v>
      </c>
    </row>
    <row r="826">
      <c r="A826" t="inlineStr">
        <is>
          <t>CHEMOCENTRYX, INC.</t>
        </is>
      </c>
      <c r="B826" t="inlineStr">
        <is>
          <t>CCXI</t>
        </is>
      </c>
      <c r="C826" t="inlineStr">
        <is>
          <t>CHEMOCENTRYX, INC.</t>
        </is>
      </c>
      <c r="D826" t="n">
        <v>2834</v>
      </c>
    </row>
    <row r="827">
      <c r="A827" t="inlineStr">
        <is>
          <t>CHEMOURS CO</t>
        </is>
      </c>
      <c r="B827" t="inlineStr">
        <is>
          <t>CC</t>
        </is>
      </c>
      <c r="C827" t="inlineStr">
        <is>
          <t>CHEMOURS CO</t>
        </is>
      </c>
      <c r="D827" t="n">
        <v>2800</v>
      </c>
    </row>
    <row r="828">
      <c r="A828" t="inlineStr">
        <is>
          <t>CHEMUNG FINANCIAL CORP</t>
        </is>
      </c>
      <c r="B828" t="inlineStr">
        <is>
          <t>CHMG</t>
        </is>
      </c>
      <c r="C828" t="inlineStr">
        <is>
          <t>CHEMUNG FINANCIAL CORP</t>
        </is>
      </c>
      <c r="D828" t="n">
        <v>6022</v>
      </c>
    </row>
    <row r="829">
      <c r="A829" t="inlineStr">
        <is>
          <t>CHENIERE ENERGY INC</t>
        </is>
      </c>
      <c r="B829" t="inlineStr">
        <is>
          <t>LNG</t>
        </is>
      </c>
      <c r="C829" t="inlineStr">
        <is>
          <t>CHENIERE ENERGY INC</t>
        </is>
      </c>
      <c r="D829" t="n">
        <v>4924</v>
      </c>
    </row>
    <row r="830">
      <c r="A830" t="inlineStr">
        <is>
          <t>CHENIERE ENERGY PARTNERS, L.P.</t>
        </is>
      </c>
      <c r="B830" t="inlineStr">
        <is>
          <t>CQP</t>
        </is>
      </c>
      <c r="C830" t="inlineStr">
        <is>
          <t>CHENIERE ENERGY PARTNERS, L.P.</t>
        </is>
      </c>
      <c r="D830" t="n">
        <v>4924</v>
      </c>
    </row>
    <row r="831">
      <c r="A831" t="inlineStr">
        <is>
          <t>CHERRY HILL MORTGAGE INVESTMENT CORP</t>
        </is>
      </c>
      <c r="B831" t="inlineStr">
        <is>
          <t>CHMI</t>
        </is>
      </c>
      <c r="C831" t="inlineStr">
        <is>
          <t>CHERRY HILL MORTGAGE INVESTMENT CORP</t>
        </is>
      </c>
      <c r="D831" t="n">
        <v>6798</v>
      </c>
    </row>
    <row r="832">
      <c r="A832" t="inlineStr">
        <is>
          <t>CHESAPEAKE ENERGY CORP</t>
        </is>
      </c>
      <c r="B832" t="inlineStr">
        <is>
          <t>CHK</t>
        </is>
      </c>
      <c r="C832" t="inlineStr">
        <is>
          <t>CHESAPEAKE ENERGY CORP</t>
        </is>
      </c>
      <c r="D832" t="n">
        <v>1311</v>
      </c>
    </row>
    <row r="833">
      <c r="A833" t="inlineStr">
        <is>
          <t>CHESAPEAKE UTILITIES CORP</t>
        </is>
      </c>
      <c r="B833" t="inlineStr">
        <is>
          <t>CPK</t>
        </is>
      </c>
      <c r="C833" t="inlineStr">
        <is>
          <t>CHESAPEAKE UTILITIES CORP</t>
        </is>
      </c>
      <c r="D833" t="n">
        <v>4923</v>
      </c>
    </row>
    <row r="834">
      <c r="A834" t="inlineStr">
        <is>
          <t>CHEVRON CORP</t>
        </is>
      </c>
      <c r="B834" t="inlineStr">
        <is>
          <t>CVX</t>
        </is>
      </c>
      <c r="C834" t="inlineStr">
        <is>
          <t>CHEVRON CORP</t>
        </is>
      </c>
      <c r="D834" t="n">
        <v>2911</v>
      </c>
    </row>
    <row r="835">
      <c r="A835" t="inlineStr">
        <is>
          <t>CHEWY, INC.</t>
        </is>
      </c>
      <c r="B835" t="inlineStr">
        <is>
          <t>CHWY</t>
        </is>
      </c>
      <c r="C835" t="inlineStr">
        <is>
          <t>CHEWY, INC.</t>
        </is>
      </c>
      <c r="D835" t="n">
        <v>5961</v>
      </c>
    </row>
    <row r="836">
      <c r="A836" t="inlineStr">
        <is>
          <t>CHICAGO RIVET &amp; MACHINE CO</t>
        </is>
      </c>
      <c r="B836" t="inlineStr">
        <is>
          <t>CVR</t>
        </is>
      </c>
      <c r="C836" t="inlineStr">
        <is>
          <t>CHICAGO RIVET &amp; MACHINE CO</t>
        </is>
      </c>
      <c r="D836" t="n">
        <v>3540</v>
      </c>
    </row>
    <row r="837">
      <c r="A837" t="inlineStr">
        <is>
          <t>CHICKEN SOUP FOR THE SOUL ENTERTAINMENT, INC.</t>
        </is>
      </c>
      <c r="B837" t="inlineStr">
        <is>
          <t>CSSE</t>
        </is>
      </c>
      <c r="C837" t="inlineStr">
        <is>
          <t>CHICKEN SOUP FOR THE SOUL ENTERTAINMENT, INC.</t>
        </is>
      </c>
      <c r="D837" t="n">
        <v>7819</v>
      </c>
    </row>
    <row r="838">
      <c r="A838" t="inlineStr">
        <is>
          <t>CHICO'S FAS, INC.</t>
        </is>
      </c>
      <c r="B838" t="inlineStr">
        <is>
          <t>CHS</t>
        </is>
      </c>
      <c r="C838" t="inlineStr">
        <is>
          <t>CHICO'S FAS, INC.</t>
        </is>
      </c>
      <c r="D838" t="n">
        <v>5621</v>
      </c>
    </row>
    <row r="839">
      <c r="A839" t="inlineStr">
        <is>
          <t>CHILDRENS PLACE, INC.</t>
        </is>
      </c>
      <c r="B839" t="inlineStr">
        <is>
          <t>PLCE</t>
        </is>
      </c>
      <c r="C839" t="inlineStr">
        <is>
          <t>CHILDRENS PLACE, INC.</t>
        </is>
      </c>
      <c r="D839" t="n">
        <v>5651</v>
      </c>
    </row>
    <row r="840">
      <c r="A840" t="inlineStr">
        <is>
          <t>CHIMERA INVESTMENT CORP</t>
        </is>
      </c>
      <c r="B840" t="inlineStr">
        <is>
          <t>CIM</t>
        </is>
      </c>
      <c r="C840" t="inlineStr">
        <is>
          <t>CHIMERA INVESTMENT CORP</t>
        </is>
      </c>
      <c r="D840" t="n">
        <v>6798</v>
      </c>
    </row>
    <row r="841">
      <c r="A841" t="inlineStr">
        <is>
          <t>CHIMERIX INC</t>
        </is>
      </c>
      <c r="B841" t="inlineStr">
        <is>
          <t>CMRX</t>
        </is>
      </c>
      <c r="C841" t="inlineStr">
        <is>
          <t>CHIMERIX INC</t>
        </is>
      </c>
      <c r="D841" t="n">
        <v>2834</v>
      </c>
    </row>
    <row r="842">
      <c r="A842" t="inlineStr">
        <is>
          <t>CHINA AUTOMOTIVE SYSTEMS INC</t>
        </is>
      </c>
      <c r="B842" t="inlineStr">
        <is>
          <t>CAAS</t>
        </is>
      </c>
      <c r="C842" t="inlineStr">
        <is>
          <t>CHINA AUTOMOTIVE SYSTEMS INC</t>
        </is>
      </c>
      <c r="D842" t="n">
        <v>3714</v>
      </c>
    </row>
    <row r="843">
      <c r="A843" t="inlineStr">
        <is>
          <t>CHINA GREEN AGRICULTURE, INC.</t>
        </is>
      </c>
      <c r="B843" t="inlineStr">
        <is>
          <t>CGA</t>
        </is>
      </c>
      <c r="C843" t="inlineStr">
        <is>
          <t>CHINA GREEN AGRICULTURE, INC.</t>
        </is>
      </c>
      <c r="D843" t="n">
        <v>2870</v>
      </c>
    </row>
    <row r="844">
      <c r="A844" t="inlineStr">
        <is>
          <t>CHINA ONLINE EDUCATION GROUP</t>
        </is>
      </c>
      <c r="B844" t="inlineStr">
        <is>
          <t>COE</t>
        </is>
      </c>
      <c r="C844" t="inlineStr">
        <is>
          <t>CHINA ONLINE EDUCATION GROUP</t>
        </is>
      </c>
      <c r="D844" t="n">
        <v>8200</v>
      </c>
    </row>
    <row r="845">
      <c r="A845" t="inlineStr">
        <is>
          <t>CHINA PHARMA HOLDINGS, INC.</t>
        </is>
      </c>
      <c r="B845" t="inlineStr">
        <is>
          <t>CPHI</t>
        </is>
      </c>
      <c r="C845" t="inlineStr">
        <is>
          <t>CHINA PHARMA HOLDINGS, INC.</t>
        </is>
      </c>
      <c r="D845" t="n">
        <v>2834</v>
      </c>
    </row>
    <row r="846">
      <c r="A846" t="inlineStr">
        <is>
          <t>CHINA SXT PHARMACEUTICALS, INC.</t>
        </is>
      </c>
      <c r="B846" t="inlineStr">
        <is>
          <t>SXTC</t>
        </is>
      </c>
      <c r="C846" t="inlineStr">
        <is>
          <t>CHINA SXT PHARMACEUTICALS, INC.</t>
        </is>
      </c>
      <c r="D846" t="n">
        <v>2834</v>
      </c>
    </row>
    <row r="847">
      <c r="A847" t="inlineStr">
        <is>
          <t>CHINA UNITED INSURANCE SERVICE, INC.</t>
        </is>
      </c>
      <c r="B847" t="inlineStr">
        <is>
          <t>CUII</t>
        </is>
      </c>
      <c r="C847" t="inlineStr">
        <is>
          <t>CHINA UNITED INSURANCE SERVICE, INC.</t>
        </is>
      </c>
      <c r="D847" t="n">
        <v>6411</v>
      </c>
    </row>
    <row r="848">
      <c r="A848" t="inlineStr">
        <is>
          <t>CHINDATA GROUP HOLDINGS LTD</t>
        </is>
      </c>
      <c r="B848" t="inlineStr">
        <is>
          <t>CD</t>
        </is>
      </c>
      <c r="C848" t="inlineStr">
        <is>
          <t>CHINDATA GROUP HOLDINGS LTD</t>
        </is>
      </c>
      <c r="D848" t="n">
        <v>7370</v>
      </c>
    </row>
    <row r="849">
      <c r="A849" t="inlineStr">
        <is>
          <t>CHINOOK THERAPEUTICS, INC.</t>
        </is>
      </c>
      <c r="B849" t="inlineStr">
        <is>
          <t>KDNY</t>
        </is>
      </c>
      <c r="C849" t="inlineStr">
        <is>
          <t>CHINOOK THERAPEUTICS, INC.</t>
        </is>
      </c>
      <c r="D849" t="n">
        <v>2834</v>
      </c>
    </row>
    <row r="850">
      <c r="A850" t="inlineStr">
        <is>
          <t>CHIPOTLE MEXICAN GRILL INC</t>
        </is>
      </c>
      <c r="B850" t="inlineStr">
        <is>
          <t>CMG</t>
        </is>
      </c>
      <c r="C850" t="inlineStr">
        <is>
          <t>CHIPOTLE MEXICAN GRILL INC</t>
        </is>
      </c>
      <c r="D850" t="n">
        <v>5812</v>
      </c>
    </row>
    <row r="851">
      <c r="A851" t="inlineStr">
        <is>
          <t>CHOICE HOTELS INTERNATIONAL INC /DE</t>
        </is>
      </c>
      <c r="B851" t="inlineStr">
        <is>
          <t>CHH</t>
        </is>
      </c>
      <c r="C851" t="inlineStr">
        <is>
          <t>CHOICE HOTELS INTERNATIONAL INC /DE</t>
        </is>
      </c>
      <c r="D851" t="n">
        <v>7011</v>
      </c>
    </row>
    <row r="852">
      <c r="A852" t="inlineStr">
        <is>
          <t>CHOICEONE FINANCIAL SERVICES INC</t>
        </is>
      </c>
      <c r="B852" t="inlineStr">
        <is>
          <t>COFS</t>
        </is>
      </c>
      <c r="C852" t="inlineStr">
        <is>
          <t>CHOICEONE FINANCIAL SERVICES INC</t>
        </is>
      </c>
      <c r="D852" t="n">
        <v>6022</v>
      </c>
    </row>
    <row r="853">
      <c r="A853" t="inlineStr">
        <is>
          <t>CHROMADEX CORP.</t>
        </is>
      </c>
      <c r="B853" t="inlineStr">
        <is>
          <t>CDXC</t>
        </is>
      </c>
      <c r="C853" t="inlineStr">
        <is>
          <t>CHROMADEX CORP.</t>
        </is>
      </c>
      <c r="D853" t="n">
        <v>2833</v>
      </c>
    </row>
    <row r="854">
      <c r="A854" t="inlineStr">
        <is>
          <t>CHUBB LTD</t>
        </is>
      </c>
      <c r="B854" t="inlineStr">
        <is>
          <t>CB</t>
        </is>
      </c>
      <c r="C854" t="inlineStr">
        <is>
          <t>CHUBB LTD</t>
        </is>
      </c>
      <c r="D854" t="n">
        <v>6331</v>
      </c>
    </row>
    <row r="855">
      <c r="A855" t="inlineStr">
        <is>
          <t>CHURCH &amp; DWIGHT CO INC /DE/</t>
        </is>
      </c>
      <c r="B855" t="inlineStr">
        <is>
          <t>CHD</t>
        </is>
      </c>
      <c r="C855" t="inlineStr">
        <is>
          <t>CHURCH &amp; DWIGHT CO INC /DE/</t>
        </is>
      </c>
      <c r="D855" t="n">
        <v>2840</v>
      </c>
    </row>
    <row r="856">
      <c r="A856" t="inlineStr">
        <is>
          <t>CHURCHILL DOWNS INC</t>
        </is>
      </c>
      <c r="B856" t="inlineStr">
        <is>
          <t>CHDN</t>
        </is>
      </c>
      <c r="C856" t="inlineStr">
        <is>
          <t>CHURCHILL DOWNS INC</t>
        </is>
      </c>
      <c r="D856" t="n">
        <v>7948</v>
      </c>
    </row>
    <row r="857">
      <c r="A857" t="inlineStr">
        <is>
          <t>CHUY'S HOLDINGS, INC.</t>
        </is>
      </c>
      <c r="B857" t="inlineStr">
        <is>
          <t>CHUY</t>
        </is>
      </c>
      <c r="C857" t="inlineStr">
        <is>
          <t>CHUY'S HOLDINGS, INC.</t>
        </is>
      </c>
      <c r="D857" t="n">
        <v>5812</v>
      </c>
    </row>
    <row r="858">
      <c r="A858" t="inlineStr">
        <is>
          <t>CIENA CORP</t>
        </is>
      </c>
      <c r="B858" t="inlineStr">
        <is>
          <t>CIEN</t>
        </is>
      </c>
      <c r="C858" t="inlineStr">
        <is>
          <t>CIENA CORP</t>
        </is>
      </c>
      <c r="D858" t="n">
        <v>3661</v>
      </c>
    </row>
    <row r="859">
      <c r="A859" t="inlineStr">
        <is>
          <t>CIGNA CORP</t>
        </is>
      </c>
      <c r="B859" t="inlineStr">
        <is>
          <t>CI</t>
        </is>
      </c>
      <c r="C859" t="inlineStr">
        <is>
          <t>CIGNA CORP</t>
        </is>
      </c>
      <c r="D859" t="n">
        <v>6324</v>
      </c>
    </row>
    <row r="860">
      <c r="A860" t="inlineStr">
        <is>
          <t>CIMPRESS PLC</t>
        </is>
      </c>
      <c r="B860" t="inlineStr">
        <is>
          <t>CMPR</t>
        </is>
      </c>
      <c r="C860" t="inlineStr">
        <is>
          <t>CIMPRESS PLC</t>
        </is>
      </c>
      <c r="D860" t="n">
        <v>2750</v>
      </c>
    </row>
    <row r="861">
      <c r="A861" t="inlineStr">
        <is>
          <t>CINCINNATI BANCORP, INC.</t>
        </is>
      </c>
      <c r="B861" t="inlineStr">
        <is>
          <t>CNNB</t>
        </is>
      </c>
      <c r="C861" t="inlineStr">
        <is>
          <t>CINCINNATI BANCORP, INC.</t>
        </is>
      </c>
      <c r="D861" t="n">
        <v>6035</v>
      </c>
    </row>
    <row r="862">
      <c r="A862" t="inlineStr">
        <is>
          <t>CINCINNATI FINANCIAL CORP</t>
        </is>
      </c>
      <c r="B862" t="inlineStr">
        <is>
          <t>CINF</t>
        </is>
      </c>
      <c r="C862" t="inlineStr">
        <is>
          <t>CINCINNATI FINANCIAL CORP</t>
        </is>
      </c>
      <c r="D862" t="n">
        <v>6331</v>
      </c>
    </row>
    <row r="863">
      <c r="A863" t="inlineStr">
        <is>
          <t>CINEDIGM CORP.</t>
        </is>
      </c>
      <c r="B863" t="inlineStr">
        <is>
          <t>CIDM</t>
        </is>
      </c>
      <c r="C863" t="inlineStr">
        <is>
          <t>CINEDIGM CORP.</t>
        </is>
      </c>
      <c r="D863" t="n">
        <v>7841</v>
      </c>
    </row>
    <row r="864">
      <c r="A864" t="inlineStr">
        <is>
          <t>CINEMARK HOLDINGS, INC.</t>
        </is>
      </c>
      <c r="B864" t="inlineStr">
        <is>
          <t>CNK</t>
        </is>
      </c>
      <c r="C864" t="inlineStr">
        <is>
          <t>CINEMARK HOLDINGS, INC.</t>
        </is>
      </c>
      <c r="D864" t="n">
        <v>7830</v>
      </c>
    </row>
    <row r="865">
      <c r="A865" t="inlineStr">
        <is>
          <t>CINTAS CORP</t>
        </is>
      </c>
      <c r="B865" t="inlineStr">
        <is>
          <t>CTAS</t>
        </is>
      </c>
      <c r="C865" t="inlineStr">
        <is>
          <t>CINTAS CORP</t>
        </is>
      </c>
      <c r="D865" t="n">
        <v>2320</v>
      </c>
    </row>
    <row r="866">
      <c r="A866" t="inlineStr">
        <is>
          <t>CIRCOR INTERNATIONAL INC</t>
        </is>
      </c>
      <c r="B866" t="inlineStr">
        <is>
          <t>CIR</t>
        </is>
      </c>
      <c r="C866" t="inlineStr">
        <is>
          <t>CIRCOR INTERNATIONAL INC</t>
        </is>
      </c>
      <c r="D866" t="n">
        <v>3490</v>
      </c>
    </row>
    <row r="867">
      <c r="A867" t="inlineStr">
        <is>
          <t>CIRRUS LOGIC, INC.</t>
        </is>
      </c>
      <c r="B867" t="inlineStr">
        <is>
          <t>CRUS</t>
        </is>
      </c>
      <c r="C867" t="inlineStr">
        <is>
          <t>CIRRUS LOGIC, INC.</t>
        </is>
      </c>
      <c r="D867" t="n">
        <v>3674</v>
      </c>
    </row>
    <row r="868">
      <c r="A868" t="inlineStr">
        <is>
          <t>CISCO SYSTEMS, INC.</t>
        </is>
      </c>
      <c r="B868" t="inlineStr">
        <is>
          <t>CSCO</t>
        </is>
      </c>
      <c r="C868" t="inlineStr">
        <is>
          <t>CISCO SYSTEMS, INC.</t>
        </is>
      </c>
      <c r="D868" t="n">
        <v>3576</v>
      </c>
    </row>
    <row r="869">
      <c r="A869" t="inlineStr">
        <is>
          <t>CITI TRENDS INC</t>
        </is>
      </c>
      <c r="B869" t="inlineStr">
        <is>
          <t>CTRN</t>
        </is>
      </c>
      <c r="C869" t="inlineStr">
        <is>
          <t>CITI TRENDS INC</t>
        </is>
      </c>
      <c r="D869" t="n">
        <v>5600</v>
      </c>
    </row>
    <row r="870">
      <c r="A870" t="inlineStr">
        <is>
          <t>CITIGROUP INC</t>
        </is>
      </c>
      <c r="B870" t="inlineStr">
        <is>
          <t>C</t>
        </is>
      </c>
      <c r="C870" t="inlineStr">
        <is>
          <t>CITIGROUP INC</t>
        </is>
      </c>
      <c r="D870" t="n">
        <v>6021</v>
      </c>
    </row>
    <row r="871">
      <c r="A871" t="inlineStr">
        <is>
          <t>CITIUS PHARMACEUTICALS, INC.</t>
        </is>
      </c>
      <c r="B871" t="inlineStr">
        <is>
          <t>CTXR</t>
        </is>
      </c>
      <c r="C871" t="inlineStr">
        <is>
          <t>CITIUS PHARMACEUTICALS, INC.</t>
        </is>
      </c>
      <c r="D871" t="n">
        <v>2834</v>
      </c>
    </row>
    <row r="872">
      <c r="A872" t="inlineStr">
        <is>
          <t>CITIZENS &amp; NORTHERN CORP</t>
        </is>
      </c>
      <c r="B872" t="inlineStr">
        <is>
          <t>CZNC</t>
        </is>
      </c>
      <c r="C872" t="inlineStr">
        <is>
          <t>CITIZENS &amp; NORTHERN CORP</t>
        </is>
      </c>
      <c r="D872" t="n">
        <v>6022</v>
      </c>
    </row>
    <row r="873">
      <c r="A873" t="inlineStr">
        <is>
          <t>CITIZENS COMMUNITY BANCORP INC.</t>
        </is>
      </c>
      <c r="B873" t="inlineStr">
        <is>
          <t>CZWI</t>
        </is>
      </c>
      <c r="C873" t="inlineStr">
        <is>
          <t>CITIZENS COMMUNITY BANCORP INC.</t>
        </is>
      </c>
      <c r="D873" t="n">
        <v>6035</v>
      </c>
    </row>
    <row r="874">
      <c r="A874" t="inlineStr">
        <is>
          <t>CITIZENS FINANCIAL GROUP INC/RI</t>
        </is>
      </c>
      <c r="B874" t="inlineStr">
        <is>
          <t>CFG</t>
        </is>
      </c>
      <c r="C874" t="inlineStr">
        <is>
          <t>CITIZENS FINANCIAL GROUP INC/RI</t>
        </is>
      </c>
      <c r="D874" t="n">
        <v>6022</v>
      </c>
    </row>
    <row r="875">
      <c r="A875" t="inlineStr">
        <is>
          <t>CITIZENS FINANCIAL SERVICES INC</t>
        </is>
      </c>
      <c r="B875" t="inlineStr">
        <is>
          <t>CZFS</t>
        </is>
      </c>
      <c r="C875" t="inlineStr">
        <is>
          <t>CITIZENS FINANCIAL SERVICES INC</t>
        </is>
      </c>
      <c r="D875" t="n">
        <v>6022</v>
      </c>
    </row>
    <row r="876">
      <c r="A876" t="inlineStr">
        <is>
          <t>CITIZENS HOLDING CO /MS/</t>
        </is>
      </c>
      <c r="B876" t="inlineStr">
        <is>
          <t>CIZN</t>
        </is>
      </c>
      <c r="C876" t="inlineStr">
        <is>
          <t>CITIZENS HOLDING CO /MS/</t>
        </is>
      </c>
      <c r="D876" t="n">
        <v>6022</v>
      </c>
    </row>
    <row r="877">
      <c r="A877" t="inlineStr">
        <is>
          <t>CITIZENS, INC.</t>
        </is>
      </c>
      <c r="B877" t="inlineStr">
        <is>
          <t>CIA</t>
        </is>
      </c>
      <c r="C877" t="inlineStr">
        <is>
          <t>CITIZENS, INC.</t>
        </is>
      </c>
      <c r="D877" t="n">
        <v>6311</v>
      </c>
    </row>
    <row r="878">
      <c r="A878" t="inlineStr">
        <is>
          <t>CITRIX SYSTEMS INC</t>
        </is>
      </c>
      <c r="B878" t="inlineStr">
        <is>
          <t>CTXS</t>
        </is>
      </c>
      <c r="C878" t="inlineStr">
        <is>
          <t>CITRIX SYSTEMS INC</t>
        </is>
      </c>
      <c r="D878" t="n">
        <v>7372</v>
      </c>
    </row>
    <row r="879">
      <c r="A879" t="inlineStr">
        <is>
          <t>CITY HOLDING CO</t>
        </is>
      </c>
      <c r="B879" t="inlineStr">
        <is>
          <t>CHCO</t>
        </is>
      </c>
      <c r="C879" t="inlineStr">
        <is>
          <t>CITY HOLDING CO</t>
        </is>
      </c>
      <c r="D879" t="n">
        <v>6021</v>
      </c>
    </row>
    <row r="880">
      <c r="A880" t="inlineStr">
        <is>
          <t>CITY OFFICE REIT, INC.</t>
        </is>
      </c>
      <c r="B880" t="inlineStr">
        <is>
          <t>CIO</t>
        </is>
      </c>
      <c r="C880" t="inlineStr">
        <is>
          <t>CITY OFFICE REIT, INC.</t>
        </is>
      </c>
      <c r="D880" t="n">
        <v>6798</v>
      </c>
    </row>
    <row r="881">
      <c r="A881" t="inlineStr">
        <is>
          <t>CIVEO CORP</t>
        </is>
      </c>
      <c r="B881" t="inlineStr">
        <is>
          <t>CVEO</t>
        </is>
      </c>
      <c r="C881" t="inlineStr">
        <is>
          <t>CIVEO CORP</t>
        </is>
      </c>
      <c r="D881" t="n">
        <v>7000</v>
      </c>
    </row>
    <row r="882">
      <c r="A882" t="inlineStr">
        <is>
          <t>CIVISTA BANCSHARES, INC.</t>
        </is>
      </c>
      <c r="B882" t="inlineStr">
        <is>
          <t>CIVB</t>
        </is>
      </c>
      <c r="C882" t="inlineStr">
        <is>
          <t>CIVISTA BANCSHARES, INC.</t>
        </is>
      </c>
      <c r="D882" t="n">
        <v>6022</v>
      </c>
    </row>
    <row r="883">
      <c r="A883" t="inlineStr">
        <is>
          <t>CIVITAS RESOURCES, INC.</t>
        </is>
      </c>
      <c r="B883" t="inlineStr">
        <is>
          <t>CIVI</t>
        </is>
      </c>
      <c r="C883" t="inlineStr">
        <is>
          <t>CIVITAS RESOURCES, INC.</t>
        </is>
      </c>
      <c r="D883" t="n">
        <v>1311</v>
      </c>
    </row>
    <row r="884">
      <c r="A884" t="inlineStr">
        <is>
          <t>CKX LANDS, INC.</t>
        </is>
      </c>
      <c r="B884" t="inlineStr">
        <is>
          <t>CKX</t>
        </is>
      </c>
      <c r="C884" t="inlineStr">
        <is>
          <t>CKX LANDS, INC.</t>
        </is>
      </c>
      <c r="D884" t="n">
        <v>1311</v>
      </c>
    </row>
    <row r="885">
      <c r="A885" t="inlineStr">
        <is>
          <t>CLARIVATE PLC</t>
        </is>
      </c>
      <c r="B885" t="inlineStr">
        <is>
          <t>CLVT</t>
        </is>
      </c>
      <c r="C885" t="inlineStr">
        <is>
          <t>CLARIVATE PLC</t>
        </is>
      </c>
      <c r="D885" t="n">
        <v>7374</v>
      </c>
    </row>
    <row r="886">
      <c r="A886" t="inlineStr">
        <is>
          <t>CLAROS MORTGAGE TRUST, INC.</t>
        </is>
      </c>
      <c r="B886" t="inlineStr">
        <is>
          <t>CMTG</t>
        </is>
      </c>
      <c r="C886" t="inlineStr">
        <is>
          <t>CLAROS MORTGAGE TRUST, INC.</t>
        </is>
      </c>
      <c r="D886" t="n">
        <v>6500</v>
      </c>
    </row>
    <row r="887">
      <c r="A887" t="inlineStr">
        <is>
          <t>CLARUS CORP</t>
        </is>
      </c>
      <c r="B887" t="inlineStr">
        <is>
          <t>CLAR</t>
        </is>
      </c>
      <c r="C887" t="inlineStr">
        <is>
          <t>CLARUS CORP</t>
        </is>
      </c>
      <c r="D887" t="n">
        <v>3949</v>
      </c>
    </row>
    <row r="888">
      <c r="A888" t="inlineStr">
        <is>
          <t>CLEAN ENERGY FUELS CORP.</t>
        </is>
      </c>
      <c r="B888" t="inlineStr">
        <is>
          <t>CLNE</t>
        </is>
      </c>
      <c r="C888" t="inlineStr">
        <is>
          <t>CLEAN ENERGY FUELS CORP.</t>
        </is>
      </c>
      <c r="D888" t="n">
        <v>4932</v>
      </c>
    </row>
    <row r="889">
      <c r="A889" t="inlineStr">
        <is>
          <t>CLEAN HARBORS INC</t>
        </is>
      </c>
      <c r="B889" t="inlineStr">
        <is>
          <t>CLH</t>
        </is>
      </c>
      <c r="C889" t="inlineStr">
        <is>
          <t>CLEAN HARBORS INC</t>
        </is>
      </c>
      <c r="D889" t="n">
        <v>4955</v>
      </c>
    </row>
    <row r="890">
      <c r="A890" t="inlineStr">
        <is>
          <t>CLEANSPARK, INC.</t>
        </is>
      </c>
      <c r="B890" t="inlineStr">
        <is>
          <t>CLSK</t>
        </is>
      </c>
      <c r="C890" t="inlineStr">
        <is>
          <t>CLEANSPARK, INC.</t>
        </is>
      </c>
      <c r="D890" t="n">
        <v>7373</v>
      </c>
    </row>
    <row r="891">
      <c r="A891" t="inlineStr">
        <is>
          <t>CLEAR CHANNEL OUTDOOR HOLDINGS, INC.</t>
        </is>
      </c>
      <c r="B891" t="inlineStr">
        <is>
          <t>CCO</t>
        </is>
      </c>
      <c r="C891" t="inlineStr">
        <is>
          <t>CLEAR CHANNEL OUTDOOR HOLDINGS, INC.</t>
        </is>
      </c>
      <c r="D891" t="n">
        <v>7310</v>
      </c>
    </row>
    <row r="892">
      <c r="A892" t="inlineStr">
        <is>
          <t>CLEAR SECURE, INC.</t>
        </is>
      </c>
      <c r="B892" t="inlineStr">
        <is>
          <t>YOU</t>
        </is>
      </c>
      <c r="C892" t="inlineStr">
        <is>
          <t>CLEAR SECURE, INC.</t>
        </is>
      </c>
      <c r="D892" t="n">
        <v>7372</v>
      </c>
    </row>
    <row r="893">
      <c r="A893" t="inlineStr">
        <is>
          <t>CLEARDAY, INC.</t>
        </is>
      </c>
      <c r="B893" t="inlineStr">
        <is>
          <t>CLRD</t>
        </is>
      </c>
      <c r="C893" t="inlineStr">
        <is>
          <t>CLEARDAY, INC.</t>
        </is>
      </c>
      <c r="D893" t="n">
        <v>3663</v>
      </c>
    </row>
    <row r="894">
      <c r="A894" t="inlineStr">
        <is>
          <t>CLEARFIELD, INC.</t>
        </is>
      </c>
      <c r="B894" t="inlineStr">
        <is>
          <t>CLFD</t>
        </is>
      </c>
      <c r="C894" t="inlineStr">
        <is>
          <t>CLEARFIELD, INC.</t>
        </is>
      </c>
      <c r="D894" t="n">
        <v>3661</v>
      </c>
    </row>
    <row r="895">
      <c r="A895" t="inlineStr">
        <is>
          <t>CLEARONE INC</t>
        </is>
      </c>
      <c r="B895" t="inlineStr">
        <is>
          <t>CLRO</t>
        </is>
      </c>
      <c r="C895" t="inlineStr">
        <is>
          <t>CLEARONE INC</t>
        </is>
      </c>
      <c r="D895" t="n">
        <v>3661</v>
      </c>
    </row>
    <row r="896">
      <c r="A896" t="inlineStr">
        <is>
          <t>CLEARPOINT NEURO, INC.</t>
        </is>
      </c>
      <c r="B896" t="inlineStr">
        <is>
          <t>CLPT</t>
        </is>
      </c>
      <c r="C896" t="inlineStr">
        <is>
          <t>CLEARPOINT NEURO, INC.</t>
        </is>
      </c>
      <c r="D896" t="n">
        <v>3841</v>
      </c>
    </row>
    <row r="897">
      <c r="A897" t="inlineStr">
        <is>
          <t>CLEARSIDE BIOMEDICAL, INC.</t>
        </is>
      </c>
      <c r="B897" t="inlineStr">
        <is>
          <t>CLSD</t>
        </is>
      </c>
      <c r="C897" t="inlineStr">
        <is>
          <t>CLEARSIDE BIOMEDICAL, INC.</t>
        </is>
      </c>
      <c r="D897" t="n">
        <v>2834</v>
      </c>
    </row>
    <row r="898">
      <c r="A898" t="inlineStr">
        <is>
          <t>CLEARWATER ANALYTICS HOLDINGS, INC.</t>
        </is>
      </c>
      <c r="B898" t="inlineStr">
        <is>
          <t>CWAN</t>
        </is>
      </c>
      <c r="C898" t="inlineStr">
        <is>
          <t>CLEARWATER ANALYTICS HOLDINGS, INC.</t>
        </is>
      </c>
      <c r="D898" t="n">
        <v>7372</v>
      </c>
    </row>
    <row r="899">
      <c r="A899" t="inlineStr">
        <is>
          <t>CLEARWATER PAPER CORP</t>
        </is>
      </c>
      <c r="B899" t="inlineStr">
        <is>
          <t>CLW</t>
        </is>
      </c>
      <c r="C899" t="inlineStr">
        <is>
          <t>CLEARWATER PAPER CORP</t>
        </is>
      </c>
      <c r="D899" t="n">
        <v>2631</v>
      </c>
    </row>
    <row r="900">
      <c r="A900" t="inlineStr">
        <is>
          <t>CLEARWAY ENERGY, INC.</t>
        </is>
      </c>
      <c r="B900" t="inlineStr">
        <is>
          <t>CWEN</t>
        </is>
      </c>
      <c r="C900" t="inlineStr">
        <is>
          <t>CLEARWAY ENERGY, INC.</t>
        </is>
      </c>
      <c r="D900" t="n">
        <v>4911</v>
      </c>
    </row>
    <row r="901">
      <c r="A901" t="inlineStr">
        <is>
          <t>CLENE INC.</t>
        </is>
      </c>
      <c r="B901" t="inlineStr">
        <is>
          <t>CLNN</t>
        </is>
      </c>
      <c r="C901" t="inlineStr">
        <is>
          <t>CLENE INC.</t>
        </is>
      </c>
      <c r="D901" t="n">
        <v>2834</v>
      </c>
    </row>
    <row r="902">
      <c r="A902" t="inlineStr">
        <is>
          <t>CLEVELAND-CLIFFS INC.</t>
        </is>
      </c>
      <c r="B902" t="inlineStr">
        <is>
          <t>CLF</t>
        </is>
      </c>
      <c r="C902" t="inlineStr">
        <is>
          <t>CLEVELAND-CLIFFS INC.</t>
        </is>
      </c>
      <c r="D902" t="n">
        <v>1000</v>
      </c>
    </row>
    <row r="903">
      <c r="A903" t="inlineStr">
        <is>
          <t>CLEVER LEAVES HOLDINGS INC.</t>
        </is>
      </c>
      <c r="B903" t="inlineStr">
        <is>
          <t>CLVR</t>
        </is>
      </c>
      <c r="C903" t="inlineStr">
        <is>
          <t>CLEVER LEAVES HOLDINGS INC.</t>
        </is>
      </c>
      <c r="D903" t="n">
        <v>2834</v>
      </c>
    </row>
    <row r="904">
      <c r="A904" t="inlineStr">
        <is>
          <t>CLIPPER REALTY INC.</t>
        </is>
      </c>
      <c r="B904" t="inlineStr">
        <is>
          <t>CLPR</t>
        </is>
      </c>
      <c r="C904" t="inlineStr">
        <is>
          <t>CLIPPER REALTY INC.</t>
        </is>
      </c>
      <c r="D904" t="n">
        <v>6798</v>
      </c>
    </row>
    <row r="905">
      <c r="A905" t="inlineStr">
        <is>
          <t>CLOROX CO /DE/</t>
        </is>
      </c>
      <c r="B905" t="inlineStr">
        <is>
          <t>CLX</t>
        </is>
      </c>
      <c r="C905" t="inlineStr">
        <is>
          <t>CLOROX CO /DE/</t>
        </is>
      </c>
      <c r="D905" t="n">
        <v>2842</v>
      </c>
    </row>
    <row r="906">
      <c r="A906" t="inlineStr">
        <is>
          <t>CLOUDFLARE, INC.</t>
        </is>
      </c>
      <c r="B906" t="inlineStr">
        <is>
          <t>NET</t>
        </is>
      </c>
      <c r="C906" t="inlineStr">
        <is>
          <t>CLOUDFLARE, INC.</t>
        </is>
      </c>
      <c r="D906" t="n">
        <v>7372</v>
      </c>
    </row>
    <row r="907">
      <c r="A907" t="inlineStr">
        <is>
          <t>CLOVER HEALTH INVESTMENTS, CORP. /DE</t>
        </is>
      </c>
      <c r="B907" t="inlineStr">
        <is>
          <t>CLOV</t>
        </is>
      </c>
      <c r="C907" t="inlineStr">
        <is>
          <t>CLOVER HEALTH INVESTMENTS, CORP. /DE</t>
        </is>
      </c>
      <c r="D907" t="n">
        <v>6324</v>
      </c>
    </row>
    <row r="908">
      <c r="A908" t="inlineStr">
        <is>
          <t>CLOVIS ONCOLOGY, INC.</t>
        </is>
      </c>
      <c r="B908" t="inlineStr">
        <is>
          <t>CLVS</t>
        </is>
      </c>
      <c r="C908" t="inlineStr">
        <is>
          <t>CLOVIS ONCOLOGY, INC.</t>
        </is>
      </c>
      <c r="D908" t="n">
        <v>2834</v>
      </c>
    </row>
    <row r="909">
      <c r="A909" t="inlineStr">
        <is>
          <t>CLPS INC</t>
        </is>
      </c>
      <c r="B909" t="inlineStr">
        <is>
          <t>CLPS</t>
        </is>
      </c>
      <c r="C909" t="inlineStr">
        <is>
          <t>CLPS INC</t>
        </is>
      </c>
      <c r="D909" t="n">
        <v>7372</v>
      </c>
    </row>
    <row r="910">
      <c r="A910" t="inlineStr">
        <is>
          <t>CLS HOLDINGS USA, INC.</t>
        </is>
      </c>
      <c r="B910" t="inlineStr">
        <is>
          <t>CLSH</t>
        </is>
      </c>
      <c r="C910" t="inlineStr">
        <is>
          <t>CLS HOLDINGS USA, INC.</t>
        </is>
      </c>
      <c r="D910" t="n">
        <v>5900</v>
      </c>
    </row>
    <row r="911">
      <c r="A911" t="inlineStr">
        <is>
          <t>CMC MATERIALS, INC.</t>
        </is>
      </c>
      <c r="B911" t="inlineStr">
        <is>
          <t>CCMP</t>
        </is>
      </c>
      <c r="C911" t="inlineStr">
        <is>
          <t>CMC MATERIALS, INC.</t>
        </is>
      </c>
      <c r="D911" t="n">
        <v>3674</v>
      </c>
    </row>
    <row r="912">
      <c r="A912" t="inlineStr">
        <is>
          <t>CME GROUP INC.</t>
        </is>
      </c>
      <c r="B912" t="inlineStr">
        <is>
          <t>CME</t>
        </is>
      </c>
      <c r="C912" t="inlineStr">
        <is>
          <t>CME GROUP INC.</t>
        </is>
      </c>
      <c r="D912" t="n">
        <v>6200</v>
      </c>
    </row>
    <row r="913">
      <c r="A913" t="inlineStr">
        <is>
          <t>CMS ENERGY CORP</t>
        </is>
      </c>
      <c r="B913" t="inlineStr">
        <is>
          <t>CMS</t>
        </is>
      </c>
      <c r="C913" t="inlineStr">
        <is>
          <t>CMS ENERGY CORP</t>
        </is>
      </c>
      <c r="D913" t="n">
        <v>4931</v>
      </c>
    </row>
    <row r="914">
      <c r="A914" t="inlineStr">
        <is>
          <t>CN ENERGY GROUP. INC.</t>
        </is>
      </c>
      <c r="B914" t="inlineStr">
        <is>
          <t>CNEY</t>
        </is>
      </c>
      <c r="C914" t="inlineStr">
        <is>
          <t>CN ENERGY GROUP. INC.</t>
        </is>
      </c>
      <c r="D914" t="n">
        <v>2860</v>
      </c>
    </row>
    <row r="915">
      <c r="A915" t="inlineStr">
        <is>
          <t>CNA FINANCIAL CORP</t>
        </is>
      </c>
      <c r="B915" t="inlineStr">
        <is>
          <t>CNA</t>
        </is>
      </c>
      <c r="C915" t="inlineStr">
        <is>
          <t>CNA FINANCIAL CORP</t>
        </is>
      </c>
      <c r="D915" t="n">
        <v>6331</v>
      </c>
    </row>
    <row r="916">
      <c r="A916" t="inlineStr">
        <is>
          <t>CNB FINANCIAL CORP/PA</t>
        </is>
      </c>
      <c r="B916" t="inlineStr">
        <is>
          <t>CCNE</t>
        </is>
      </c>
      <c r="C916" t="inlineStr">
        <is>
          <t>CNB FINANCIAL CORP/PA</t>
        </is>
      </c>
      <c r="D916" t="n">
        <v>6022</v>
      </c>
    </row>
    <row r="917">
      <c r="A917" t="inlineStr">
        <is>
          <t>CNH INDUSTRIAL N.V.</t>
        </is>
      </c>
      <c r="B917" t="inlineStr">
        <is>
          <t>CNHI</t>
        </is>
      </c>
      <c r="C917" t="inlineStr">
        <is>
          <t>CNH INDUSTRIAL N.V.</t>
        </is>
      </c>
      <c r="D917" t="n">
        <v>3531</v>
      </c>
    </row>
    <row r="918">
      <c r="A918" t="inlineStr">
        <is>
          <t>CNO FINANCIAL GROUP, INC.</t>
        </is>
      </c>
      <c r="B918" t="inlineStr">
        <is>
          <t>CNO</t>
        </is>
      </c>
      <c r="C918" t="inlineStr">
        <is>
          <t>CNO FINANCIAL GROUP, INC.</t>
        </is>
      </c>
      <c r="D918" t="n">
        <v>6321</v>
      </c>
    </row>
    <row r="919">
      <c r="A919" t="inlineStr">
        <is>
          <t>CNX RESOURCES CORP</t>
        </is>
      </c>
      <c r="B919" t="inlineStr">
        <is>
          <t>CNX</t>
        </is>
      </c>
      <c r="C919" t="inlineStr">
        <is>
          <t>CNX RESOURCES CORP</t>
        </is>
      </c>
      <c r="D919" t="n">
        <v>1311</v>
      </c>
    </row>
    <row r="920">
      <c r="A920" t="inlineStr">
        <is>
          <t>CO-DIAGNOSTICS, INC.</t>
        </is>
      </c>
      <c r="B920" t="inlineStr">
        <is>
          <t>CODX</t>
        </is>
      </c>
      <c r="C920" t="inlineStr">
        <is>
          <t>CO-DIAGNOSTICS, INC.</t>
        </is>
      </c>
      <c r="D920" t="n">
        <v>3841</v>
      </c>
    </row>
    <row r="921">
      <c r="A921" t="inlineStr">
        <is>
          <t>COASTAL FINANCIAL CORP</t>
        </is>
      </c>
      <c r="B921" t="inlineStr">
        <is>
          <t>CCB</t>
        </is>
      </c>
      <c r="C921" t="inlineStr">
        <is>
          <t>COASTAL FINANCIAL CORP</t>
        </is>
      </c>
      <c r="D921" t="n">
        <v>6022</v>
      </c>
    </row>
    <row r="922">
      <c r="A922" t="inlineStr">
        <is>
          <t>COCA COLA CO</t>
        </is>
      </c>
      <c r="B922" t="inlineStr">
        <is>
          <t>KO</t>
        </is>
      </c>
      <c r="C922" t="inlineStr">
        <is>
          <t>COCA COLA CO</t>
        </is>
      </c>
      <c r="D922" t="n">
        <v>2080</v>
      </c>
    </row>
    <row r="923">
      <c r="A923" t="inlineStr">
        <is>
          <t>COCA-COLA CONSOLIDATED, INC.</t>
        </is>
      </c>
      <c r="B923" t="inlineStr">
        <is>
          <t>COKE</t>
        </is>
      </c>
      <c r="C923" t="inlineStr">
        <is>
          <t>COCA-COLA CONSOLIDATED, INC.</t>
        </is>
      </c>
      <c r="D923" t="n">
        <v>2086</v>
      </c>
    </row>
    <row r="924">
      <c r="A924" t="inlineStr">
        <is>
          <t>COCRYSTAL PHARMA, INC.</t>
        </is>
      </c>
      <c r="B924" t="inlineStr">
        <is>
          <t>COCP</t>
        </is>
      </c>
      <c r="C924" t="inlineStr">
        <is>
          <t>COCRYSTAL PHARMA, INC.</t>
        </is>
      </c>
      <c r="D924" t="n">
        <v>2834</v>
      </c>
    </row>
    <row r="925">
      <c r="A925" t="inlineStr">
        <is>
          <t>CODA OCTOPUS GROUP, INC.</t>
        </is>
      </c>
      <c r="B925" t="inlineStr">
        <is>
          <t>CODA</t>
        </is>
      </c>
      <c r="C925" t="inlineStr">
        <is>
          <t>CODA OCTOPUS GROUP, INC.</t>
        </is>
      </c>
      <c r="D925" t="n">
        <v>3812</v>
      </c>
    </row>
    <row r="926">
      <c r="A926" t="inlineStr">
        <is>
          <t>CODE CHAIN NEW CONTINENT LTD</t>
        </is>
      </c>
      <c r="B926" t="inlineStr">
        <is>
          <t>CCNC</t>
        </is>
      </c>
      <c r="C926" t="inlineStr">
        <is>
          <t>CODE CHAIN NEW CONTINENT LTD</t>
        </is>
      </c>
      <c r="D926" t="n">
        <v>5050</v>
      </c>
    </row>
    <row r="927">
      <c r="A927" t="inlineStr">
        <is>
          <t>CODEX DNA, INC.</t>
        </is>
      </c>
      <c r="B927" t="inlineStr">
        <is>
          <t>DNAY</t>
        </is>
      </c>
      <c r="C927" t="inlineStr">
        <is>
          <t>CODEX DNA, INC.</t>
        </is>
      </c>
      <c r="D927" t="n">
        <v>3826</v>
      </c>
    </row>
    <row r="928">
      <c r="A928" t="inlineStr">
        <is>
          <t>CODEXIS, INC.</t>
        </is>
      </c>
      <c r="B928" t="inlineStr">
        <is>
          <t>CDXS</t>
        </is>
      </c>
      <c r="C928" t="inlineStr">
        <is>
          <t>CODEXIS, INC.</t>
        </is>
      </c>
      <c r="D928" t="n">
        <v>2860</v>
      </c>
    </row>
    <row r="929">
      <c r="A929" t="inlineStr">
        <is>
          <t>CODIAK BIOSCIENCES, INC.</t>
        </is>
      </c>
      <c r="B929" t="inlineStr">
        <is>
          <t>CDAK</t>
        </is>
      </c>
      <c r="C929" t="inlineStr">
        <is>
          <t>CODIAK BIOSCIENCES, INC.</t>
        </is>
      </c>
      <c r="D929" t="n">
        <v>2836</v>
      </c>
    </row>
    <row r="930">
      <c r="A930" t="inlineStr">
        <is>
          <t>CODORUS VALLEY BANCORP INC</t>
        </is>
      </c>
      <c r="B930" t="inlineStr">
        <is>
          <t>CVLY</t>
        </is>
      </c>
      <c r="C930" t="inlineStr">
        <is>
          <t>CODORUS VALLEY BANCORP INC</t>
        </is>
      </c>
      <c r="D930" t="n">
        <v>6035</v>
      </c>
    </row>
    <row r="931">
      <c r="A931" t="inlineStr">
        <is>
          <t>COEUR MINING, INC.</t>
        </is>
      </c>
      <c r="B931" t="inlineStr">
        <is>
          <t>CDE</t>
        </is>
      </c>
      <c r="C931" t="inlineStr">
        <is>
          <t>COEUR MINING, INC.</t>
        </is>
      </c>
      <c r="D931" t="n">
        <v>1040</v>
      </c>
    </row>
    <row r="932">
      <c r="A932" t="inlineStr">
        <is>
          <t>COFFEE HOLDING CO INC</t>
        </is>
      </c>
      <c r="B932" t="inlineStr">
        <is>
          <t>JVA</t>
        </is>
      </c>
      <c r="C932" t="inlineStr">
        <is>
          <t>COFFEE HOLDING CO INC</t>
        </is>
      </c>
      <c r="D932" t="n">
        <v>2090</v>
      </c>
    </row>
    <row r="933">
      <c r="A933" t="inlineStr">
        <is>
          <t>COGENT BIOSCIENCES, INC.</t>
        </is>
      </c>
      <c r="B933" t="inlineStr">
        <is>
          <t>COGT</t>
        </is>
      </c>
      <c r="C933" t="inlineStr">
        <is>
          <t>COGENT BIOSCIENCES, INC.</t>
        </is>
      </c>
      <c r="D933" t="n">
        <v>2834</v>
      </c>
    </row>
    <row r="934">
      <c r="A934" t="inlineStr">
        <is>
          <t>COGENT COMMUNICATIONS HOLDINGS, INC.</t>
        </is>
      </c>
      <c r="B934" t="inlineStr">
        <is>
          <t>CCOI</t>
        </is>
      </c>
      <c r="C934" t="inlineStr">
        <is>
          <t>COGENT COMMUNICATIONS HOLDINGS, INC.</t>
        </is>
      </c>
      <c r="D934" t="n">
        <v>4899</v>
      </c>
    </row>
    <row r="935">
      <c r="A935" t="inlineStr">
        <is>
          <t>COGNEX CORP</t>
        </is>
      </c>
      <c r="B935" t="inlineStr">
        <is>
          <t>CGNX</t>
        </is>
      </c>
      <c r="C935" t="inlineStr">
        <is>
          <t>COGNEX CORP</t>
        </is>
      </c>
      <c r="D935" t="n">
        <v>3823</v>
      </c>
    </row>
    <row r="936">
      <c r="A936" t="inlineStr">
        <is>
          <t>COGNIZANT TECHNOLOGY SOLUTIONS CORP</t>
        </is>
      </c>
      <c r="B936" t="inlineStr">
        <is>
          <t>CTSH</t>
        </is>
      </c>
      <c r="C936" t="inlineStr">
        <is>
          <t>COGNIZANT TECHNOLOGY SOLUTIONS CORP</t>
        </is>
      </c>
      <c r="D936" t="n">
        <v>7371</v>
      </c>
    </row>
    <row r="937">
      <c r="A937" t="inlineStr">
        <is>
          <t>COGNYTE SOFTWARE LTD.</t>
        </is>
      </c>
      <c r="B937" t="inlineStr">
        <is>
          <t>CGNT</t>
        </is>
      </c>
      <c r="C937" t="inlineStr">
        <is>
          <t>COGNYTE SOFTWARE LTD.</t>
        </is>
      </c>
      <c r="D937" t="n">
        <v>7372</v>
      </c>
    </row>
    <row r="938">
      <c r="A938" t="inlineStr">
        <is>
          <t>COHBAR, INC.</t>
        </is>
      </c>
      <c r="B938" t="inlineStr">
        <is>
          <t>CWBR</t>
        </is>
      </c>
      <c r="C938" t="inlineStr">
        <is>
          <t>COHBAR, INC.</t>
        </is>
      </c>
      <c r="D938" t="n">
        <v>2834</v>
      </c>
    </row>
    <row r="939">
      <c r="A939" t="inlineStr">
        <is>
          <t>COHEN &amp; CO INC.</t>
        </is>
      </c>
      <c r="B939" t="inlineStr">
        <is>
          <t>COHN</t>
        </is>
      </c>
      <c r="C939" t="inlineStr">
        <is>
          <t>COHEN &amp; CO INC.</t>
        </is>
      </c>
      <c r="D939" t="n">
        <v>6211</v>
      </c>
    </row>
    <row r="940">
      <c r="A940" t="inlineStr">
        <is>
          <t>COHEN &amp; STEERS, INC.</t>
        </is>
      </c>
      <c r="B940" t="inlineStr">
        <is>
          <t>CNS</t>
        </is>
      </c>
      <c r="C940" t="inlineStr">
        <is>
          <t>COHEN &amp; STEERS, INC.</t>
        </is>
      </c>
      <c r="D940" t="n">
        <v>6282</v>
      </c>
    </row>
    <row r="941">
      <c r="A941" t="inlineStr">
        <is>
          <t>COHERUS BIOSCIENCES, INC.</t>
        </is>
      </c>
      <c r="B941" t="inlineStr">
        <is>
          <t>CHRS</t>
        </is>
      </c>
      <c r="C941" t="inlineStr">
        <is>
          <t>COHERUS BIOSCIENCES, INC.</t>
        </is>
      </c>
      <c r="D941" t="n">
        <v>2836</v>
      </c>
    </row>
    <row r="942">
      <c r="A942" t="inlineStr">
        <is>
          <t>COHU INC</t>
        </is>
      </c>
      <c r="B942" t="inlineStr">
        <is>
          <t>COHU</t>
        </is>
      </c>
      <c r="C942" t="inlineStr">
        <is>
          <t>COHU INC</t>
        </is>
      </c>
      <c r="D942" t="n">
        <v>3825</v>
      </c>
    </row>
    <row r="943">
      <c r="A943" t="inlineStr">
        <is>
          <t>COINBASE GLOBAL, INC.</t>
        </is>
      </c>
      <c r="B943" t="inlineStr">
        <is>
          <t>COIN</t>
        </is>
      </c>
      <c r="C943" t="inlineStr">
        <is>
          <t>COINBASE GLOBAL, INC.</t>
        </is>
      </c>
      <c r="D943" t="n">
        <v>6199</v>
      </c>
    </row>
    <row r="944">
      <c r="A944" t="inlineStr">
        <is>
          <t>COLGATE PALMOLIVE CO</t>
        </is>
      </c>
      <c r="B944" t="inlineStr">
        <is>
          <t>CL</t>
        </is>
      </c>
      <c r="C944" t="inlineStr">
        <is>
          <t>COLGATE PALMOLIVE CO</t>
        </is>
      </c>
      <c r="D944" t="n">
        <v>2844</v>
      </c>
    </row>
    <row r="945">
      <c r="A945" t="inlineStr">
        <is>
          <t>COLLEGIUM PHARMACEUTICAL, INC</t>
        </is>
      </c>
      <c r="B945" t="inlineStr">
        <is>
          <t>COLL</t>
        </is>
      </c>
      <c r="C945" t="inlineStr">
        <is>
          <t>COLLEGIUM PHARMACEUTICAL, INC</t>
        </is>
      </c>
      <c r="D945" t="n">
        <v>2834</v>
      </c>
    </row>
    <row r="946">
      <c r="A946" t="inlineStr">
        <is>
          <t>COLLIERS INTERNATIONAL GROUP INC.</t>
        </is>
      </c>
      <c r="B946" t="inlineStr">
        <is>
          <t>CIGI</t>
        </is>
      </c>
      <c r="C946" t="inlineStr">
        <is>
          <t>COLLIERS INTERNATIONAL GROUP INC.</t>
        </is>
      </c>
      <c r="D946" t="n">
        <v>6500</v>
      </c>
    </row>
    <row r="947">
      <c r="A947" t="inlineStr">
        <is>
          <t>COLLPLANT BIOTECHNOLOGIES LTD</t>
        </is>
      </c>
      <c r="B947" t="inlineStr">
        <is>
          <t>CLGN</t>
        </is>
      </c>
      <c r="C947" t="inlineStr">
        <is>
          <t>COLLPLANT BIOTECHNOLOGIES LTD</t>
        </is>
      </c>
      <c r="D947" t="n">
        <v>3842</v>
      </c>
    </row>
    <row r="948">
      <c r="A948" t="inlineStr">
        <is>
          <t>COLONY BANKCORP INC</t>
        </is>
      </c>
      <c r="B948" t="inlineStr">
        <is>
          <t>CBAN</t>
        </is>
      </c>
      <c r="C948" t="inlineStr">
        <is>
          <t>COLONY BANKCORP INC</t>
        </is>
      </c>
      <c r="D948" t="n">
        <v>6022</v>
      </c>
    </row>
    <row r="949">
      <c r="A949" t="inlineStr">
        <is>
          <t>COLUMBIA BANKING SYSTEM, INC.</t>
        </is>
      </c>
      <c r="B949" t="inlineStr">
        <is>
          <t>COLB</t>
        </is>
      </c>
      <c r="C949" t="inlineStr">
        <is>
          <t>COLUMBIA BANKING SYSTEM, INC.</t>
        </is>
      </c>
      <c r="D949" t="n">
        <v>6022</v>
      </c>
    </row>
    <row r="950">
      <c r="A950" t="inlineStr">
        <is>
          <t>COLUMBIA FINANCIAL, INC.</t>
        </is>
      </c>
      <c r="B950" t="inlineStr">
        <is>
          <t>CLBK</t>
        </is>
      </c>
      <c r="C950" t="inlineStr">
        <is>
          <t>COLUMBIA FINANCIAL, INC.</t>
        </is>
      </c>
      <c r="D950" t="n">
        <v>6035</v>
      </c>
    </row>
    <row r="951">
      <c r="A951" t="inlineStr">
        <is>
          <t>COLUMBIA SPORTSWEAR CO</t>
        </is>
      </c>
      <c r="B951" t="inlineStr">
        <is>
          <t>COLM</t>
        </is>
      </c>
      <c r="C951" t="inlineStr">
        <is>
          <t>COLUMBIA SPORTSWEAR CO</t>
        </is>
      </c>
      <c r="D951" t="n">
        <v>2300</v>
      </c>
    </row>
    <row r="952">
      <c r="A952" t="inlineStr">
        <is>
          <t>COLUMBUS MCKINNON CORP</t>
        </is>
      </c>
      <c r="B952" t="inlineStr">
        <is>
          <t>CMCO</t>
        </is>
      </c>
      <c r="C952" t="inlineStr">
        <is>
          <t>COLUMBUS MCKINNON CORP</t>
        </is>
      </c>
      <c r="D952" t="n">
        <v>3531</v>
      </c>
    </row>
    <row r="953">
      <c r="A953" t="inlineStr">
        <is>
          <t>COMCAST CORP</t>
        </is>
      </c>
      <c r="B953" t="inlineStr">
        <is>
          <t>CMCSA</t>
        </is>
      </c>
      <c r="C953" t="inlineStr">
        <is>
          <t>COMCAST CORP</t>
        </is>
      </c>
      <c r="D953" t="n">
        <v>4841</v>
      </c>
    </row>
    <row r="954">
      <c r="A954" t="inlineStr">
        <is>
          <t>COMERICA INC /NEW/</t>
        </is>
      </c>
      <c r="B954" t="inlineStr">
        <is>
          <t>CMA</t>
        </is>
      </c>
      <c r="C954" t="inlineStr">
        <is>
          <t>COMERICA INC /NEW/</t>
        </is>
      </c>
      <c r="D954" t="n">
        <v>6021</v>
      </c>
    </row>
    <row r="955">
      <c r="A955" t="inlineStr">
        <is>
          <t>COMFORT SYSTEMS USA INC</t>
        </is>
      </c>
      <c r="B955" t="inlineStr">
        <is>
          <t>FIX</t>
        </is>
      </c>
      <c r="C955" t="inlineStr">
        <is>
          <t>COMFORT SYSTEMS USA INC</t>
        </is>
      </c>
      <c r="D955" t="n">
        <v>1731</v>
      </c>
    </row>
    <row r="956">
      <c r="A956" t="inlineStr">
        <is>
          <t>COMMERCE BANCSHARES INC /MO/</t>
        </is>
      </c>
      <c r="B956" t="inlineStr">
        <is>
          <t>CBSH</t>
        </is>
      </c>
      <c r="C956" t="inlineStr">
        <is>
          <t>COMMERCE BANCSHARES INC /MO/</t>
        </is>
      </c>
      <c r="D956" t="n">
        <v>6022</v>
      </c>
    </row>
    <row r="957">
      <c r="A957" t="inlineStr">
        <is>
          <t>COMMERCIAL METALS CO</t>
        </is>
      </c>
      <c r="B957" t="inlineStr">
        <is>
          <t>CMC</t>
        </is>
      </c>
      <c r="C957" t="inlineStr">
        <is>
          <t>COMMERCIAL METALS CO</t>
        </is>
      </c>
      <c r="D957" t="n">
        <v>3312</v>
      </c>
    </row>
    <row r="958">
      <c r="A958" t="inlineStr">
        <is>
          <t>COMMERCIAL VEHICLE GROUP, INC.</t>
        </is>
      </c>
      <c r="B958" t="inlineStr">
        <is>
          <t>CVGI</t>
        </is>
      </c>
      <c r="C958" t="inlineStr">
        <is>
          <t>COMMERCIAL VEHICLE GROUP, INC.</t>
        </is>
      </c>
      <c r="D958" t="n">
        <v>3714</v>
      </c>
    </row>
    <row r="959">
      <c r="A959" t="inlineStr">
        <is>
          <t>COMMSCOPE HOLDING COMPANY, INC.</t>
        </is>
      </c>
      <c r="B959" t="inlineStr">
        <is>
          <t>COMM</t>
        </is>
      </c>
      <c r="C959" t="inlineStr">
        <is>
          <t>COMMSCOPE HOLDING COMPANY, INC.</t>
        </is>
      </c>
      <c r="D959" t="n">
        <v>3663</v>
      </c>
    </row>
    <row r="960">
      <c r="A960" t="inlineStr">
        <is>
          <t>COMMUNITY BANCORP /VT</t>
        </is>
      </c>
      <c r="B960" t="inlineStr">
        <is>
          <t>CMTV</t>
        </is>
      </c>
      <c r="C960" t="inlineStr">
        <is>
          <t>COMMUNITY BANCORP /VT</t>
        </is>
      </c>
      <c r="D960" t="n">
        <v>6021</v>
      </c>
    </row>
    <row r="961">
      <c r="A961" t="inlineStr">
        <is>
          <t>COMMUNITY BANK SYSTEM, INC.</t>
        </is>
      </c>
      <c r="B961" t="inlineStr">
        <is>
          <t>CBU</t>
        </is>
      </c>
      <c r="C961" t="inlineStr">
        <is>
          <t>COMMUNITY BANK SYSTEM, INC.</t>
        </is>
      </c>
      <c r="D961" t="n">
        <v>6021</v>
      </c>
    </row>
    <row r="962">
      <c r="A962" t="inlineStr">
        <is>
          <t>COMMUNITY FINANCIAL CORP /MD/</t>
        </is>
      </c>
      <c r="B962" t="inlineStr">
        <is>
          <t>TCFC</t>
        </is>
      </c>
      <c r="C962" t="inlineStr">
        <is>
          <t>COMMUNITY FINANCIAL CORP /MD/</t>
        </is>
      </c>
      <c r="D962" t="n">
        <v>6022</v>
      </c>
    </row>
    <row r="963">
      <c r="A963" t="inlineStr">
        <is>
          <t>COMMUNITY HEALTH SYSTEMS INC</t>
        </is>
      </c>
      <c r="B963" t="inlineStr">
        <is>
          <t>CYH</t>
        </is>
      </c>
      <c r="C963" t="inlineStr">
        <is>
          <t>COMMUNITY HEALTH SYSTEMS INC</t>
        </is>
      </c>
      <c r="D963" t="n">
        <v>8062</v>
      </c>
    </row>
    <row r="964">
      <c r="A964" t="inlineStr">
        <is>
          <t>COMMUNITY HEALTHCARE TRUST INC</t>
        </is>
      </c>
      <c r="B964" t="inlineStr">
        <is>
          <t>CHCT</t>
        </is>
      </c>
      <c r="C964" t="inlineStr">
        <is>
          <t>COMMUNITY HEALTHCARE TRUST INC</t>
        </is>
      </c>
      <c r="D964" t="n">
        <v>6798</v>
      </c>
    </row>
    <row r="965">
      <c r="A965" t="inlineStr">
        <is>
          <t>COMMUNITY TRUST BANCORP INC /KY/</t>
        </is>
      </c>
      <c r="B965" t="inlineStr">
        <is>
          <t>CTBI</t>
        </is>
      </c>
      <c r="C965" t="inlineStr">
        <is>
          <t>COMMUNITY TRUST BANCORP INC /KY/</t>
        </is>
      </c>
      <c r="D965" t="n">
        <v>6022</v>
      </c>
    </row>
    <row r="966">
      <c r="A966" t="inlineStr">
        <is>
          <t>COMMUNITY WEST BANCSHARES /</t>
        </is>
      </c>
      <c r="B966" t="inlineStr">
        <is>
          <t>CWBC</t>
        </is>
      </c>
      <c r="C966" t="inlineStr">
        <is>
          <t>COMMUNITY WEST BANCSHARES /</t>
        </is>
      </c>
      <c r="D966" t="n">
        <v>6022</v>
      </c>
    </row>
    <row r="967">
      <c r="A967" t="inlineStr">
        <is>
          <t>COMMVAULT SYSTEMS INC</t>
        </is>
      </c>
      <c r="B967" t="inlineStr">
        <is>
          <t>CVLT</t>
        </is>
      </c>
      <c r="C967" t="inlineStr">
        <is>
          <t>COMMVAULT SYSTEMS INC</t>
        </is>
      </c>
      <c r="D967" t="n">
        <v>7372</v>
      </c>
    </row>
    <row r="968">
      <c r="A968" t="inlineStr">
        <is>
          <t>COMPASS DIVERSIFIED HOLDINGS</t>
        </is>
      </c>
      <c r="B968" t="inlineStr">
        <is>
          <t>CODI</t>
        </is>
      </c>
      <c r="C968" t="inlineStr">
        <is>
          <t>COMPASS DIVERSIFIED HOLDINGS</t>
        </is>
      </c>
      <c r="D968" t="n">
        <v>2510</v>
      </c>
    </row>
    <row r="969">
      <c r="A969" t="inlineStr">
        <is>
          <t>COMPASS MINERALS INTERNATIONAL INC</t>
        </is>
      </c>
      <c r="B969" t="inlineStr">
        <is>
          <t>CMP</t>
        </is>
      </c>
      <c r="C969" t="inlineStr">
        <is>
          <t>COMPASS MINERALS INTERNATIONAL INC</t>
        </is>
      </c>
      <c r="D969" t="n">
        <v>1400</v>
      </c>
    </row>
    <row r="970">
      <c r="A970" t="inlineStr">
        <is>
          <t>COMPASS, INC.</t>
        </is>
      </c>
      <c r="B970" t="inlineStr">
        <is>
          <t>COMP</t>
        </is>
      </c>
      <c r="C970" t="inlineStr">
        <is>
          <t>COMPASS, INC.</t>
        </is>
      </c>
      <c r="D970" t="n">
        <v>7371</v>
      </c>
    </row>
    <row r="971">
      <c r="A971" t="inlineStr">
        <is>
          <t>COMPOSECURE, INC.</t>
        </is>
      </c>
      <c r="B971" t="inlineStr">
        <is>
          <t>CMPO</t>
        </is>
      </c>
      <c r="C971" t="inlineStr">
        <is>
          <t>COMPOSECURE, INC.</t>
        </is>
      </c>
      <c r="D971" t="n">
        <v>6199</v>
      </c>
    </row>
    <row r="972">
      <c r="A972" t="inlineStr">
        <is>
          <t>COMPUGEN LTD</t>
        </is>
      </c>
      <c r="B972" t="inlineStr">
        <is>
          <t>CGEN</t>
        </is>
      </c>
      <c r="C972" t="inlineStr">
        <is>
          <t>COMPUGEN LTD</t>
        </is>
      </c>
      <c r="D972" t="n">
        <v>2836</v>
      </c>
    </row>
    <row r="973">
      <c r="A973" t="inlineStr">
        <is>
          <t>COMPUTER PROGRAMS &amp; SYSTEMS INC</t>
        </is>
      </c>
      <c r="B973" t="inlineStr">
        <is>
          <t>CPSI</t>
        </is>
      </c>
      <c r="C973" t="inlineStr">
        <is>
          <t>COMPUTER PROGRAMS &amp; SYSTEMS INC</t>
        </is>
      </c>
      <c r="D973" t="n">
        <v>7371</v>
      </c>
    </row>
    <row r="974">
      <c r="A974" t="inlineStr">
        <is>
          <t>COMPUTER TASK GROUP INC</t>
        </is>
      </c>
      <c r="B974" t="inlineStr">
        <is>
          <t>CTG</t>
        </is>
      </c>
      <c r="C974" t="inlineStr">
        <is>
          <t>COMPUTER TASK GROUP INC</t>
        </is>
      </c>
      <c r="D974" t="n">
        <v>7371</v>
      </c>
    </row>
    <row r="975">
      <c r="A975" t="inlineStr">
        <is>
          <t>COMPX INTERNATIONAL INC</t>
        </is>
      </c>
      <c r="B975" t="inlineStr">
        <is>
          <t>CIX</t>
        </is>
      </c>
      <c r="C975" t="inlineStr">
        <is>
          <t>COMPX INTERNATIONAL INC</t>
        </is>
      </c>
      <c r="D975" t="n">
        <v>3420</v>
      </c>
    </row>
    <row r="976">
      <c r="A976" t="inlineStr">
        <is>
          <t>COMSCORE, INC.</t>
        </is>
      </c>
      <c r="B976" t="inlineStr">
        <is>
          <t>SCOR</t>
        </is>
      </c>
      <c r="C976" t="inlineStr">
        <is>
          <t>COMSCORE, INC.</t>
        </is>
      </c>
      <c r="D976" t="n">
        <v>7389</v>
      </c>
    </row>
    <row r="977">
      <c r="A977" t="inlineStr">
        <is>
          <t>COMSOVEREIGN HOLDING CORP.</t>
        </is>
      </c>
      <c r="B977" t="inlineStr">
        <is>
          <t>COMS</t>
        </is>
      </c>
      <c r="C977" t="inlineStr">
        <is>
          <t>COMSOVEREIGN HOLDING CORP.</t>
        </is>
      </c>
      <c r="D977" t="n">
        <v>3669</v>
      </c>
    </row>
    <row r="978">
      <c r="A978" t="inlineStr">
        <is>
          <t>COMSTOCK HOLDING COMPANIES, INC.</t>
        </is>
      </c>
      <c r="B978" t="inlineStr">
        <is>
          <t>CHCI</t>
        </is>
      </c>
      <c r="C978" t="inlineStr">
        <is>
          <t>COMSTOCK HOLDING COMPANIES, INC.</t>
        </is>
      </c>
      <c r="D978" t="n">
        <v>6500</v>
      </c>
    </row>
    <row r="979">
      <c r="A979" t="inlineStr">
        <is>
          <t>COMSTOCK MINING INC.</t>
        </is>
      </c>
      <c r="B979" t="inlineStr">
        <is>
          <t>LODE</t>
        </is>
      </c>
      <c r="C979" t="inlineStr">
        <is>
          <t>COMSTOCK MINING INC.</t>
        </is>
      </c>
      <c r="D979" t="n">
        <v>1040</v>
      </c>
    </row>
    <row r="980">
      <c r="A980" t="inlineStr">
        <is>
          <t>COMSTOCK RESOURCES INC</t>
        </is>
      </c>
      <c r="B980" t="inlineStr">
        <is>
          <t>CRK</t>
        </is>
      </c>
      <c r="C980" t="inlineStr">
        <is>
          <t>COMSTOCK RESOURCES INC</t>
        </is>
      </c>
      <c r="D980" t="n">
        <v>1311</v>
      </c>
    </row>
    <row r="981">
      <c r="A981" t="inlineStr">
        <is>
          <t>COMTECH TELECOMMUNICATIONS CORP /DE/</t>
        </is>
      </c>
      <c r="B981" t="inlineStr">
        <is>
          <t>CMTL</t>
        </is>
      </c>
      <c r="C981" t="inlineStr">
        <is>
          <t>COMTECH TELECOMMUNICATIONS CORP /DE/</t>
        </is>
      </c>
      <c r="D981" t="n">
        <v>3663</v>
      </c>
    </row>
    <row r="982">
      <c r="A982" t="inlineStr">
        <is>
          <t>CONAGRA BRANDS INC.</t>
        </is>
      </c>
      <c r="B982" t="inlineStr">
        <is>
          <t>CAG</t>
        </is>
      </c>
      <c r="C982" t="inlineStr">
        <is>
          <t>CONAGRA BRANDS INC.</t>
        </is>
      </c>
      <c r="D982" t="n">
        <v>2000</v>
      </c>
    </row>
    <row r="983">
      <c r="A983" t="inlineStr">
        <is>
          <t>CONCENTRIX CORP</t>
        </is>
      </c>
      <c r="B983" t="inlineStr">
        <is>
          <t>CNXC</t>
        </is>
      </c>
      <c r="C983" t="inlineStr">
        <is>
          <t>CONCENTRIX CORP</t>
        </is>
      </c>
      <c r="D983" t="n">
        <v>7389</v>
      </c>
    </row>
    <row r="984">
      <c r="A984" t="inlineStr">
        <is>
          <t>CONCERT PHARMACEUTICALS, INC.</t>
        </is>
      </c>
      <c r="B984" t="inlineStr">
        <is>
          <t>CNCE</t>
        </is>
      </c>
      <c r="C984" t="inlineStr">
        <is>
          <t>CONCERT PHARMACEUTICALS, INC.</t>
        </is>
      </c>
      <c r="D984" t="n">
        <v>2834</v>
      </c>
    </row>
    <row r="985">
      <c r="A985" t="inlineStr">
        <is>
          <t>CONCORD MEDICAL SERVICES HOLDINGS LTD</t>
        </is>
      </c>
      <c r="B985" t="inlineStr">
        <is>
          <t>CCM</t>
        </is>
      </c>
      <c r="C985" t="inlineStr">
        <is>
          <t>CONCORD MEDICAL SERVICES HOLDINGS LTD</t>
        </is>
      </c>
      <c r="D985" t="n">
        <v>8011</v>
      </c>
    </row>
    <row r="986">
      <c r="A986" t="inlineStr">
        <is>
          <t>CONCRETE PUMPING HOLDINGS, INC.</t>
        </is>
      </c>
      <c r="B986" t="inlineStr">
        <is>
          <t>BBCP</t>
        </is>
      </c>
      <c r="C986" t="inlineStr">
        <is>
          <t>CONCRETE PUMPING HOLDINGS, INC.</t>
        </is>
      </c>
      <c r="D986" t="n">
        <v>1700</v>
      </c>
    </row>
    <row r="987">
      <c r="A987" t="inlineStr">
        <is>
          <t>CONDUENT INC</t>
        </is>
      </c>
      <c r="B987" t="inlineStr">
        <is>
          <t>CNDT</t>
        </is>
      </c>
      <c r="C987" t="inlineStr">
        <is>
          <t>CONDUENT INC</t>
        </is>
      </c>
      <c r="D987" t="n">
        <v>7389</v>
      </c>
    </row>
    <row r="988">
      <c r="A988" t="inlineStr">
        <is>
          <t>CONFLUENT, INC.</t>
        </is>
      </c>
      <c r="B988" t="inlineStr">
        <is>
          <t>CFLT</t>
        </is>
      </c>
      <c r="C988" t="inlineStr">
        <is>
          <t>CONFLUENT, INC.</t>
        </is>
      </c>
      <c r="D988" t="n">
        <v>7372</v>
      </c>
    </row>
    <row r="989">
      <c r="A989" t="inlineStr">
        <is>
          <t>CONFORMIS INC</t>
        </is>
      </c>
      <c r="B989" t="inlineStr">
        <is>
          <t>CFMS</t>
        </is>
      </c>
      <c r="C989" t="inlineStr">
        <is>
          <t>CONFORMIS INC</t>
        </is>
      </c>
      <c r="D989" t="n">
        <v>3842</v>
      </c>
    </row>
    <row r="990">
      <c r="A990" t="inlineStr">
        <is>
          <t>CONIFER HOLDINGS, INC.</t>
        </is>
      </c>
      <c r="B990" t="inlineStr">
        <is>
          <t>CNFR</t>
        </is>
      </c>
      <c r="C990" t="inlineStr">
        <is>
          <t>CONIFER HOLDINGS, INC.</t>
        </is>
      </c>
      <c r="D990" t="n">
        <v>6331</v>
      </c>
    </row>
    <row r="991">
      <c r="A991" t="inlineStr">
        <is>
          <t>CONMED CORP</t>
        </is>
      </c>
      <c r="B991" t="inlineStr">
        <is>
          <t>CNMD</t>
        </is>
      </c>
      <c r="C991" t="inlineStr">
        <is>
          <t>CONMED CORP</t>
        </is>
      </c>
      <c r="D991" t="n">
        <v>3845</v>
      </c>
    </row>
    <row r="992">
      <c r="A992" t="inlineStr">
        <is>
          <t>CONNECTONE BANCORP, INC.</t>
        </is>
      </c>
      <c r="B992" t="inlineStr">
        <is>
          <t>CNOB</t>
        </is>
      </c>
      <c r="C992" t="inlineStr">
        <is>
          <t>CONNECTONE BANCORP, INC.</t>
        </is>
      </c>
      <c r="D992" t="n">
        <v>6022</v>
      </c>
    </row>
    <row r="993">
      <c r="A993" t="inlineStr">
        <is>
          <t>CONNS INC</t>
        </is>
      </c>
      <c r="B993" t="inlineStr">
        <is>
          <t>CONN</t>
        </is>
      </c>
      <c r="C993" t="inlineStr">
        <is>
          <t>CONNS INC</t>
        </is>
      </c>
      <c r="D993" t="n">
        <v>5731</v>
      </c>
    </row>
    <row r="994">
      <c r="A994" t="inlineStr">
        <is>
          <t>CONOCOPHILLIPS</t>
        </is>
      </c>
      <c r="B994" t="inlineStr">
        <is>
          <t>COP</t>
        </is>
      </c>
      <c r="C994" t="inlineStr">
        <is>
          <t>CONOCOPHILLIPS</t>
        </is>
      </c>
      <c r="D994" t="n">
        <v>2911</v>
      </c>
    </row>
    <row r="995">
      <c r="A995" t="inlineStr">
        <is>
          <t>CONSENSUS CLOUD SOLUTIONS, INC.</t>
        </is>
      </c>
      <c r="B995" t="inlineStr">
        <is>
          <t>CCSI</t>
        </is>
      </c>
      <c r="C995" t="inlineStr">
        <is>
          <t>CONSENSUS CLOUD SOLUTIONS, INC.</t>
        </is>
      </c>
      <c r="D995" t="n">
        <v>7372</v>
      </c>
    </row>
    <row r="996">
      <c r="A996" t="inlineStr">
        <is>
          <t>CONSOL ENERGY INC.</t>
        </is>
      </c>
      <c r="B996" t="inlineStr">
        <is>
          <t>CEIX</t>
        </is>
      </c>
      <c r="C996" t="inlineStr">
        <is>
          <t>CONSOL ENERGY INC.</t>
        </is>
      </c>
      <c r="D996" t="n">
        <v>1220</v>
      </c>
    </row>
    <row r="997">
      <c r="A997" t="inlineStr">
        <is>
          <t>CONSOLIDATED COMMUNICATIONS HOLDINGS, INC.</t>
        </is>
      </c>
      <c r="B997" t="inlineStr">
        <is>
          <t>CNSL</t>
        </is>
      </c>
      <c r="C997" t="inlineStr">
        <is>
          <t>CONSOLIDATED COMMUNICATIONS HOLDINGS, INC.</t>
        </is>
      </c>
      <c r="D997" t="n">
        <v>4813</v>
      </c>
    </row>
    <row r="998">
      <c r="A998" t="inlineStr">
        <is>
          <t>CONSOLIDATED EDISON INC</t>
        </is>
      </c>
      <c r="B998" t="inlineStr">
        <is>
          <t>ED</t>
        </is>
      </c>
      <c r="C998" t="inlineStr">
        <is>
          <t>CONSOLIDATED EDISON INC</t>
        </is>
      </c>
      <c r="D998" t="n">
        <v>4931</v>
      </c>
    </row>
    <row r="999">
      <c r="A999" t="inlineStr">
        <is>
          <t>CONSOLIDATED WATER CO. LTD.</t>
        </is>
      </c>
      <c r="B999" t="inlineStr">
        <is>
          <t>CWCO</t>
        </is>
      </c>
      <c r="C999" t="inlineStr">
        <is>
          <t>CONSOLIDATED WATER CO. LTD.</t>
        </is>
      </c>
      <c r="D999" t="n">
        <v>4941</v>
      </c>
    </row>
    <row r="1000">
      <c r="A1000" t="inlineStr">
        <is>
          <t>CONSTELLATION BRANDS, INC.</t>
        </is>
      </c>
      <c r="B1000" t="inlineStr">
        <is>
          <t>STZ</t>
        </is>
      </c>
      <c r="C1000" t="inlineStr">
        <is>
          <t>CONSTELLATION BRANDS, INC.</t>
        </is>
      </c>
      <c r="D1000" t="n">
        <v>2080</v>
      </c>
    </row>
    <row r="1001">
      <c r="A1001" t="inlineStr">
        <is>
          <t>CONSTRUCTION PARTNERS, INC.</t>
        </is>
      </c>
      <c r="B1001" t="inlineStr">
        <is>
          <t>ROAD</t>
        </is>
      </c>
      <c r="C1001" t="inlineStr">
        <is>
          <t>CONSTRUCTION PARTNERS, INC.</t>
        </is>
      </c>
      <c r="D1001" t="n">
        <v>1600</v>
      </c>
    </row>
    <row r="1002">
      <c r="A1002" t="inlineStr">
        <is>
          <t>CONSUMER PORTFOLIO SERVICES, INC.</t>
        </is>
      </c>
      <c r="B1002" t="inlineStr">
        <is>
          <t>CPSS</t>
        </is>
      </c>
      <c r="C1002" t="inlineStr">
        <is>
          <t>CONSUMER PORTFOLIO SERVICES, INC.</t>
        </is>
      </c>
      <c r="D1002" t="n">
        <v>6199</v>
      </c>
    </row>
    <row r="1003">
      <c r="A1003" t="inlineStr">
        <is>
          <t>CONSUMERS BANCORP INC /OH/</t>
        </is>
      </c>
      <c r="B1003" t="inlineStr">
        <is>
          <t>CBKM</t>
        </is>
      </c>
      <c r="C1003" t="inlineStr">
        <is>
          <t>CONSUMERS BANCORP INC /OH/</t>
        </is>
      </c>
      <c r="D1003" t="n">
        <v>6021</v>
      </c>
    </row>
    <row r="1004">
      <c r="A1004" t="inlineStr">
        <is>
          <t>CONTAINER STORE GROUP, INC.</t>
        </is>
      </c>
      <c r="B1004" t="inlineStr">
        <is>
          <t>TCS</t>
        </is>
      </c>
      <c r="C1004" t="inlineStr">
        <is>
          <t>CONTAINER STORE GROUP, INC.</t>
        </is>
      </c>
      <c r="D1004" t="n">
        <v>5700</v>
      </c>
    </row>
    <row r="1005">
      <c r="A1005" t="inlineStr">
        <is>
          <t>CONTEXTLOGIC INC.</t>
        </is>
      </c>
      <c r="B1005" t="inlineStr">
        <is>
          <t>WISH</t>
        </is>
      </c>
      <c r="C1005" t="inlineStr">
        <is>
          <t>CONTEXTLOGIC INC.</t>
        </is>
      </c>
      <c r="D1005" t="n">
        <v>5961</v>
      </c>
    </row>
    <row r="1006">
      <c r="A1006" t="inlineStr">
        <is>
          <t>CONTINENTAL RESOURCES, INC</t>
        </is>
      </c>
      <c r="B1006" t="inlineStr">
        <is>
          <t>CLR</t>
        </is>
      </c>
      <c r="C1006" t="inlineStr">
        <is>
          <t>CONTINENTAL RESOURCES, INC</t>
        </is>
      </c>
      <c r="D1006" t="n">
        <v>1311</v>
      </c>
    </row>
    <row r="1007">
      <c r="A1007" t="inlineStr">
        <is>
          <t>CONVEY HEALTH SOLUTIONS HOLDINGS, INC.</t>
        </is>
      </c>
      <c r="B1007" t="inlineStr">
        <is>
          <t>CNVY</t>
        </is>
      </c>
      <c r="C1007" t="inlineStr">
        <is>
          <t>CONVEY HEALTH SOLUTIONS HOLDINGS, INC.</t>
        </is>
      </c>
      <c r="D1007" t="n">
        <v>8090</v>
      </c>
    </row>
    <row r="1008">
      <c r="A1008" t="inlineStr">
        <is>
          <t>COOPER COMPANIES, INC.</t>
        </is>
      </c>
      <c r="B1008" t="inlineStr">
        <is>
          <t>COO</t>
        </is>
      </c>
      <c r="C1008" t="inlineStr">
        <is>
          <t>COOPER COMPANIES, INC.</t>
        </is>
      </c>
      <c r="D1008" t="n">
        <v>3851</v>
      </c>
    </row>
    <row r="1009">
      <c r="A1009" t="inlineStr">
        <is>
          <t>COOPER-STANDARD HOLDINGS INC.</t>
        </is>
      </c>
      <c r="B1009" t="inlineStr">
        <is>
          <t>CPS</t>
        </is>
      </c>
      <c r="C1009" t="inlineStr">
        <is>
          <t>COOPER-STANDARD HOLDINGS INC.</t>
        </is>
      </c>
      <c r="D1009" t="n">
        <v>3714</v>
      </c>
    </row>
    <row r="1010">
      <c r="A1010" t="inlineStr">
        <is>
          <t>COPART INC</t>
        </is>
      </c>
      <c r="B1010" t="inlineStr">
        <is>
          <t>CPRT</t>
        </is>
      </c>
      <c r="C1010" t="inlineStr">
        <is>
          <t>COPART INC</t>
        </is>
      </c>
      <c r="D1010" t="n">
        <v>5500</v>
      </c>
    </row>
    <row r="1011">
      <c r="A1011" t="inlineStr">
        <is>
          <t>CORBUS PHARMACEUTICALS HOLDINGS, INC.</t>
        </is>
      </c>
      <c r="B1011" t="inlineStr">
        <is>
          <t>CRBP</t>
        </is>
      </c>
      <c r="C1011" t="inlineStr">
        <is>
          <t>CORBUS PHARMACEUTICALS HOLDINGS, INC.</t>
        </is>
      </c>
      <c r="D1011" t="n">
        <v>2834</v>
      </c>
    </row>
    <row r="1012">
      <c r="A1012" t="inlineStr">
        <is>
          <t>CORCEPT THERAPEUTICS INC</t>
        </is>
      </c>
      <c r="B1012" t="inlineStr">
        <is>
          <t>CORT</t>
        </is>
      </c>
      <c r="C1012" t="inlineStr">
        <is>
          <t>CORCEPT THERAPEUTICS INC</t>
        </is>
      </c>
      <c r="D1012" t="n">
        <v>2834</v>
      </c>
    </row>
    <row r="1013">
      <c r="A1013" t="inlineStr">
        <is>
          <t>CORE &amp; MAIN, INC.</t>
        </is>
      </c>
      <c r="B1013" t="inlineStr">
        <is>
          <t>CNM</t>
        </is>
      </c>
      <c r="C1013" t="inlineStr">
        <is>
          <t>CORE &amp; MAIN, INC.</t>
        </is>
      </c>
      <c r="D1013" t="n">
        <v>5099</v>
      </c>
    </row>
    <row r="1014">
      <c r="A1014" t="inlineStr">
        <is>
          <t>CORE LABORATORIES N V</t>
        </is>
      </c>
      <c r="B1014" t="inlineStr">
        <is>
          <t>CLB</t>
        </is>
      </c>
      <c r="C1014" t="inlineStr">
        <is>
          <t>CORE LABORATORIES N V</t>
        </is>
      </c>
      <c r="D1014" t="n">
        <v>1389</v>
      </c>
    </row>
    <row r="1015">
      <c r="A1015" t="inlineStr">
        <is>
          <t>CORE MOLDING TECHNOLOGIES INC</t>
        </is>
      </c>
      <c r="B1015" t="inlineStr">
        <is>
          <t>CMT</t>
        </is>
      </c>
      <c r="C1015" t="inlineStr">
        <is>
          <t>CORE MOLDING TECHNOLOGIES INC</t>
        </is>
      </c>
      <c r="D1015" t="n">
        <v>3089</v>
      </c>
    </row>
    <row r="1016">
      <c r="A1016" t="inlineStr">
        <is>
          <t>CORECARD CORP</t>
        </is>
      </c>
      <c r="B1016" t="inlineStr">
        <is>
          <t>CCRD</t>
        </is>
      </c>
      <c r="C1016" t="inlineStr">
        <is>
          <t>CORECARD CORP</t>
        </is>
      </c>
      <c r="D1016" t="n">
        <v>7372</v>
      </c>
    </row>
    <row r="1017">
      <c r="A1017" t="inlineStr">
        <is>
          <t>CORECIVIC, INC.</t>
        </is>
      </c>
      <c r="B1017" t="inlineStr">
        <is>
          <t>CXW</t>
        </is>
      </c>
      <c r="C1017" t="inlineStr">
        <is>
          <t>CORECIVIC, INC.</t>
        </is>
      </c>
      <c r="D1017" t="n">
        <v>6798</v>
      </c>
    </row>
    <row r="1018">
      <c r="A1018" t="inlineStr">
        <is>
          <t>CORENERGY INFRASTRUCTURE TRUST, INC.</t>
        </is>
      </c>
      <c r="B1018" t="inlineStr">
        <is>
          <t>CORR</t>
        </is>
      </c>
      <c r="C1018" t="inlineStr">
        <is>
          <t>CORENERGY INFRASTRUCTURE TRUST, INC.</t>
        </is>
      </c>
      <c r="D1018" t="n">
        <v>6798</v>
      </c>
    </row>
    <row r="1019">
      <c r="A1019" t="inlineStr">
        <is>
          <t>CORMEDIX INC.</t>
        </is>
      </c>
      <c r="B1019" t="inlineStr">
        <is>
          <t>CRMD</t>
        </is>
      </c>
      <c r="C1019" t="inlineStr">
        <is>
          <t>CORMEDIX INC.</t>
        </is>
      </c>
      <c r="D1019" t="n">
        <v>2834</v>
      </c>
    </row>
    <row r="1020">
      <c r="A1020" t="inlineStr">
        <is>
          <t>CORNERSTONE BUILDING BRANDS, INC.</t>
        </is>
      </c>
      <c r="B1020" t="inlineStr">
        <is>
          <t>CNR</t>
        </is>
      </c>
      <c r="C1020" t="inlineStr">
        <is>
          <t>CORNERSTONE BUILDING BRANDS, INC.</t>
        </is>
      </c>
      <c r="D1020" t="n">
        <v>3448</v>
      </c>
    </row>
    <row r="1021">
      <c r="A1021" t="inlineStr">
        <is>
          <t>CORNING INC /NY</t>
        </is>
      </c>
      <c r="B1021" t="inlineStr">
        <is>
          <t>GLW</t>
        </is>
      </c>
      <c r="C1021" t="inlineStr">
        <is>
          <t>CORNING INC /NY</t>
        </is>
      </c>
      <c r="D1021" t="n">
        <v>3357</v>
      </c>
    </row>
    <row r="1022">
      <c r="A1022" t="inlineStr">
        <is>
          <t>CORNING NATURAL GAS HOLDING CORP</t>
        </is>
      </c>
      <c r="B1022" t="inlineStr">
        <is>
          <t>CNIG</t>
        </is>
      </c>
      <c r="C1022" t="inlineStr">
        <is>
          <t>CORNING NATURAL GAS HOLDING CORP</t>
        </is>
      </c>
      <c r="D1022" t="n">
        <v>4923</v>
      </c>
    </row>
    <row r="1023">
      <c r="A1023" t="inlineStr">
        <is>
          <t>CORPORATE OFFICE PROPERTIES TRUST</t>
        </is>
      </c>
      <c r="B1023" t="inlineStr">
        <is>
          <t>OFC</t>
        </is>
      </c>
      <c r="C1023" t="inlineStr">
        <is>
          <t>CORPORATE OFFICE PROPERTIES TRUST</t>
        </is>
      </c>
      <c r="D1023" t="n">
        <v>6798</v>
      </c>
    </row>
    <row r="1024">
      <c r="A1024" t="inlineStr">
        <is>
          <t>CORSAIR GAMING, INC.</t>
        </is>
      </c>
      <c r="B1024" t="inlineStr">
        <is>
          <t>CRSR</t>
        </is>
      </c>
      <c r="C1024" t="inlineStr">
        <is>
          <t>CORSAIR GAMING, INC.</t>
        </is>
      </c>
      <c r="D1024" t="n">
        <v>3577</v>
      </c>
    </row>
    <row r="1025">
      <c r="A1025" t="inlineStr">
        <is>
          <t>CORTEVA, INC.</t>
        </is>
      </c>
      <c r="B1025" t="inlineStr">
        <is>
          <t>CTVA</t>
        </is>
      </c>
      <c r="C1025" t="inlineStr">
        <is>
          <t>CORTEVA, INC.</t>
        </is>
      </c>
      <c r="D1025" t="n">
        <v>100</v>
      </c>
    </row>
    <row r="1026">
      <c r="A1026" t="inlineStr">
        <is>
          <t>CORVEL CORP</t>
        </is>
      </c>
      <c r="B1026" t="inlineStr">
        <is>
          <t>CRVL</t>
        </is>
      </c>
      <c r="C1026" t="inlineStr">
        <is>
          <t>CORVEL CORP</t>
        </is>
      </c>
      <c r="D1026" t="n">
        <v>6411</v>
      </c>
    </row>
    <row r="1027">
      <c r="A1027" t="inlineStr">
        <is>
          <t>COSMOS GROUP HOLDINGS INC.</t>
        </is>
      </c>
      <c r="B1027" t="inlineStr">
        <is>
          <t>COSG</t>
        </is>
      </c>
      <c r="C1027" t="inlineStr">
        <is>
          <t>COSMOS GROUP HOLDINGS INC.</t>
        </is>
      </c>
      <c r="D1027" t="n">
        <v>4210</v>
      </c>
    </row>
    <row r="1028">
      <c r="A1028" t="inlineStr">
        <is>
          <t>COSTAMARE INC.</t>
        </is>
      </c>
      <c r="B1028" t="inlineStr">
        <is>
          <t>CMRE</t>
        </is>
      </c>
      <c r="C1028" t="inlineStr">
        <is>
          <t>COSTAMARE INC.</t>
        </is>
      </c>
      <c r="D1028" t="n">
        <v>4412</v>
      </c>
    </row>
    <row r="1029">
      <c r="A1029" t="inlineStr">
        <is>
          <t>COSTAR GROUP, INC.</t>
        </is>
      </c>
      <c r="B1029" t="inlineStr">
        <is>
          <t>CSGP</t>
        </is>
      </c>
      <c r="C1029" t="inlineStr">
        <is>
          <t>COSTAR GROUP, INC.</t>
        </is>
      </c>
      <c r="D1029" t="n">
        <v>7389</v>
      </c>
    </row>
    <row r="1030">
      <c r="A1030" t="inlineStr">
        <is>
          <t>COSTCO WHOLESALE CORP /NEW</t>
        </is>
      </c>
      <c r="B1030" t="inlineStr">
        <is>
          <t>COST</t>
        </is>
      </c>
      <c r="C1030" t="inlineStr">
        <is>
          <t>COSTCO WHOLESALE CORP /NEW</t>
        </is>
      </c>
      <c r="D1030" t="n">
        <v>5331</v>
      </c>
    </row>
    <row r="1031">
      <c r="A1031" t="inlineStr">
        <is>
          <t>COTERRA ENERGY INC.</t>
        </is>
      </c>
      <c r="B1031" t="inlineStr">
        <is>
          <t>CTRA</t>
        </is>
      </c>
      <c r="C1031" t="inlineStr">
        <is>
          <t>COTERRA ENERGY INC.</t>
        </is>
      </c>
      <c r="D1031" t="n">
        <v>1311</v>
      </c>
    </row>
    <row r="1032">
      <c r="A1032" t="inlineStr">
        <is>
          <t>COTY INC.</t>
        </is>
      </c>
      <c r="B1032" t="inlineStr">
        <is>
          <t>COTY</t>
        </is>
      </c>
      <c r="C1032" t="inlineStr">
        <is>
          <t>COTY INC.</t>
        </is>
      </c>
      <c r="D1032" t="n">
        <v>2844</v>
      </c>
    </row>
    <row r="1033">
      <c r="A1033" t="inlineStr">
        <is>
          <t>COUCHBASE, INC.</t>
        </is>
      </c>
      <c r="B1033" t="inlineStr">
        <is>
          <t>BASE</t>
        </is>
      </c>
      <c r="C1033" t="inlineStr">
        <is>
          <t>COUCHBASE, INC.</t>
        </is>
      </c>
      <c r="D1033" t="n">
        <v>7372</v>
      </c>
    </row>
    <row r="1034">
      <c r="A1034" t="inlineStr">
        <is>
          <t>COUPA SOFTWARE INC</t>
        </is>
      </c>
      <c r="B1034" t="inlineStr">
        <is>
          <t>COUP</t>
        </is>
      </c>
      <c r="C1034" t="inlineStr">
        <is>
          <t>COUPA SOFTWARE INC</t>
        </is>
      </c>
      <c r="D1034" t="n">
        <v>7372</v>
      </c>
    </row>
    <row r="1035">
      <c r="A1035" t="inlineStr">
        <is>
          <t>COUPANG, INC.</t>
        </is>
      </c>
      <c r="B1035" t="inlineStr">
        <is>
          <t>CPNG</t>
        </is>
      </c>
      <c r="C1035" t="inlineStr">
        <is>
          <t>COUPANG, INC.</t>
        </is>
      </c>
      <c r="D1035" t="n">
        <v>5961</v>
      </c>
    </row>
    <row r="1036">
      <c r="A1036" t="inlineStr">
        <is>
          <t>COURSERA, INC.</t>
        </is>
      </c>
      <c r="B1036" t="inlineStr">
        <is>
          <t>COUR</t>
        </is>
      </c>
      <c r="C1036" t="inlineStr">
        <is>
          <t>COURSERA, INC.</t>
        </is>
      </c>
      <c r="D1036" t="n">
        <v>7372</v>
      </c>
    </row>
    <row r="1037">
      <c r="A1037" t="inlineStr">
        <is>
          <t>COUSINS PROPERTIES INC</t>
        </is>
      </c>
      <c r="B1037" t="inlineStr">
        <is>
          <t>CUZ</t>
        </is>
      </c>
      <c r="C1037" t="inlineStr">
        <is>
          <t>COUSINS PROPERTIES INC</t>
        </is>
      </c>
      <c r="D1037" t="n">
        <v>6798</v>
      </c>
    </row>
    <row r="1038">
      <c r="A1038" t="inlineStr">
        <is>
          <t>COVENANT LOGISTICS GROUP, INC.</t>
        </is>
      </c>
      <c r="B1038" t="inlineStr">
        <is>
          <t>CVLG</t>
        </is>
      </c>
      <c r="C1038" t="inlineStr">
        <is>
          <t>COVENANT LOGISTICS GROUP, INC.</t>
        </is>
      </c>
      <c r="D1038" t="n">
        <v>4213</v>
      </c>
    </row>
    <row r="1039">
      <c r="A1039" t="inlineStr">
        <is>
          <t>COVETRUS, INC.</t>
        </is>
      </c>
      <c r="B1039" t="inlineStr">
        <is>
          <t>CVET</t>
        </is>
      </c>
      <c r="C1039" t="inlineStr">
        <is>
          <t>COVETRUS, INC.</t>
        </is>
      </c>
      <c r="D1039" t="n">
        <v>5912</v>
      </c>
    </row>
    <row r="1040">
      <c r="A1040" t="inlineStr">
        <is>
          <t>COWEN INC.</t>
        </is>
      </c>
      <c r="B1040" t="inlineStr">
        <is>
          <t>COWN</t>
        </is>
      </c>
      <c r="C1040" t="inlineStr">
        <is>
          <t>COWEN INC.</t>
        </is>
      </c>
      <c r="D1040" t="n">
        <v>6211</v>
      </c>
    </row>
    <row r="1041">
      <c r="A1041" t="inlineStr">
        <is>
          <t>CPI CARD GROUP INC.</t>
        </is>
      </c>
      <c r="B1041" t="inlineStr">
        <is>
          <t>PMTS</t>
        </is>
      </c>
      <c r="C1041" t="inlineStr">
        <is>
          <t>CPI CARD GROUP INC.</t>
        </is>
      </c>
      <c r="D1041" t="n">
        <v>2750</v>
      </c>
    </row>
    <row r="1042">
      <c r="A1042" t="inlineStr">
        <is>
          <t>CRA INTERNATIONAL, INC.</t>
        </is>
      </c>
      <c r="B1042" t="inlineStr">
        <is>
          <t>CRAI</t>
        </is>
      </c>
      <c r="C1042" t="inlineStr">
        <is>
          <t>CRA INTERNATIONAL, INC.</t>
        </is>
      </c>
      <c r="D1042" t="n">
        <v>8111</v>
      </c>
    </row>
    <row r="1043">
      <c r="A1043" t="inlineStr">
        <is>
          <t>CRACKER BARREL OLD COUNTRY STORE, INC</t>
        </is>
      </c>
      <c r="B1043" t="inlineStr">
        <is>
          <t>CBRL</t>
        </is>
      </c>
      <c r="C1043" t="inlineStr">
        <is>
          <t>CRACKER BARREL OLD COUNTRY STORE, INC</t>
        </is>
      </c>
      <c r="D1043" t="n">
        <v>5812</v>
      </c>
    </row>
    <row r="1044">
      <c r="A1044" t="inlineStr">
        <is>
          <t>CRANE CO /DE/</t>
        </is>
      </c>
      <c r="B1044" t="inlineStr">
        <is>
          <t>CR</t>
        </is>
      </c>
      <c r="C1044" t="inlineStr">
        <is>
          <t>CRANE CO /DE/</t>
        </is>
      </c>
      <c r="D1044" t="n">
        <v>3490</v>
      </c>
    </row>
    <row r="1045">
      <c r="A1045" t="inlineStr">
        <is>
          <t>CRAWFORD &amp; CO</t>
        </is>
      </c>
      <c r="B1045" t="inlineStr">
        <is>
          <t>CRD-A</t>
        </is>
      </c>
      <c r="C1045" t="inlineStr">
        <is>
          <t>CRAWFORD &amp; CO</t>
        </is>
      </c>
      <c r="D1045" t="n">
        <v>6411</v>
      </c>
    </row>
    <row r="1046">
      <c r="A1046" t="inlineStr">
        <is>
          <t>CRAWFORD UNITED CORP</t>
        </is>
      </c>
      <c r="B1046" t="inlineStr">
        <is>
          <t>CRAWA</t>
        </is>
      </c>
      <c r="C1046" t="inlineStr">
        <is>
          <t>CRAWFORD UNITED CORP</t>
        </is>
      </c>
      <c r="D1046" t="n">
        <v>3823</v>
      </c>
    </row>
    <row r="1047">
      <c r="A1047" t="inlineStr">
        <is>
          <t>CREATIVE MEDIA &amp; COMMUNITY TRUST CORP</t>
        </is>
      </c>
      <c r="B1047" t="inlineStr">
        <is>
          <t>CMCT</t>
        </is>
      </c>
      <c r="C1047" t="inlineStr">
        <is>
          <t>CREATIVE MEDIA &amp; COMMUNITY TRUST CORP</t>
        </is>
      </c>
      <c r="D1047" t="n">
        <v>6798</v>
      </c>
    </row>
    <row r="1048">
      <c r="A1048" t="inlineStr">
        <is>
          <t>CREDIT ACCEPTANCE CORP</t>
        </is>
      </c>
      <c r="B1048" t="inlineStr">
        <is>
          <t>CACC</t>
        </is>
      </c>
      <c r="C1048" t="inlineStr">
        <is>
          <t>CREDIT ACCEPTANCE CORP</t>
        </is>
      </c>
      <c r="D1048" t="n">
        <v>6141</v>
      </c>
    </row>
    <row r="1049">
      <c r="A1049" t="inlineStr">
        <is>
          <t>CREDITRISKMONITOR COM INC</t>
        </is>
      </c>
      <c r="B1049" t="inlineStr">
        <is>
          <t>CRMZ</t>
        </is>
      </c>
      <c r="C1049" t="inlineStr">
        <is>
          <t>CREDITRISKMONITOR COM INC</t>
        </is>
      </c>
      <c r="D1049" t="n">
        <v>7320</v>
      </c>
    </row>
    <row r="1050">
      <c r="A1050" t="inlineStr">
        <is>
          <t>CREE, INC.</t>
        </is>
      </c>
      <c r="B1050" t="inlineStr">
        <is>
          <t>WOLF</t>
        </is>
      </c>
      <c r="C1050" t="inlineStr">
        <is>
          <t>CREE, INC.</t>
        </is>
      </c>
      <c r="D1050" t="n">
        <v>3674</v>
      </c>
    </row>
    <row r="1051">
      <c r="A1051" t="inlineStr">
        <is>
          <t>CRESCENT ENERGY CO</t>
        </is>
      </c>
      <c r="B1051" t="inlineStr">
        <is>
          <t>CRGY</t>
        </is>
      </c>
      <c r="C1051" t="inlineStr">
        <is>
          <t>CRESCENT ENERGY CO</t>
        </is>
      </c>
      <c r="D1051" t="n">
        <v>1311</v>
      </c>
    </row>
    <row r="1052">
      <c r="A1052" t="inlineStr">
        <is>
          <t>CRESTWOOD EQUITY PARTNERS LP</t>
        </is>
      </c>
      <c r="B1052" t="inlineStr">
        <is>
          <t>CEQP</t>
        </is>
      </c>
      <c r="C1052" t="inlineStr">
        <is>
          <t>CRESTWOOD EQUITY PARTNERS LP</t>
        </is>
      </c>
      <c r="D1052" t="n">
        <v>4923</v>
      </c>
    </row>
    <row r="1053">
      <c r="A1053" t="inlineStr">
        <is>
          <t>CREXENDO, INC.</t>
        </is>
      </c>
      <c r="B1053" t="inlineStr">
        <is>
          <t>CXDO</t>
        </is>
      </c>
      <c r="C1053" t="inlineStr">
        <is>
          <t>CREXENDO, INC.</t>
        </is>
      </c>
      <c r="D1053" t="n">
        <v>4813</v>
      </c>
    </row>
    <row r="1054">
      <c r="A1054" t="inlineStr">
        <is>
          <t>CRICUT, INC.</t>
        </is>
      </c>
      <c r="B1054" t="inlineStr">
        <is>
          <t>CRCT</t>
        </is>
      </c>
      <c r="C1054" t="inlineStr">
        <is>
          <t>CRICUT, INC.</t>
        </is>
      </c>
      <c r="D1054" t="n">
        <v>3559</v>
      </c>
    </row>
    <row r="1055">
      <c r="A1055" t="inlineStr">
        <is>
          <t>CRIMSON WINE GROUP, LTD</t>
        </is>
      </c>
      <c r="B1055" t="inlineStr">
        <is>
          <t>CWGL</t>
        </is>
      </c>
      <c r="C1055" t="inlineStr">
        <is>
          <t>CRIMSON WINE GROUP, LTD</t>
        </is>
      </c>
      <c r="D1055" t="n">
        <v>2080</v>
      </c>
    </row>
    <row r="1056">
      <c r="A1056" t="inlineStr">
        <is>
          <t>CRINETICS PHARMACEUTICALS, INC.</t>
        </is>
      </c>
      <c r="B1056" t="inlineStr">
        <is>
          <t>CRNX</t>
        </is>
      </c>
      <c r="C1056" t="inlineStr">
        <is>
          <t>CRINETICS PHARMACEUTICALS, INC.</t>
        </is>
      </c>
      <c r="D1056" t="n">
        <v>2834</v>
      </c>
    </row>
    <row r="1057">
      <c r="A1057" t="inlineStr">
        <is>
          <t>CRISPR THERAPEUTICS AG</t>
        </is>
      </c>
      <c r="B1057" t="inlineStr">
        <is>
          <t>CRSP</t>
        </is>
      </c>
      <c r="C1057" t="inlineStr">
        <is>
          <t>CRISPR THERAPEUTICS AG</t>
        </is>
      </c>
      <c r="D1057" t="n">
        <v>2836</v>
      </c>
    </row>
    <row r="1058">
      <c r="A1058" t="inlineStr">
        <is>
          <t>CRITEO S.A.</t>
        </is>
      </c>
      <c r="B1058" t="inlineStr">
        <is>
          <t>CRTO</t>
        </is>
      </c>
      <c r="C1058" t="inlineStr">
        <is>
          <t>CRITEO S.A.</t>
        </is>
      </c>
      <c r="D1058" t="n">
        <v>7311</v>
      </c>
    </row>
    <row r="1059">
      <c r="A1059" t="inlineStr">
        <is>
          <t>CROCS, INC.</t>
        </is>
      </c>
      <c r="B1059" t="inlineStr">
        <is>
          <t>CROX</t>
        </is>
      </c>
      <c r="C1059" t="inlineStr">
        <is>
          <t>CROCS, INC.</t>
        </is>
      </c>
      <c r="D1059" t="n">
        <v>3021</v>
      </c>
    </row>
    <row r="1060">
      <c r="A1060" t="inlineStr">
        <is>
          <t>CRONOS GROUP INC.</t>
        </is>
      </c>
      <c r="B1060" t="inlineStr">
        <is>
          <t>CRON</t>
        </is>
      </c>
      <c r="C1060" t="inlineStr">
        <is>
          <t>CRONOS GROUP INC.</t>
        </is>
      </c>
      <c r="D1060" t="n">
        <v>2833</v>
      </c>
    </row>
    <row r="1061">
      <c r="A1061" t="inlineStr">
        <is>
          <t>CROSS COUNTRY HEALTHCARE INC</t>
        </is>
      </c>
      <c r="B1061" t="inlineStr">
        <is>
          <t>CCRN</t>
        </is>
      </c>
      <c r="C1061" t="inlineStr">
        <is>
          <t>CROSS COUNTRY HEALTHCARE INC</t>
        </is>
      </c>
      <c r="D1061" t="n">
        <v>7363</v>
      </c>
    </row>
    <row r="1062">
      <c r="A1062" t="inlineStr">
        <is>
          <t>CROSSAMERICA PARTNERS LP</t>
        </is>
      </c>
      <c r="B1062" t="inlineStr">
        <is>
          <t>CAPL</t>
        </is>
      </c>
      <c r="C1062" t="inlineStr">
        <is>
          <t>CROSSAMERICA PARTNERS LP</t>
        </is>
      </c>
      <c r="D1062" t="n">
        <v>5172</v>
      </c>
    </row>
    <row r="1063">
      <c r="A1063" t="inlineStr">
        <is>
          <t>CROSSFIRST BANKSHARES, INC.</t>
        </is>
      </c>
      <c r="B1063" t="inlineStr">
        <is>
          <t>CFB</t>
        </is>
      </c>
      <c r="C1063" t="inlineStr">
        <is>
          <t>CROSSFIRST BANKSHARES, INC.</t>
        </is>
      </c>
      <c r="D1063" t="n">
        <v>6022</v>
      </c>
    </row>
    <row r="1064">
      <c r="A1064" t="inlineStr">
        <is>
          <t>CROWDSTRIKE HOLDINGS, INC.</t>
        </is>
      </c>
      <c r="B1064" t="inlineStr">
        <is>
          <t>CRWD</t>
        </is>
      </c>
      <c r="C1064" t="inlineStr">
        <is>
          <t>CROWDSTRIKE HOLDINGS, INC.</t>
        </is>
      </c>
      <c r="D1064" t="n">
        <v>7372</v>
      </c>
    </row>
    <row r="1065">
      <c r="A1065" t="inlineStr">
        <is>
          <t>CROWN CASTLE INTERNATIONAL CORP</t>
        </is>
      </c>
      <c r="B1065" t="inlineStr">
        <is>
          <t>CCI</t>
        </is>
      </c>
      <c r="C1065" t="inlineStr">
        <is>
          <t>CROWN CASTLE INTERNATIONAL CORP</t>
        </is>
      </c>
      <c r="D1065" t="n">
        <v>6798</v>
      </c>
    </row>
    <row r="1066">
      <c r="A1066" t="inlineStr">
        <is>
          <t>CROWN CRAFTS INC</t>
        </is>
      </c>
      <c r="B1066" t="inlineStr">
        <is>
          <t>CRWS</t>
        </is>
      </c>
      <c r="C1066" t="inlineStr">
        <is>
          <t>CROWN CRAFTS INC</t>
        </is>
      </c>
      <c r="D1066" t="n">
        <v>2211</v>
      </c>
    </row>
    <row r="1067">
      <c r="A1067" t="inlineStr">
        <is>
          <t>CROWN HOLDINGS INC</t>
        </is>
      </c>
      <c r="B1067" t="inlineStr">
        <is>
          <t>CCK</t>
        </is>
      </c>
      <c r="C1067" t="inlineStr">
        <is>
          <t>CROWN HOLDINGS INC</t>
        </is>
      </c>
      <c r="D1067" t="n">
        <v>3411</v>
      </c>
    </row>
    <row r="1068">
      <c r="A1068" t="inlineStr">
        <is>
          <t>CRYO CELL INTERNATIONAL INC</t>
        </is>
      </c>
      <c r="B1068" t="inlineStr">
        <is>
          <t>CCEL</t>
        </is>
      </c>
      <c r="C1068" t="inlineStr">
        <is>
          <t>CRYO CELL INTERNATIONAL INC</t>
        </is>
      </c>
      <c r="D1068" t="n">
        <v>8090</v>
      </c>
    </row>
    <row r="1069">
      <c r="A1069" t="inlineStr">
        <is>
          <t>CRYOPORT, INC.</t>
        </is>
      </c>
      <c r="B1069" t="inlineStr">
        <is>
          <t>CYRX</t>
        </is>
      </c>
      <c r="C1069" t="inlineStr">
        <is>
          <t>CRYOPORT, INC.</t>
        </is>
      </c>
      <c r="D1069" t="n">
        <v>2834</v>
      </c>
    </row>
    <row r="1070">
      <c r="A1070" t="inlineStr">
        <is>
          <t>CS DISCO, INC.</t>
        </is>
      </c>
      <c r="B1070" t="inlineStr">
        <is>
          <t>LAW</t>
        </is>
      </c>
      <c r="C1070" t="inlineStr">
        <is>
          <t>CS DISCO, INC.</t>
        </is>
      </c>
      <c r="D1070" t="n">
        <v>7372</v>
      </c>
    </row>
    <row r="1071">
      <c r="A1071" t="inlineStr">
        <is>
          <t>CSB BANCORP INC /OH</t>
        </is>
      </c>
      <c r="B1071" t="inlineStr">
        <is>
          <t>CSBB</t>
        </is>
      </c>
      <c r="C1071" t="inlineStr">
        <is>
          <t>CSB BANCORP INC /OH</t>
        </is>
      </c>
      <c r="D1071" t="n">
        <v>6022</v>
      </c>
    </row>
    <row r="1072">
      <c r="A1072" t="inlineStr">
        <is>
          <t>CSG SYSTEMS INTERNATIONAL INC</t>
        </is>
      </c>
      <c r="B1072" t="inlineStr">
        <is>
          <t>CSGS</t>
        </is>
      </c>
      <c r="C1072" t="inlineStr">
        <is>
          <t>CSG SYSTEMS INTERNATIONAL INC</t>
        </is>
      </c>
      <c r="D1072" t="n">
        <v>7374</v>
      </c>
    </row>
    <row r="1073">
      <c r="A1073" t="inlineStr">
        <is>
          <t>CSI COMPRESSCO LP</t>
        </is>
      </c>
      <c r="B1073" t="inlineStr">
        <is>
          <t>CCLP</t>
        </is>
      </c>
      <c r="C1073" t="inlineStr">
        <is>
          <t>CSI COMPRESSCO LP</t>
        </is>
      </c>
      <c r="D1073" t="n">
        <v>1389</v>
      </c>
    </row>
    <row r="1074">
      <c r="A1074" t="inlineStr">
        <is>
          <t>CSP INC /MA/</t>
        </is>
      </c>
      <c r="B1074" t="inlineStr">
        <is>
          <t>CSPI</t>
        </is>
      </c>
      <c r="C1074" t="inlineStr">
        <is>
          <t>CSP INC /MA/</t>
        </is>
      </c>
      <c r="D1074" t="n">
        <v>7373</v>
      </c>
    </row>
    <row r="1075">
      <c r="A1075" t="inlineStr">
        <is>
          <t>CSW INDUSTRIALS, INC.</t>
        </is>
      </c>
      <c r="B1075" t="inlineStr">
        <is>
          <t>CSWI</t>
        </is>
      </c>
      <c r="C1075" t="inlineStr">
        <is>
          <t>CSW INDUSTRIALS, INC.</t>
        </is>
      </c>
      <c r="D1075" t="n">
        <v>2891</v>
      </c>
    </row>
    <row r="1076">
      <c r="A1076" t="inlineStr">
        <is>
          <t>CSX CORP</t>
        </is>
      </c>
      <c r="B1076" t="inlineStr">
        <is>
          <t>CSX</t>
        </is>
      </c>
      <c r="C1076" t="inlineStr">
        <is>
          <t>CSX CORP</t>
        </is>
      </c>
      <c r="D1076" t="n">
        <v>4011</v>
      </c>
    </row>
    <row r="1077">
      <c r="A1077" t="inlineStr">
        <is>
          <t>CTO REALTY GROWTH, INC.</t>
        </is>
      </c>
      <c r="B1077" t="inlineStr">
        <is>
          <t>CTO</t>
        </is>
      </c>
      <c r="C1077" t="inlineStr">
        <is>
          <t>CTO REALTY GROWTH, INC.</t>
        </is>
      </c>
      <c r="D1077" t="n">
        <v>6798</v>
      </c>
    </row>
    <row r="1078">
      <c r="A1078" t="inlineStr">
        <is>
          <t>CTS CORP</t>
        </is>
      </c>
      <c r="B1078" t="inlineStr">
        <is>
          <t>CTS</t>
        </is>
      </c>
      <c r="C1078" t="inlineStr">
        <is>
          <t>CTS CORP</t>
        </is>
      </c>
      <c r="D1078" t="n">
        <v>3672</v>
      </c>
    </row>
    <row r="1079">
      <c r="A1079" t="inlineStr">
        <is>
          <t>CUBESMART</t>
        </is>
      </c>
      <c r="B1079" t="inlineStr">
        <is>
          <t>CUBE</t>
        </is>
      </c>
      <c r="C1079" t="inlineStr">
        <is>
          <t>CUBESMART</t>
        </is>
      </c>
      <c r="D1079" t="n">
        <v>6798</v>
      </c>
    </row>
    <row r="1080">
      <c r="A1080" t="inlineStr">
        <is>
          <t>CUE BIOPHARMA, INC.</t>
        </is>
      </c>
      <c r="B1080" t="inlineStr">
        <is>
          <t>CUE</t>
        </is>
      </c>
      <c r="C1080" t="inlineStr">
        <is>
          <t>CUE BIOPHARMA, INC.</t>
        </is>
      </c>
      <c r="D1080" t="n">
        <v>2834</v>
      </c>
    </row>
    <row r="1081">
      <c r="A1081" t="inlineStr">
        <is>
          <t>CUE HEALTH INC.</t>
        </is>
      </c>
      <c r="B1081" t="inlineStr">
        <is>
          <t>HLTH</t>
        </is>
      </c>
      <c r="C1081" t="inlineStr">
        <is>
          <t>CUE HEALTH INC.</t>
        </is>
      </c>
      <c r="D1081" t="n">
        <v>3826</v>
      </c>
    </row>
    <row r="1082">
      <c r="A1082" t="inlineStr">
        <is>
          <t>CULLEN/FROST BANKERS, INC.</t>
        </is>
      </c>
      <c r="B1082" t="inlineStr">
        <is>
          <t>CFR</t>
        </is>
      </c>
      <c r="C1082" t="inlineStr">
        <is>
          <t>CULLEN/FROST BANKERS, INC.</t>
        </is>
      </c>
      <c r="D1082" t="n">
        <v>6021</v>
      </c>
    </row>
    <row r="1083">
      <c r="A1083" t="inlineStr">
        <is>
          <t>CULLMAN BANCORP, INC. /MD/</t>
        </is>
      </c>
      <c r="B1083" t="inlineStr">
        <is>
          <t>CULL</t>
        </is>
      </c>
      <c r="C1083" t="inlineStr">
        <is>
          <t>CULLMAN BANCORP, INC. /MD/</t>
        </is>
      </c>
      <c r="D1083" t="n">
        <v>6036</v>
      </c>
    </row>
    <row r="1084">
      <c r="A1084" t="inlineStr">
        <is>
          <t>CULP INC</t>
        </is>
      </c>
      <c r="B1084" t="inlineStr">
        <is>
          <t>CULP</t>
        </is>
      </c>
      <c r="C1084" t="inlineStr">
        <is>
          <t>CULP INC</t>
        </is>
      </c>
      <c r="D1084" t="n">
        <v>2211</v>
      </c>
    </row>
    <row r="1085">
      <c r="A1085" t="inlineStr">
        <is>
          <t>CUMBERLAND PHARMACEUTICALS INC</t>
        </is>
      </c>
      <c r="B1085" t="inlineStr">
        <is>
          <t>CPIX</t>
        </is>
      </c>
      <c r="C1085" t="inlineStr">
        <is>
          <t>CUMBERLAND PHARMACEUTICALS INC</t>
        </is>
      </c>
      <c r="D1085" t="n">
        <v>2834</v>
      </c>
    </row>
    <row r="1086">
      <c r="A1086" t="inlineStr">
        <is>
          <t>CUMMINS INC</t>
        </is>
      </c>
      <c r="B1086" t="inlineStr">
        <is>
          <t>CMI</t>
        </is>
      </c>
      <c r="C1086" t="inlineStr">
        <is>
          <t>CUMMINS INC</t>
        </is>
      </c>
      <c r="D1086" t="n">
        <v>3510</v>
      </c>
    </row>
    <row r="1087">
      <c r="A1087" t="inlineStr">
        <is>
          <t>CUMULUS MEDIA INC</t>
        </is>
      </c>
      <c r="B1087" t="inlineStr">
        <is>
          <t>CMLS</t>
        </is>
      </c>
      <c r="C1087" t="inlineStr">
        <is>
          <t>CUMULUS MEDIA INC</t>
        </is>
      </c>
      <c r="D1087" t="n">
        <v>4832</v>
      </c>
    </row>
    <row r="1088">
      <c r="A1088" t="inlineStr">
        <is>
          <t>CURE PHARMACEUTICAL HOLDING CORP.</t>
        </is>
      </c>
      <c r="B1088" t="inlineStr">
        <is>
          <t>CURR</t>
        </is>
      </c>
      <c r="C1088" t="inlineStr">
        <is>
          <t>CURE PHARMACEUTICAL HOLDING CORP.</t>
        </is>
      </c>
      <c r="D1088" t="n">
        <v>2834</v>
      </c>
    </row>
    <row r="1089">
      <c r="A1089" t="inlineStr">
        <is>
          <t>CURIOSITYSTREAM INC.</t>
        </is>
      </c>
      <c r="B1089" t="inlineStr">
        <is>
          <t>CURI</t>
        </is>
      </c>
      <c r="C1089" t="inlineStr">
        <is>
          <t>CURIOSITYSTREAM INC.</t>
        </is>
      </c>
      <c r="D1089" t="n">
        <v>7812</v>
      </c>
    </row>
    <row r="1090">
      <c r="A1090" t="inlineStr">
        <is>
          <t>CURIS INC</t>
        </is>
      </c>
      <c r="B1090" t="inlineStr">
        <is>
          <t>CRIS</t>
        </is>
      </c>
      <c r="C1090" t="inlineStr">
        <is>
          <t>CURIS INC</t>
        </is>
      </c>
      <c r="D1090" t="n">
        <v>2836</v>
      </c>
    </row>
    <row r="1091">
      <c r="A1091" t="inlineStr">
        <is>
          <t>CURO GROUP HOLDINGS CORP.</t>
        </is>
      </c>
      <c r="B1091" t="inlineStr">
        <is>
          <t>CURO</t>
        </is>
      </c>
      <c r="C1091" t="inlineStr">
        <is>
          <t>CURO GROUP HOLDINGS CORP.</t>
        </is>
      </c>
      <c r="D1091" t="n">
        <v>6199</v>
      </c>
    </row>
    <row r="1092">
      <c r="A1092" t="inlineStr">
        <is>
          <t>CURTISS WRIGHT CORP</t>
        </is>
      </c>
      <c r="B1092" t="inlineStr">
        <is>
          <t>CW</t>
        </is>
      </c>
      <c r="C1092" t="inlineStr">
        <is>
          <t>CURTISS WRIGHT CORP</t>
        </is>
      </c>
      <c r="D1092" t="n">
        <v>3590</v>
      </c>
    </row>
    <row r="1093">
      <c r="A1093" t="inlineStr">
        <is>
          <t>CUSHMAN &amp; WAKEFIELD PLC</t>
        </is>
      </c>
      <c r="B1093" t="inlineStr">
        <is>
          <t>CWK</t>
        </is>
      </c>
      <c r="C1093" t="inlineStr">
        <is>
          <t>CUSHMAN &amp; WAKEFIELD PLC</t>
        </is>
      </c>
      <c r="D1093" t="n">
        <v>6500</v>
      </c>
    </row>
    <row r="1094">
      <c r="A1094" t="inlineStr">
        <is>
          <t>CUSTOM TRUCK ONE SOURCE, INC.</t>
        </is>
      </c>
      <c r="B1094" t="inlineStr">
        <is>
          <t>CTOS</t>
        </is>
      </c>
      <c r="C1094" t="inlineStr">
        <is>
          <t>CUSTOM TRUCK ONE SOURCE, INC.</t>
        </is>
      </c>
      <c r="D1094" t="n">
        <v>7359</v>
      </c>
    </row>
    <row r="1095">
      <c r="A1095" t="inlineStr">
        <is>
          <t>CUSTOMERS BANCORP, INC.</t>
        </is>
      </c>
      <c r="B1095" t="inlineStr">
        <is>
          <t>CUBI</t>
        </is>
      </c>
      <c r="C1095" t="inlineStr">
        <is>
          <t>CUSTOMERS BANCORP, INC.</t>
        </is>
      </c>
      <c r="D1095" t="n">
        <v>6022</v>
      </c>
    </row>
    <row r="1096">
      <c r="A1096" t="inlineStr">
        <is>
          <t>CUTERA INC</t>
        </is>
      </c>
      <c r="B1096" t="inlineStr">
        <is>
          <t>CUTR</t>
        </is>
      </c>
      <c r="C1096" t="inlineStr">
        <is>
          <t>CUTERA INC</t>
        </is>
      </c>
      <c r="D1096" t="n">
        <v>3845</v>
      </c>
    </row>
    <row r="1097">
      <c r="A1097" t="inlineStr">
        <is>
          <t>CVB FINANCIAL CORP</t>
        </is>
      </c>
      <c r="B1097" t="inlineStr">
        <is>
          <t>CVBF</t>
        </is>
      </c>
      <c r="C1097" t="inlineStr">
        <is>
          <t>CVB FINANCIAL CORP</t>
        </is>
      </c>
      <c r="D1097" t="n">
        <v>6022</v>
      </c>
    </row>
    <row r="1098">
      <c r="A1098" t="inlineStr">
        <is>
          <t>CVD EQUIPMENT CORP</t>
        </is>
      </c>
      <c r="B1098" t="inlineStr">
        <is>
          <t>CVV</t>
        </is>
      </c>
      <c r="C1098" t="inlineStr">
        <is>
          <t>CVD EQUIPMENT CORP</t>
        </is>
      </c>
      <c r="D1098" t="n">
        <v>3559</v>
      </c>
    </row>
    <row r="1099">
      <c r="A1099" t="inlineStr">
        <is>
          <t>CVENT HOLDING CORP.</t>
        </is>
      </c>
      <c r="B1099" t="inlineStr">
        <is>
          <t>CVT</t>
        </is>
      </c>
      <c r="C1099" t="inlineStr">
        <is>
          <t>CVENT HOLDING CORP.</t>
        </is>
      </c>
      <c r="D1099" t="n">
        <v>7372</v>
      </c>
    </row>
    <row r="1100">
      <c r="A1100" t="inlineStr">
        <is>
          <t>CVR ENERGY INC</t>
        </is>
      </c>
      <c r="B1100" t="inlineStr">
        <is>
          <t>CVI</t>
        </is>
      </c>
      <c r="C1100" t="inlineStr">
        <is>
          <t>CVR ENERGY INC</t>
        </is>
      </c>
      <c r="D1100" t="n">
        <v>2911</v>
      </c>
    </row>
    <row r="1101">
      <c r="A1101" t="inlineStr">
        <is>
          <t>CVR PARTNERS, LP</t>
        </is>
      </c>
      <c r="B1101" t="inlineStr">
        <is>
          <t>UAN</t>
        </is>
      </c>
      <c r="C1101" t="inlineStr">
        <is>
          <t>CVR PARTNERS, LP</t>
        </is>
      </c>
      <c r="D1101" t="n">
        <v>2870</v>
      </c>
    </row>
    <row r="1102">
      <c r="A1102" t="inlineStr">
        <is>
          <t>CVRX, INC.</t>
        </is>
      </c>
      <c r="B1102" t="inlineStr">
        <is>
          <t>CVRX</t>
        </is>
      </c>
      <c r="C1102" t="inlineStr">
        <is>
          <t>CVRX, INC.</t>
        </is>
      </c>
      <c r="D1102" t="n">
        <v>3841</v>
      </c>
    </row>
    <row r="1103">
      <c r="A1103" t="inlineStr">
        <is>
          <t>CVS HEALTH CORP</t>
        </is>
      </c>
      <c r="B1103" t="inlineStr">
        <is>
          <t>CVS</t>
        </is>
      </c>
      <c r="C1103" t="inlineStr">
        <is>
          <t>CVS HEALTH CORP</t>
        </is>
      </c>
      <c r="D1103" t="n">
        <v>5912</v>
      </c>
    </row>
    <row r="1104">
      <c r="A1104" t="inlineStr">
        <is>
          <t>CYANOTECH CORP</t>
        </is>
      </c>
      <c r="B1104" t="inlineStr">
        <is>
          <t>CYAN</t>
        </is>
      </c>
      <c r="C1104" t="inlineStr">
        <is>
          <t>CYANOTECH CORP</t>
        </is>
      </c>
      <c r="D1104" t="n">
        <v>2833</v>
      </c>
    </row>
    <row r="1105">
      <c r="A1105" t="inlineStr">
        <is>
          <t>CYBERARK SOFTWARE LTD.</t>
        </is>
      </c>
      <c r="B1105" t="inlineStr">
        <is>
          <t>CYBR</t>
        </is>
      </c>
      <c r="C1105" t="inlineStr">
        <is>
          <t>CYBERARK SOFTWARE LTD.</t>
        </is>
      </c>
      <c r="D1105" t="n">
        <v>7372</v>
      </c>
    </row>
    <row r="1106">
      <c r="A1106" t="inlineStr">
        <is>
          <t>CYBEROPTICS CORP</t>
        </is>
      </c>
      <c r="B1106" t="inlineStr">
        <is>
          <t>CYBE</t>
        </is>
      </c>
      <c r="C1106" t="inlineStr">
        <is>
          <t>CYBEROPTICS CORP</t>
        </is>
      </c>
      <c r="D1106" t="n">
        <v>3827</v>
      </c>
    </row>
    <row r="1107">
      <c r="A1107" t="inlineStr">
        <is>
          <t>CYCLERION THERAPEUTICS, INC.</t>
        </is>
      </c>
      <c r="B1107" t="inlineStr">
        <is>
          <t>CYCN</t>
        </is>
      </c>
      <c r="C1107" t="inlineStr">
        <is>
          <t>CYCLERION THERAPEUTICS, INC.</t>
        </is>
      </c>
      <c r="D1107" t="n">
        <v>2834</v>
      </c>
    </row>
    <row r="1108">
      <c r="A1108" t="inlineStr">
        <is>
          <t>CYCLO THERAPEUTICS, INC.</t>
        </is>
      </c>
      <c r="B1108" t="inlineStr">
        <is>
          <t>CYTH</t>
        </is>
      </c>
      <c r="C1108" t="inlineStr">
        <is>
          <t>CYCLO THERAPEUTICS, INC.</t>
        </is>
      </c>
      <c r="D1108" t="n">
        <v>2860</v>
      </c>
    </row>
    <row r="1109">
      <c r="A1109" t="inlineStr">
        <is>
          <t>CYNERGISTEK, INC</t>
        </is>
      </c>
      <c r="B1109" t="inlineStr">
        <is>
          <t>CTEK</t>
        </is>
      </c>
      <c r="C1109" t="inlineStr">
        <is>
          <t>CYNERGISTEK, INC</t>
        </is>
      </c>
      <c r="D1109" t="n">
        <v>7389</v>
      </c>
    </row>
    <row r="1110">
      <c r="A1110" t="inlineStr">
        <is>
          <t>CYREN LTD.</t>
        </is>
      </c>
      <c r="B1110" t="inlineStr">
        <is>
          <t>CYRN</t>
        </is>
      </c>
      <c r="C1110" t="inlineStr">
        <is>
          <t>CYREN LTD.</t>
        </is>
      </c>
      <c r="D1110" t="n">
        <v>7372</v>
      </c>
    </row>
    <row r="1111">
      <c r="A1111" t="inlineStr">
        <is>
          <t>CYTEK BIOSCIENCES, INC.</t>
        </is>
      </c>
      <c r="B1111" t="inlineStr">
        <is>
          <t>CTKB</t>
        </is>
      </c>
      <c r="C1111" t="inlineStr">
        <is>
          <t>CYTEK BIOSCIENCES, INC.</t>
        </is>
      </c>
      <c r="D1111" t="n">
        <v>3826</v>
      </c>
    </row>
    <row r="1112">
      <c r="A1112" t="inlineStr">
        <is>
          <t>CYTOKINETICS INC</t>
        </is>
      </c>
      <c r="B1112" t="inlineStr">
        <is>
          <t>CYTK</t>
        </is>
      </c>
      <c r="C1112" t="inlineStr">
        <is>
          <t>CYTOKINETICS INC</t>
        </is>
      </c>
      <c r="D1112" t="n">
        <v>2834</v>
      </c>
    </row>
    <row r="1113">
      <c r="A1113" t="inlineStr">
        <is>
          <t>CYTOMX THERAPEUTICS, INC.</t>
        </is>
      </c>
      <c r="B1113" t="inlineStr">
        <is>
          <t>CTMX</t>
        </is>
      </c>
      <c r="C1113" t="inlineStr">
        <is>
          <t>CYTOMX THERAPEUTICS, INC.</t>
        </is>
      </c>
      <c r="D1113" t="n">
        <v>2834</v>
      </c>
    </row>
    <row r="1114">
      <c r="A1114" t="inlineStr">
        <is>
          <t>CYTOSORBENTS CORP</t>
        </is>
      </c>
      <c r="B1114" t="inlineStr">
        <is>
          <t>CTSO</t>
        </is>
      </c>
      <c r="C1114" t="inlineStr">
        <is>
          <t>CYTOSORBENTS CORP</t>
        </is>
      </c>
      <c r="D1114" t="n">
        <v>3841</v>
      </c>
    </row>
    <row r="1115">
      <c r="A1115" t="inlineStr">
        <is>
          <t>CYXTERA TECHNOLOGIES, INC.</t>
        </is>
      </c>
      <c r="B1115" t="inlineStr">
        <is>
          <t>CYXT</t>
        </is>
      </c>
      <c r="C1115" t="inlineStr">
        <is>
          <t>CYXTERA TECHNOLOGIES, INC.</t>
        </is>
      </c>
      <c r="D1115" t="n">
        <v>7370</v>
      </c>
    </row>
    <row r="1116">
      <c r="A1116" t="inlineStr">
        <is>
          <t>DADA NEXUS LTD</t>
        </is>
      </c>
      <c r="B1116" t="inlineStr">
        <is>
          <t>DADA</t>
        </is>
      </c>
      <c r="C1116" t="inlineStr">
        <is>
          <t>DADA NEXUS LTD</t>
        </is>
      </c>
      <c r="D1116" t="n">
        <v>7370</v>
      </c>
    </row>
    <row r="1117">
      <c r="A1117" t="inlineStr">
        <is>
          <t>DAILY JOURNAL CORP</t>
        </is>
      </c>
      <c r="B1117" t="inlineStr">
        <is>
          <t>DJCO</t>
        </is>
      </c>
      <c r="C1117" t="inlineStr">
        <is>
          <t>DAILY JOURNAL CORP</t>
        </is>
      </c>
      <c r="D1117" t="n">
        <v>2711</v>
      </c>
    </row>
    <row r="1118">
      <c r="A1118" t="inlineStr">
        <is>
          <t>DAKTRONICS INC /SD/</t>
        </is>
      </c>
      <c r="B1118" t="inlineStr">
        <is>
          <t>DAKT</t>
        </is>
      </c>
      <c r="C1118" t="inlineStr">
        <is>
          <t>DAKTRONICS INC /SD/</t>
        </is>
      </c>
      <c r="D1118" t="n">
        <v>3990</v>
      </c>
    </row>
    <row r="1119">
      <c r="A1119" t="inlineStr">
        <is>
          <t>DALLASNEWS CORP</t>
        </is>
      </c>
      <c r="B1119" t="inlineStr">
        <is>
          <t>DALN</t>
        </is>
      </c>
      <c r="C1119" t="inlineStr">
        <is>
          <t>DALLASNEWS CORP</t>
        </is>
      </c>
      <c r="D1119" t="n">
        <v>2711</v>
      </c>
    </row>
    <row r="1120">
      <c r="A1120" t="inlineStr">
        <is>
          <t>DANA INC</t>
        </is>
      </c>
      <c r="B1120" t="inlineStr">
        <is>
          <t>DAN</t>
        </is>
      </c>
      <c r="C1120" t="inlineStr">
        <is>
          <t>DANA INC</t>
        </is>
      </c>
      <c r="D1120" t="n">
        <v>3714</v>
      </c>
    </row>
    <row r="1121">
      <c r="A1121" t="inlineStr">
        <is>
          <t>DANAHER CORP /DE/</t>
        </is>
      </c>
      <c r="B1121" t="inlineStr">
        <is>
          <t>DHR</t>
        </is>
      </c>
      <c r="C1121" t="inlineStr">
        <is>
          <t>DANAHER CORP /DE/</t>
        </is>
      </c>
      <c r="D1121" t="n">
        <v>3823</v>
      </c>
    </row>
    <row r="1122">
      <c r="A1122" t="inlineStr">
        <is>
          <t>DANAOS CORP</t>
        </is>
      </c>
      <c r="B1122" t="inlineStr">
        <is>
          <t>DAC</t>
        </is>
      </c>
      <c r="C1122" t="inlineStr">
        <is>
          <t>DANAOS CORP</t>
        </is>
      </c>
      <c r="D1122" t="n">
        <v>4412</v>
      </c>
    </row>
    <row r="1123">
      <c r="A1123" t="inlineStr">
        <is>
          <t>DANIMER SCIENTIFIC, INC.</t>
        </is>
      </c>
      <c r="B1123" t="inlineStr">
        <is>
          <t>DNMR</t>
        </is>
      </c>
      <c r="C1123" t="inlineStr">
        <is>
          <t>DANIMER SCIENTIFIC, INC.</t>
        </is>
      </c>
      <c r="D1123" t="n">
        <v>2821</v>
      </c>
    </row>
    <row r="1124">
      <c r="A1124" t="inlineStr">
        <is>
          <t>DAQO NEW ENERGY CORP.</t>
        </is>
      </c>
      <c r="B1124" t="inlineStr">
        <is>
          <t>DQ</t>
        </is>
      </c>
      <c r="C1124" t="inlineStr">
        <is>
          <t>DAQO NEW ENERGY CORP.</t>
        </is>
      </c>
      <c r="D1124" t="n">
        <v>3674</v>
      </c>
    </row>
    <row r="1125">
      <c r="A1125" t="inlineStr">
        <is>
          <t>DARDEN RESTAURANTS INC</t>
        </is>
      </c>
      <c r="B1125" t="inlineStr">
        <is>
          <t>DRI</t>
        </is>
      </c>
      <c r="C1125" t="inlineStr">
        <is>
          <t>DARDEN RESTAURANTS INC</t>
        </is>
      </c>
      <c r="D1125" t="n">
        <v>5812</v>
      </c>
    </row>
    <row r="1126">
      <c r="A1126" t="inlineStr">
        <is>
          <t>DARIOHEALTH CORP.</t>
        </is>
      </c>
      <c r="B1126" t="inlineStr">
        <is>
          <t>DRIO</t>
        </is>
      </c>
      <c r="C1126" t="inlineStr">
        <is>
          <t>DARIOHEALTH CORP.</t>
        </is>
      </c>
      <c r="D1126" t="n">
        <v>3841</v>
      </c>
    </row>
    <row r="1127">
      <c r="A1127" t="inlineStr">
        <is>
          <t>DARLING INGREDIENTS INC.</t>
        </is>
      </c>
      <c r="B1127" t="inlineStr">
        <is>
          <t>DAR</t>
        </is>
      </c>
      <c r="C1127" t="inlineStr">
        <is>
          <t>DARLING INGREDIENTS INC.</t>
        </is>
      </c>
      <c r="D1127" t="n">
        <v>2070</v>
      </c>
    </row>
    <row r="1128">
      <c r="A1128" t="inlineStr">
        <is>
          <t>DASEKE, INC.</t>
        </is>
      </c>
      <c r="B1128" t="inlineStr">
        <is>
          <t>DSKE</t>
        </is>
      </c>
      <c r="C1128" t="inlineStr">
        <is>
          <t>DASEKE, INC.</t>
        </is>
      </c>
      <c r="D1128" t="n">
        <v>4700</v>
      </c>
    </row>
    <row r="1129">
      <c r="A1129" t="inlineStr">
        <is>
          <t>DATA I/O CORP</t>
        </is>
      </c>
      <c r="B1129" t="inlineStr">
        <is>
          <t>DAIO</t>
        </is>
      </c>
      <c r="C1129" t="inlineStr">
        <is>
          <t>DATA I/O CORP</t>
        </is>
      </c>
      <c r="D1129" t="n">
        <v>3825</v>
      </c>
    </row>
    <row r="1130">
      <c r="A1130" t="inlineStr">
        <is>
          <t>DATADOG, INC.</t>
        </is>
      </c>
      <c r="B1130" t="inlineStr">
        <is>
          <t>DDOG</t>
        </is>
      </c>
      <c r="C1130" t="inlineStr">
        <is>
          <t>DATADOG, INC.</t>
        </is>
      </c>
      <c r="D1130" t="n">
        <v>7372</v>
      </c>
    </row>
    <row r="1131">
      <c r="A1131" t="inlineStr">
        <is>
          <t>DAVE &amp; BUSTER'S ENTERTAINMENT, INC.</t>
        </is>
      </c>
      <c r="B1131" t="inlineStr">
        <is>
          <t>PLAY</t>
        </is>
      </c>
      <c r="C1131" t="inlineStr">
        <is>
          <t>DAVE &amp; BUSTER'S ENTERTAINMENT, INC.</t>
        </is>
      </c>
      <c r="D1131" t="n">
        <v>5812</v>
      </c>
    </row>
    <row r="1132">
      <c r="A1132" t="inlineStr">
        <is>
          <t>DAVITA INC.</t>
        </is>
      </c>
      <c r="B1132" t="inlineStr">
        <is>
          <t>DVA</t>
        </is>
      </c>
      <c r="C1132" t="inlineStr">
        <is>
          <t>DAVITA INC.</t>
        </is>
      </c>
      <c r="D1132" t="n">
        <v>8090</v>
      </c>
    </row>
    <row r="1133">
      <c r="A1133" t="inlineStr">
        <is>
          <t>DAWSON GEOPHYSICAL CO</t>
        </is>
      </c>
      <c r="B1133" t="inlineStr">
        <is>
          <t>DWSN</t>
        </is>
      </c>
      <c r="C1133" t="inlineStr">
        <is>
          <t>DAWSON GEOPHYSICAL CO</t>
        </is>
      </c>
      <c r="D1133" t="n">
        <v>1382</v>
      </c>
    </row>
    <row r="1134">
      <c r="A1134" t="inlineStr">
        <is>
          <t>DBV TECHNOLOGIES S.A.</t>
        </is>
      </c>
      <c r="B1134" t="inlineStr">
        <is>
          <t>DBVT</t>
        </is>
      </c>
      <c r="C1134" t="inlineStr">
        <is>
          <t>DBV TECHNOLOGIES S.A.</t>
        </is>
      </c>
      <c r="D1134" t="n">
        <v>2836</v>
      </c>
    </row>
    <row r="1135">
      <c r="A1135" t="inlineStr">
        <is>
          <t>DCP MIDSTREAM, LP</t>
        </is>
      </c>
      <c r="B1135" t="inlineStr">
        <is>
          <t>DCP</t>
        </is>
      </c>
      <c r="C1135" t="inlineStr">
        <is>
          <t>DCP MIDSTREAM, LP</t>
        </is>
      </c>
      <c r="D1135" t="n">
        <v>4922</v>
      </c>
    </row>
    <row r="1136">
      <c r="A1136" t="inlineStr">
        <is>
          <t>DECIPHERA PHARMACEUTICALS, INC.</t>
        </is>
      </c>
      <c r="B1136" t="inlineStr">
        <is>
          <t>DCPH</t>
        </is>
      </c>
      <c r="C1136" t="inlineStr">
        <is>
          <t>DECIPHERA PHARMACEUTICALS, INC.</t>
        </is>
      </c>
      <c r="D1136" t="n">
        <v>2834</v>
      </c>
    </row>
    <row r="1137">
      <c r="A1137" t="inlineStr">
        <is>
          <t>DECISIONPOINT SYSTEMS, INC.</t>
        </is>
      </c>
      <c r="B1137" t="inlineStr">
        <is>
          <t>DPSI</t>
        </is>
      </c>
      <c r="C1137" t="inlineStr">
        <is>
          <t>DECISIONPOINT SYSTEMS, INC.</t>
        </is>
      </c>
      <c r="D1137" t="n">
        <v>7370</v>
      </c>
    </row>
    <row r="1138">
      <c r="A1138" t="inlineStr">
        <is>
          <t>DECKERS OUTDOOR CORP</t>
        </is>
      </c>
      <c r="B1138" t="inlineStr">
        <is>
          <t>DECK</t>
        </is>
      </c>
      <c r="C1138" t="inlineStr">
        <is>
          <t>DECKERS OUTDOOR CORP</t>
        </is>
      </c>
      <c r="D1138" t="n">
        <v>3021</v>
      </c>
    </row>
    <row r="1139">
      <c r="A1139" t="inlineStr">
        <is>
          <t>DEERE &amp; CO</t>
        </is>
      </c>
      <c r="B1139" t="inlineStr">
        <is>
          <t>DE</t>
        </is>
      </c>
      <c r="C1139" t="inlineStr">
        <is>
          <t>DEERE &amp; CO</t>
        </is>
      </c>
      <c r="D1139" t="n">
        <v>3523</v>
      </c>
    </row>
    <row r="1140">
      <c r="A1140" t="inlineStr">
        <is>
          <t>DEFINITIVE HEALTHCARE CORP.</t>
        </is>
      </c>
      <c r="B1140" t="inlineStr">
        <is>
          <t>DH</t>
        </is>
      </c>
      <c r="C1140" t="inlineStr">
        <is>
          <t>DEFINITIVE HEALTHCARE CORP.</t>
        </is>
      </c>
      <c r="D1140" t="n">
        <v>7372</v>
      </c>
    </row>
    <row r="1141">
      <c r="A1141" t="inlineStr">
        <is>
          <t>DELEK LOGISTICS PARTNERS, LP</t>
        </is>
      </c>
      <c r="B1141" t="inlineStr">
        <is>
          <t>DKL</t>
        </is>
      </c>
      <c r="C1141" t="inlineStr">
        <is>
          <t>DELEK LOGISTICS PARTNERS, LP</t>
        </is>
      </c>
      <c r="D1141" t="n">
        <v>4610</v>
      </c>
    </row>
    <row r="1142">
      <c r="A1142" t="inlineStr">
        <is>
          <t>DELEK US HOLDINGS, INC.</t>
        </is>
      </c>
      <c r="B1142" t="inlineStr">
        <is>
          <t>DK</t>
        </is>
      </c>
      <c r="C1142" t="inlineStr">
        <is>
          <t>DELEK US HOLDINGS, INC.</t>
        </is>
      </c>
      <c r="D1142" t="n">
        <v>2911</v>
      </c>
    </row>
    <row r="1143">
      <c r="A1143" t="inlineStr">
        <is>
          <t>DELL TECHNOLOGIES INC.</t>
        </is>
      </c>
      <c r="B1143" t="inlineStr">
        <is>
          <t>DELL</t>
        </is>
      </c>
      <c r="C1143" t="inlineStr">
        <is>
          <t>DELL TECHNOLOGIES INC.</t>
        </is>
      </c>
      <c r="D1143" t="n">
        <v>3571</v>
      </c>
    </row>
    <row r="1144">
      <c r="A1144" t="inlineStr">
        <is>
          <t>DELTA AIR LINES, INC.</t>
        </is>
      </c>
      <c r="B1144" t="inlineStr">
        <is>
          <t>DAL</t>
        </is>
      </c>
      <c r="C1144" t="inlineStr">
        <is>
          <t>DELTA AIR LINES, INC.</t>
        </is>
      </c>
      <c r="D1144" t="n">
        <v>4512</v>
      </c>
    </row>
    <row r="1145">
      <c r="A1145" t="inlineStr">
        <is>
          <t>DELTA APPAREL, INC</t>
        </is>
      </c>
      <c r="B1145" t="inlineStr">
        <is>
          <t>DLA</t>
        </is>
      </c>
      <c r="C1145" t="inlineStr">
        <is>
          <t>DELTA APPAREL, INC</t>
        </is>
      </c>
      <c r="D1145" t="n">
        <v>5130</v>
      </c>
    </row>
    <row r="1146">
      <c r="A1146" t="inlineStr">
        <is>
          <t>DELUXE CORP</t>
        </is>
      </c>
      <c r="B1146" t="inlineStr">
        <is>
          <t>DLX</t>
        </is>
      </c>
      <c r="C1146" t="inlineStr">
        <is>
          <t>DELUXE CORP</t>
        </is>
      </c>
      <c r="D1146" t="n">
        <v>2780</v>
      </c>
    </row>
    <row r="1147">
      <c r="A1147" t="inlineStr">
        <is>
          <t>DENALI THERAPEUTICS INC.</t>
        </is>
      </c>
      <c r="B1147" t="inlineStr">
        <is>
          <t>DNLI</t>
        </is>
      </c>
      <c r="C1147" t="inlineStr">
        <is>
          <t>DENALI THERAPEUTICS INC.</t>
        </is>
      </c>
      <c r="D1147" t="n">
        <v>2836</v>
      </c>
    </row>
    <row r="1148">
      <c r="A1148" t="inlineStr">
        <is>
          <t>DENNY'S CORP</t>
        </is>
      </c>
      <c r="B1148" t="inlineStr">
        <is>
          <t>DENN</t>
        </is>
      </c>
      <c r="C1148" t="inlineStr">
        <is>
          <t>DENNY'S CORP</t>
        </is>
      </c>
      <c r="D1148" t="n">
        <v>5812</v>
      </c>
    </row>
    <row r="1149">
      <c r="A1149" t="inlineStr">
        <is>
          <t>DENTSPLY SIRONA INC.</t>
        </is>
      </c>
      <c r="B1149" t="inlineStr">
        <is>
          <t>XRAY</t>
        </is>
      </c>
      <c r="C1149" t="inlineStr">
        <is>
          <t>DENTSPLY SIRONA INC.</t>
        </is>
      </c>
      <c r="D1149" t="n">
        <v>3843</v>
      </c>
    </row>
    <row r="1150">
      <c r="A1150" t="inlineStr">
        <is>
          <t>DERMTECH, INC.</t>
        </is>
      </c>
      <c r="B1150" t="inlineStr">
        <is>
          <t>DMTK</t>
        </is>
      </c>
      <c r="C1150" t="inlineStr">
        <is>
          <t>DERMTECH, INC.</t>
        </is>
      </c>
      <c r="D1150" t="n">
        <v>8071</v>
      </c>
    </row>
    <row r="1151">
      <c r="A1151" t="inlineStr">
        <is>
          <t>DESCARTES SYSTEMS GROUP INC</t>
        </is>
      </c>
      <c r="B1151" t="inlineStr">
        <is>
          <t>DSGX</t>
        </is>
      </c>
      <c r="C1151" t="inlineStr">
        <is>
          <t>DESCARTES SYSTEMS GROUP INC</t>
        </is>
      </c>
      <c r="D1151" t="n">
        <v>7372</v>
      </c>
    </row>
    <row r="1152">
      <c r="A1152" t="inlineStr">
        <is>
          <t>DESIGNER BRANDS INC.</t>
        </is>
      </c>
      <c r="B1152" t="inlineStr">
        <is>
          <t>DBI</t>
        </is>
      </c>
      <c r="C1152" t="inlineStr">
        <is>
          <t>DESIGNER BRANDS INC.</t>
        </is>
      </c>
      <c r="D1152" t="n">
        <v>5661</v>
      </c>
    </row>
    <row r="1153">
      <c r="A1153" t="inlineStr">
        <is>
          <t>DESKTOP METAL, INC.</t>
        </is>
      </c>
      <c r="B1153" t="inlineStr">
        <is>
          <t>DM</t>
        </is>
      </c>
      <c r="C1153" t="inlineStr">
        <is>
          <t>DESKTOP METAL, INC.</t>
        </is>
      </c>
      <c r="D1153" t="n">
        <v>3559</v>
      </c>
    </row>
    <row r="1154">
      <c r="A1154" t="inlineStr">
        <is>
          <t>DESPEGAR.COM, CORP.</t>
        </is>
      </c>
      <c r="B1154" t="inlineStr">
        <is>
          <t>DESP</t>
        </is>
      </c>
      <c r="C1154" t="inlineStr">
        <is>
          <t>DESPEGAR.COM, CORP.</t>
        </is>
      </c>
      <c r="D1154" t="n">
        <v>4700</v>
      </c>
    </row>
    <row r="1155">
      <c r="A1155" t="inlineStr">
        <is>
          <t>DESTINATION XL GROUP, INC.</t>
        </is>
      </c>
      <c r="B1155" t="inlineStr">
        <is>
          <t>DXLG</t>
        </is>
      </c>
      <c r="C1155" t="inlineStr">
        <is>
          <t>DESTINATION XL GROUP, INC.</t>
        </is>
      </c>
      <c r="D1155" t="n">
        <v>5651</v>
      </c>
    </row>
    <row r="1156">
      <c r="A1156" t="inlineStr">
        <is>
          <t>DESWELL INDUSTRIES INC</t>
        </is>
      </c>
      <c r="B1156" t="inlineStr">
        <is>
          <t>DSWL</t>
        </is>
      </c>
      <c r="C1156" t="inlineStr">
        <is>
          <t>DESWELL INDUSTRIES INC</t>
        </is>
      </c>
      <c r="D1156" t="n">
        <v>3089</v>
      </c>
    </row>
    <row r="1157">
      <c r="A1157" t="inlineStr">
        <is>
          <t>DEVON ENERGY CORP/DE</t>
        </is>
      </c>
      <c r="B1157" t="inlineStr">
        <is>
          <t>DVN</t>
        </is>
      </c>
      <c r="C1157" t="inlineStr">
        <is>
          <t>DEVON ENERGY CORP/DE</t>
        </is>
      </c>
      <c r="D1157" t="n">
        <v>1311</v>
      </c>
    </row>
    <row r="1158">
      <c r="A1158" t="inlineStr">
        <is>
          <t>DEXCOM INC</t>
        </is>
      </c>
      <c r="B1158" t="inlineStr">
        <is>
          <t>DXCM</t>
        </is>
      </c>
      <c r="C1158" t="inlineStr">
        <is>
          <t>DEXCOM INC</t>
        </is>
      </c>
      <c r="D1158" t="n">
        <v>3841</v>
      </c>
    </row>
    <row r="1159">
      <c r="A1159" t="inlineStr">
        <is>
          <t>DHI GROUP, INC.</t>
        </is>
      </c>
      <c r="B1159" t="inlineStr">
        <is>
          <t>DHX</t>
        </is>
      </c>
      <c r="C1159" t="inlineStr">
        <is>
          <t>DHI GROUP, INC.</t>
        </is>
      </c>
      <c r="D1159" t="n">
        <v>7389</v>
      </c>
    </row>
    <row r="1160">
      <c r="A1160" t="inlineStr">
        <is>
          <t>DIAMOND HILL INVESTMENT GROUP INC</t>
        </is>
      </c>
      <c r="B1160" t="inlineStr">
        <is>
          <t>DHIL</t>
        </is>
      </c>
      <c r="C1160" t="inlineStr">
        <is>
          <t>DIAMOND HILL INVESTMENT GROUP INC</t>
        </is>
      </c>
      <c r="D1160" t="n">
        <v>6282</v>
      </c>
    </row>
    <row r="1161">
      <c r="A1161" t="inlineStr">
        <is>
          <t>DIAMONDBACK ENERGY, INC.</t>
        </is>
      </c>
      <c r="B1161" t="inlineStr">
        <is>
          <t>FANG</t>
        </is>
      </c>
      <c r="C1161" t="inlineStr">
        <is>
          <t>DIAMONDBACK ENERGY, INC.</t>
        </is>
      </c>
      <c r="D1161" t="n">
        <v>1311</v>
      </c>
    </row>
    <row r="1162">
      <c r="A1162" t="inlineStr">
        <is>
          <t>DIAMONDROCK HOSPITALITY CO</t>
        </is>
      </c>
      <c r="B1162" t="inlineStr">
        <is>
          <t>DRH</t>
        </is>
      </c>
      <c r="C1162" t="inlineStr">
        <is>
          <t>DIAMONDROCK HOSPITALITY CO</t>
        </is>
      </c>
      <c r="D1162" t="n">
        <v>6798</v>
      </c>
    </row>
    <row r="1163">
      <c r="A1163" t="inlineStr">
        <is>
          <t>DIANA SHIPPING INC.</t>
        </is>
      </c>
      <c r="B1163" t="inlineStr">
        <is>
          <t>DSX</t>
        </is>
      </c>
      <c r="C1163" t="inlineStr">
        <is>
          <t>DIANA SHIPPING INC.</t>
        </is>
      </c>
      <c r="D1163" t="n">
        <v>4412</v>
      </c>
    </row>
    <row r="1164">
      <c r="A1164" t="inlineStr">
        <is>
          <t>DICE THERAPEUTICS, INC.</t>
        </is>
      </c>
      <c r="B1164" t="inlineStr">
        <is>
          <t>DICE</t>
        </is>
      </c>
      <c r="C1164" t="inlineStr">
        <is>
          <t>DICE THERAPEUTICS, INC.</t>
        </is>
      </c>
      <c r="D1164" t="n">
        <v>2834</v>
      </c>
    </row>
    <row r="1165">
      <c r="A1165" t="inlineStr">
        <is>
          <t>DICK'S SPORTING GOODS, INC.</t>
        </is>
      </c>
      <c r="B1165" t="inlineStr">
        <is>
          <t>DKS</t>
        </is>
      </c>
      <c r="C1165" t="inlineStr">
        <is>
          <t>DICK'S SPORTING GOODS, INC.</t>
        </is>
      </c>
      <c r="D1165" t="n">
        <v>5940</v>
      </c>
    </row>
    <row r="1166">
      <c r="A1166" t="inlineStr">
        <is>
          <t>DIEBOLD NIXDORF, INC</t>
        </is>
      </c>
      <c r="B1166" t="inlineStr">
        <is>
          <t>DBD</t>
        </is>
      </c>
      <c r="C1166" t="inlineStr">
        <is>
          <t>DIEBOLD NIXDORF, INC</t>
        </is>
      </c>
      <c r="D1166" t="n">
        <v>3578</v>
      </c>
    </row>
    <row r="1167">
      <c r="A1167" t="inlineStr">
        <is>
          <t>DIGI INTERNATIONAL INC</t>
        </is>
      </c>
      <c r="B1167" t="inlineStr">
        <is>
          <t>DGII</t>
        </is>
      </c>
      <c r="C1167" t="inlineStr">
        <is>
          <t>DIGI INTERNATIONAL INC</t>
        </is>
      </c>
      <c r="D1167" t="n">
        <v>3576</v>
      </c>
    </row>
    <row r="1168">
      <c r="A1168" t="inlineStr">
        <is>
          <t>DIGIMARC CORP</t>
        </is>
      </c>
      <c r="B1168" t="inlineStr">
        <is>
          <t>DMRC</t>
        </is>
      </c>
      <c r="C1168" t="inlineStr">
        <is>
          <t>DIGIMARC CORP</t>
        </is>
      </c>
      <c r="D1168" t="n">
        <v>7373</v>
      </c>
    </row>
    <row r="1169">
      <c r="A1169" t="inlineStr">
        <is>
          <t>DIGITAL ALLY INC</t>
        </is>
      </c>
      <c r="B1169" t="inlineStr">
        <is>
          <t>DGLY</t>
        </is>
      </c>
      <c r="C1169" t="inlineStr">
        <is>
          <t>DIGITAL ALLY INC</t>
        </is>
      </c>
      <c r="D1169" t="n">
        <v>3663</v>
      </c>
    </row>
    <row r="1170">
      <c r="A1170" t="inlineStr">
        <is>
          <t>DIGITAL MEDIA SOLUTIONS, INC.</t>
        </is>
      </c>
      <c r="B1170" t="inlineStr">
        <is>
          <t>DMS</t>
        </is>
      </c>
      <c r="C1170" t="inlineStr">
        <is>
          <t>DIGITAL MEDIA SOLUTIONS, INC.</t>
        </is>
      </c>
      <c r="D1170" t="n">
        <v>7389</v>
      </c>
    </row>
    <row r="1171">
      <c r="A1171" t="inlineStr">
        <is>
          <t>DIGITAL REALTY TRUST, INC.</t>
        </is>
      </c>
      <c r="B1171" t="inlineStr">
        <is>
          <t>DLR</t>
        </is>
      </c>
      <c r="C1171" t="inlineStr">
        <is>
          <t>DIGITAL REALTY TRUST, INC.</t>
        </is>
      </c>
      <c r="D1171" t="n">
        <v>6798</v>
      </c>
    </row>
    <row r="1172">
      <c r="A1172" t="inlineStr">
        <is>
          <t>DIGITAL TURBINE, INC.</t>
        </is>
      </c>
      <c r="B1172" t="inlineStr">
        <is>
          <t>APPS</t>
        </is>
      </c>
      <c r="C1172" t="inlineStr">
        <is>
          <t>DIGITAL TURBINE, INC.</t>
        </is>
      </c>
      <c r="D1172" t="n">
        <v>6794</v>
      </c>
    </row>
    <row r="1173">
      <c r="A1173" t="inlineStr">
        <is>
          <t>DIGITALBRIDGE GROUP, INC.</t>
        </is>
      </c>
      <c r="B1173" t="inlineStr">
        <is>
          <t>DBRG</t>
        </is>
      </c>
      <c r="C1173" t="inlineStr">
        <is>
          <t>DIGITALBRIDGE GROUP, INC.</t>
        </is>
      </c>
      <c r="D1173" t="n">
        <v>6798</v>
      </c>
    </row>
    <row r="1174">
      <c r="A1174" t="inlineStr">
        <is>
          <t>DIGITALOCEAN HOLDINGS, INC.</t>
        </is>
      </c>
      <c r="B1174" t="inlineStr">
        <is>
          <t>DOCN</t>
        </is>
      </c>
      <c r="C1174" t="inlineStr">
        <is>
          <t>DIGITALOCEAN HOLDINGS, INC.</t>
        </is>
      </c>
      <c r="D1174" t="n">
        <v>7370</v>
      </c>
    </row>
    <row r="1175">
      <c r="A1175" t="inlineStr">
        <is>
          <t>DILLARD'S, INC.</t>
        </is>
      </c>
      <c r="B1175" t="inlineStr">
        <is>
          <t>DDS</t>
        </is>
      </c>
      <c r="C1175" t="inlineStr">
        <is>
          <t>DILLARD'S, INC.</t>
        </is>
      </c>
      <c r="D1175" t="n">
        <v>5311</v>
      </c>
    </row>
    <row r="1176">
      <c r="A1176" t="inlineStr">
        <is>
          <t>DIME COMMUNITY BANCSHARES, INC. /NY/</t>
        </is>
      </c>
      <c r="B1176" t="inlineStr">
        <is>
          <t>DCOM</t>
        </is>
      </c>
      <c r="C1176" t="inlineStr">
        <is>
          <t>DIME COMMUNITY BANCSHARES, INC. /NY/</t>
        </is>
      </c>
      <c r="D1176" t="n">
        <v>6021</v>
      </c>
    </row>
    <row r="1177">
      <c r="A1177" t="inlineStr">
        <is>
          <t>DINE BRANDS GLOBAL, INC.</t>
        </is>
      </c>
      <c r="B1177" t="inlineStr">
        <is>
          <t>DIN</t>
        </is>
      </c>
      <c r="C1177" t="inlineStr">
        <is>
          <t>DINE BRANDS GLOBAL, INC.</t>
        </is>
      </c>
      <c r="D1177" t="n">
        <v>5812</v>
      </c>
    </row>
    <row r="1178">
      <c r="A1178" t="inlineStr">
        <is>
          <t>DIODES INC /DEL/</t>
        </is>
      </c>
      <c r="B1178" t="inlineStr">
        <is>
          <t>DIOD</t>
        </is>
      </c>
      <c r="C1178" t="inlineStr">
        <is>
          <t>DIODES INC /DEL/</t>
        </is>
      </c>
      <c r="D1178" t="n">
        <v>3674</v>
      </c>
    </row>
    <row r="1179">
      <c r="A1179" t="inlineStr">
        <is>
          <t>DIRTT ENVIRONMENTAL SOLUTIONS LTD</t>
        </is>
      </c>
      <c r="B1179" t="inlineStr">
        <is>
          <t>DRTT</t>
        </is>
      </c>
      <c r="C1179" t="inlineStr">
        <is>
          <t>DIRTT ENVIRONMENTAL SOLUTIONS LTD</t>
        </is>
      </c>
      <c r="D1179" t="n">
        <v>7372</v>
      </c>
    </row>
    <row r="1180">
      <c r="A1180" t="inlineStr">
        <is>
          <t>DISCOVER FINANCIAL SERVICES</t>
        </is>
      </c>
      <c r="B1180" t="inlineStr">
        <is>
          <t>DFS</t>
        </is>
      </c>
      <c r="C1180" t="inlineStr">
        <is>
          <t>DISCOVER FINANCIAL SERVICES</t>
        </is>
      </c>
      <c r="D1180" t="n">
        <v>6141</v>
      </c>
    </row>
    <row r="1181">
      <c r="A1181" t="inlineStr">
        <is>
          <t>DISH NETWORK CORP</t>
        </is>
      </c>
      <c r="B1181" t="inlineStr">
        <is>
          <t>DISH</t>
        </is>
      </c>
      <c r="C1181" t="inlineStr">
        <is>
          <t>DISH NETWORK CORP</t>
        </is>
      </c>
      <c r="D1181" t="n">
        <v>4841</v>
      </c>
    </row>
    <row r="1182">
      <c r="A1182" t="inlineStr">
        <is>
          <t>DIVERSEY HOLDINGS, LTD.</t>
        </is>
      </c>
      <c r="B1182" t="inlineStr">
        <is>
          <t>DSEY</t>
        </is>
      </c>
      <c r="C1182" t="inlineStr">
        <is>
          <t>DIVERSEY HOLDINGS, LTD.</t>
        </is>
      </c>
      <c r="D1182" t="n">
        <v>2842</v>
      </c>
    </row>
    <row r="1183">
      <c r="A1183" t="inlineStr">
        <is>
          <t>DIVERSIFIED HEALTHCARE TRUST</t>
        </is>
      </c>
      <c r="B1183" t="inlineStr">
        <is>
          <t>DHC</t>
        </is>
      </c>
      <c r="C1183" t="inlineStr">
        <is>
          <t>DIVERSIFIED HEALTHCARE TRUST</t>
        </is>
      </c>
      <c r="D1183" t="n">
        <v>6798</v>
      </c>
    </row>
    <row r="1184">
      <c r="A1184" t="inlineStr">
        <is>
          <t>DIXIE GROUP INC</t>
        </is>
      </c>
      <c r="B1184" t="inlineStr">
        <is>
          <t>DXYN</t>
        </is>
      </c>
      <c r="C1184" t="inlineStr">
        <is>
          <t>DIXIE GROUP INC</t>
        </is>
      </c>
      <c r="D1184" t="n">
        <v>2273</v>
      </c>
    </row>
    <row r="1185">
      <c r="A1185" t="inlineStr">
        <is>
          <t>DLH HOLDINGS CORP.</t>
        </is>
      </c>
      <c r="B1185" t="inlineStr">
        <is>
          <t>DLHC</t>
        </is>
      </c>
      <c r="C1185" t="inlineStr">
        <is>
          <t>DLH HOLDINGS CORP.</t>
        </is>
      </c>
      <c r="D1185" t="n">
        <v>7363</v>
      </c>
    </row>
    <row r="1186">
      <c r="A1186" t="inlineStr">
        <is>
          <t>DMC GLOBAL INC.</t>
        </is>
      </c>
      <c r="B1186" t="inlineStr">
        <is>
          <t>BOOM</t>
        </is>
      </c>
      <c r="C1186" t="inlineStr">
        <is>
          <t>DMC GLOBAL INC.</t>
        </is>
      </c>
      <c r="D1186" t="n">
        <v>3390</v>
      </c>
    </row>
    <row r="1187">
      <c r="A1187" t="inlineStr">
        <is>
          <t>DOCGO INC.</t>
        </is>
      </c>
      <c r="B1187" t="inlineStr">
        <is>
          <t>DCGO</t>
        </is>
      </c>
      <c r="C1187" t="inlineStr">
        <is>
          <t>DOCGO INC.</t>
        </is>
      </c>
      <c r="D1187" t="n">
        <v>4100</v>
      </c>
    </row>
    <row r="1188">
      <c r="A1188" t="inlineStr">
        <is>
          <t>DOCUSIGN, INC.</t>
        </is>
      </c>
      <c r="B1188" t="inlineStr">
        <is>
          <t>DOCU</t>
        </is>
      </c>
      <c r="C1188" t="inlineStr">
        <is>
          <t>DOCUSIGN, INC.</t>
        </is>
      </c>
      <c r="D1188" t="n">
        <v>7372</v>
      </c>
    </row>
    <row r="1189">
      <c r="A1189" t="inlineStr">
        <is>
          <t>DOGNESS (INTERNATIONAL) CORP</t>
        </is>
      </c>
      <c r="B1189" t="inlineStr">
        <is>
          <t>DOGZ</t>
        </is>
      </c>
      <c r="C1189" t="inlineStr">
        <is>
          <t>DOGNESS (INTERNATIONAL) CORP</t>
        </is>
      </c>
      <c r="D1189" t="n">
        <v>3990</v>
      </c>
    </row>
    <row r="1190">
      <c r="A1190" t="inlineStr">
        <is>
          <t>DOLBY LABORATORIES, INC.</t>
        </is>
      </c>
      <c r="B1190" t="inlineStr">
        <is>
          <t>DLB</t>
        </is>
      </c>
      <c r="C1190" t="inlineStr">
        <is>
          <t>DOLBY LABORATORIES, INC.</t>
        </is>
      </c>
      <c r="D1190" t="n">
        <v>6794</v>
      </c>
    </row>
    <row r="1191">
      <c r="A1191" t="inlineStr">
        <is>
          <t>DOLE PLC</t>
        </is>
      </c>
      <c r="B1191" t="inlineStr">
        <is>
          <t>DOLE</t>
        </is>
      </c>
      <c r="C1191" t="inlineStr">
        <is>
          <t>DOLE PLC</t>
        </is>
      </c>
      <c r="D1191" t="n">
        <v>100</v>
      </c>
    </row>
    <row r="1192">
      <c r="A1192" t="inlineStr">
        <is>
          <t>DOLLAR GENERAL CORP</t>
        </is>
      </c>
      <c r="B1192" t="inlineStr">
        <is>
          <t>DG</t>
        </is>
      </c>
      <c r="C1192" t="inlineStr">
        <is>
          <t>DOLLAR GENERAL CORP</t>
        </is>
      </c>
      <c r="D1192" t="n">
        <v>5331</v>
      </c>
    </row>
    <row r="1193">
      <c r="A1193" t="inlineStr">
        <is>
          <t>DOLLAR TREE, INC.</t>
        </is>
      </c>
      <c r="B1193" t="inlineStr">
        <is>
          <t>DLTR</t>
        </is>
      </c>
      <c r="C1193" t="inlineStr">
        <is>
          <t>DOLLAR TREE, INC.</t>
        </is>
      </c>
      <c r="D1193" t="n">
        <v>5331</v>
      </c>
    </row>
    <row r="1194">
      <c r="A1194" t="inlineStr">
        <is>
          <t>DOLPHIN ENTERTAINMENT, INC.</t>
        </is>
      </c>
      <c r="B1194" t="inlineStr">
        <is>
          <t>DLPN</t>
        </is>
      </c>
      <c r="C1194" t="inlineStr">
        <is>
          <t>DOLPHIN ENTERTAINMENT, INC.</t>
        </is>
      </c>
      <c r="D1194" t="n">
        <v>7200</v>
      </c>
    </row>
    <row r="1195">
      <c r="A1195" t="inlineStr">
        <is>
          <t>DOMA HOLDINGS, INC.</t>
        </is>
      </c>
      <c r="B1195" t="inlineStr">
        <is>
          <t>DOMA</t>
        </is>
      </c>
      <c r="C1195" t="inlineStr">
        <is>
          <t>DOMA HOLDINGS, INC.</t>
        </is>
      </c>
      <c r="D1195" t="n">
        <v>6361</v>
      </c>
    </row>
    <row r="1196">
      <c r="A1196" t="inlineStr">
        <is>
          <t>DOMINION ENERGY, INC</t>
        </is>
      </c>
      <c r="B1196" t="inlineStr">
        <is>
          <t>D</t>
        </is>
      </c>
      <c r="C1196" t="inlineStr">
        <is>
          <t>DOMINION ENERGY, INC</t>
        </is>
      </c>
      <c r="D1196" t="n">
        <v>4911</v>
      </c>
    </row>
    <row r="1197">
      <c r="A1197" t="inlineStr">
        <is>
          <t>DOMINOS PIZZA INC</t>
        </is>
      </c>
      <c r="B1197" t="inlineStr">
        <is>
          <t>DPZ</t>
        </is>
      </c>
      <c r="C1197" t="inlineStr">
        <is>
          <t>DOMINOS PIZZA INC</t>
        </is>
      </c>
      <c r="D1197" t="n">
        <v>5140</v>
      </c>
    </row>
    <row r="1198">
      <c r="A1198" t="inlineStr">
        <is>
          <t>DOMO, INC.</t>
        </is>
      </c>
      <c r="B1198" t="inlineStr">
        <is>
          <t>DOMO</t>
        </is>
      </c>
      <c r="C1198" t="inlineStr">
        <is>
          <t>DOMO, INC.</t>
        </is>
      </c>
      <c r="D1198" t="n">
        <v>7372</v>
      </c>
    </row>
    <row r="1199">
      <c r="A1199" t="inlineStr">
        <is>
          <t>DONALDSON CO INC</t>
        </is>
      </c>
      <c r="B1199" t="inlineStr">
        <is>
          <t>DCI</t>
        </is>
      </c>
      <c r="C1199" t="inlineStr">
        <is>
          <t>DONALDSON CO INC</t>
        </is>
      </c>
      <c r="D1199" t="n">
        <v>3564</v>
      </c>
    </row>
    <row r="1200">
      <c r="A1200" t="inlineStr">
        <is>
          <t>DONEGAL GROUP INC</t>
        </is>
      </c>
      <c r="B1200" t="inlineStr">
        <is>
          <t>DGICA</t>
        </is>
      </c>
      <c r="C1200" t="inlineStr">
        <is>
          <t>DONEGAL GROUP INC</t>
        </is>
      </c>
      <c r="D1200" t="n">
        <v>6331</v>
      </c>
    </row>
    <row r="1201">
      <c r="A1201" t="inlineStr">
        <is>
          <t>DONNELLEY FINANCIAL SOLUTIONS, INC.</t>
        </is>
      </c>
      <c r="B1201" t="inlineStr">
        <is>
          <t>DFIN</t>
        </is>
      </c>
      <c r="C1201" t="inlineStr">
        <is>
          <t>DONNELLEY FINANCIAL SOLUTIONS, INC.</t>
        </is>
      </c>
      <c r="D1201" t="n">
        <v>7380</v>
      </c>
    </row>
    <row r="1202">
      <c r="A1202" t="inlineStr">
        <is>
          <t>DOORDASH, INC.</t>
        </is>
      </c>
      <c r="B1202" t="inlineStr">
        <is>
          <t>DASH</t>
        </is>
      </c>
      <c r="C1202" t="inlineStr">
        <is>
          <t>DOORDASH, INC.</t>
        </is>
      </c>
      <c r="D1202" t="n">
        <v>7389</v>
      </c>
    </row>
    <row r="1203">
      <c r="A1203" t="inlineStr">
        <is>
          <t>DORCHESTER MINERALS, L.P.</t>
        </is>
      </c>
      <c r="B1203" t="inlineStr">
        <is>
          <t>DMLP</t>
        </is>
      </c>
      <c r="C1203" t="inlineStr">
        <is>
          <t>DORCHESTER MINERALS, L.P.</t>
        </is>
      </c>
      <c r="D1203" t="n">
        <v>1311</v>
      </c>
    </row>
    <row r="1204">
      <c r="A1204" t="inlineStr">
        <is>
          <t>DORIAN LPG LTD.</t>
        </is>
      </c>
      <c r="B1204" t="inlineStr">
        <is>
          <t>LPG</t>
        </is>
      </c>
      <c r="C1204" t="inlineStr">
        <is>
          <t>DORIAN LPG LTD.</t>
        </is>
      </c>
      <c r="D1204" t="n">
        <v>4412</v>
      </c>
    </row>
    <row r="1205">
      <c r="A1205" t="inlineStr">
        <is>
          <t>DORMAN PRODUCTS, INC.</t>
        </is>
      </c>
      <c r="B1205" t="inlineStr">
        <is>
          <t>DORM</t>
        </is>
      </c>
      <c r="C1205" t="inlineStr">
        <is>
          <t>DORMAN PRODUCTS, INC.</t>
        </is>
      </c>
      <c r="D1205" t="n">
        <v>3714</v>
      </c>
    </row>
    <row r="1206">
      <c r="A1206" t="inlineStr">
        <is>
          <t>DOUBLEDOWN INTERACTIVE CO., LTD.</t>
        </is>
      </c>
      <c r="B1206" t="inlineStr">
        <is>
          <t>DDI</t>
        </is>
      </c>
      <c r="C1206" t="inlineStr">
        <is>
          <t>DOUBLEDOWN INTERACTIVE CO., LTD.</t>
        </is>
      </c>
      <c r="D1206" t="n">
        <v>7374</v>
      </c>
    </row>
    <row r="1207">
      <c r="A1207" t="inlineStr">
        <is>
          <t>DOUBLEVERIFY HOLDINGS, INC.</t>
        </is>
      </c>
      <c r="B1207" t="inlineStr">
        <is>
          <t>DV</t>
        </is>
      </c>
      <c r="C1207" t="inlineStr">
        <is>
          <t>DOUBLEVERIFY HOLDINGS, INC.</t>
        </is>
      </c>
      <c r="D1207" t="n">
        <v>7370</v>
      </c>
    </row>
    <row r="1208">
      <c r="A1208" t="inlineStr">
        <is>
          <t>DOUGLAS DYNAMICS, INC</t>
        </is>
      </c>
      <c r="B1208" t="inlineStr">
        <is>
          <t>PLOW</t>
        </is>
      </c>
      <c r="C1208" t="inlineStr">
        <is>
          <t>DOUGLAS DYNAMICS, INC</t>
        </is>
      </c>
      <c r="D1208" t="n">
        <v>3531</v>
      </c>
    </row>
    <row r="1209">
      <c r="A1209" t="inlineStr">
        <is>
          <t>DOUGLAS ELLIMAN INC.</t>
        </is>
      </c>
      <c r="B1209" t="inlineStr">
        <is>
          <t>DOUG</t>
        </is>
      </c>
      <c r="C1209" t="inlineStr">
        <is>
          <t>DOUGLAS ELLIMAN INC.</t>
        </is>
      </c>
      <c r="D1209" t="n">
        <v>6531</v>
      </c>
    </row>
    <row r="1210">
      <c r="A1210" t="inlineStr">
        <is>
          <t>DOUGLAS EMMETT INC</t>
        </is>
      </c>
      <c r="B1210" t="inlineStr">
        <is>
          <t>DEI</t>
        </is>
      </c>
      <c r="C1210" t="inlineStr">
        <is>
          <t>DOUGLAS EMMETT INC</t>
        </is>
      </c>
      <c r="D1210" t="n">
        <v>6798</v>
      </c>
    </row>
    <row r="1211">
      <c r="A1211" t="inlineStr">
        <is>
          <t>DOUYU INTERNATIONAL HOLDINGS LTD</t>
        </is>
      </c>
      <c r="B1211" t="inlineStr">
        <is>
          <t>DOYU</t>
        </is>
      </c>
      <c r="C1211" t="inlineStr">
        <is>
          <t>DOUYU INTERNATIONAL HOLDINGS LTD</t>
        </is>
      </c>
      <c r="D1211" t="n">
        <v>7370</v>
      </c>
    </row>
    <row r="1212">
      <c r="A1212" t="inlineStr">
        <is>
          <t>DOVER CORP</t>
        </is>
      </c>
      <c r="B1212" t="inlineStr">
        <is>
          <t>DOV</t>
        </is>
      </c>
      <c r="C1212" t="inlineStr">
        <is>
          <t>DOVER CORP</t>
        </is>
      </c>
      <c r="D1212" t="n">
        <v>3530</v>
      </c>
    </row>
    <row r="1213">
      <c r="A1213" t="inlineStr">
        <is>
          <t>DOW INC.</t>
        </is>
      </c>
      <c r="B1213" t="inlineStr">
        <is>
          <t>DOW</t>
        </is>
      </c>
      <c r="C1213" t="inlineStr">
        <is>
          <t>DOW INC.</t>
        </is>
      </c>
      <c r="D1213" t="n">
        <v>2821</v>
      </c>
    </row>
    <row r="1214">
      <c r="A1214" t="inlineStr">
        <is>
          <t>DOXIMITY, INC.</t>
        </is>
      </c>
      <c r="B1214" t="inlineStr">
        <is>
          <t>DOCS</t>
        </is>
      </c>
      <c r="C1214" t="inlineStr">
        <is>
          <t>DOXIMITY, INC.</t>
        </is>
      </c>
      <c r="D1214" t="n">
        <v>7371</v>
      </c>
    </row>
    <row r="1215">
      <c r="A1215" t="inlineStr">
        <is>
          <t>DREAM FINDERS HOMES, INC.</t>
        </is>
      </c>
      <c r="B1215" t="inlineStr">
        <is>
          <t>DFH</t>
        </is>
      </c>
      <c r="C1215" t="inlineStr">
        <is>
          <t>DREAM FINDERS HOMES, INC.</t>
        </is>
      </c>
      <c r="D1215" t="n">
        <v>1531</v>
      </c>
    </row>
    <row r="1216">
      <c r="A1216" t="inlineStr">
        <is>
          <t>DRIL-QUIP INC</t>
        </is>
      </c>
      <c r="B1216" t="inlineStr">
        <is>
          <t>DRQ</t>
        </is>
      </c>
      <c r="C1216" t="inlineStr">
        <is>
          <t>DRIL-QUIP INC</t>
        </is>
      </c>
      <c r="D1216" t="n">
        <v>3533</v>
      </c>
    </row>
    <row r="1217">
      <c r="A1217" t="inlineStr">
        <is>
          <t>DRIVE SHACK INC.</t>
        </is>
      </c>
      <c r="B1217" t="inlineStr">
        <is>
          <t>DS</t>
        </is>
      </c>
      <c r="C1217" t="inlineStr">
        <is>
          <t>DRIVE SHACK INC.</t>
        </is>
      </c>
      <c r="D1217" t="n">
        <v>5810</v>
      </c>
    </row>
    <row r="1218">
      <c r="A1218" t="inlineStr">
        <is>
          <t>DRIVEN BRANDS HOLDINGS INC.</t>
        </is>
      </c>
      <c r="B1218" t="inlineStr">
        <is>
          <t>DRVN</t>
        </is>
      </c>
      <c r="C1218" t="inlineStr">
        <is>
          <t>DRIVEN BRANDS HOLDINGS INC.</t>
        </is>
      </c>
      <c r="D1218" t="n">
        <v>7500</v>
      </c>
    </row>
    <row r="1219">
      <c r="A1219" t="inlineStr">
        <is>
          <t>DROPBOX, INC.</t>
        </is>
      </c>
      <c r="B1219" t="inlineStr">
        <is>
          <t>DBX</t>
        </is>
      </c>
      <c r="C1219" t="inlineStr">
        <is>
          <t>DROPBOX, INC.</t>
        </is>
      </c>
      <c r="D1219" t="n">
        <v>7372</v>
      </c>
    </row>
    <row r="1220">
      <c r="A1220" t="inlineStr">
        <is>
          <t>DSS, INC.</t>
        </is>
      </c>
      <c r="B1220" t="inlineStr">
        <is>
          <t>DSS</t>
        </is>
      </c>
      <c r="C1220" t="inlineStr">
        <is>
          <t>DSS, INC.</t>
        </is>
      </c>
      <c r="D1220" t="n">
        <v>2650</v>
      </c>
    </row>
    <row r="1221">
      <c r="A1221" t="inlineStr">
        <is>
          <t>DT MIDSTREAM, INC.</t>
        </is>
      </c>
      <c r="B1221" t="inlineStr">
        <is>
          <t>DTM</t>
        </is>
      </c>
      <c r="C1221" t="inlineStr">
        <is>
          <t>DT MIDSTREAM, INC.</t>
        </is>
      </c>
      <c r="D1221" t="n">
        <v>4922</v>
      </c>
    </row>
    <row r="1222">
      <c r="A1222" t="inlineStr">
        <is>
          <t>DTE ENERGY CO</t>
        </is>
      </c>
      <c r="B1222" t="inlineStr">
        <is>
          <t>DTE</t>
        </is>
      </c>
      <c r="C1222" t="inlineStr">
        <is>
          <t>DTE ENERGY CO</t>
        </is>
      </c>
      <c r="D1222" t="n">
        <v>4911</v>
      </c>
    </row>
    <row r="1223">
      <c r="A1223" t="inlineStr">
        <is>
          <t>DUCK CREEK TECHNOLOGIES, INC.</t>
        </is>
      </c>
      <c r="B1223" t="inlineStr">
        <is>
          <t>DCT</t>
        </is>
      </c>
      <c r="C1223" t="inlineStr">
        <is>
          <t>DUCK CREEK TECHNOLOGIES, INC.</t>
        </is>
      </c>
      <c r="D1223" t="n">
        <v>7372</v>
      </c>
    </row>
    <row r="1224">
      <c r="A1224" t="inlineStr">
        <is>
          <t>DUCKHORN PORTFOLIO, INC.</t>
        </is>
      </c>
      <c r="B1224" t="inlineStr">
        <is>
          <t>NAPA</t>
        </is>
      </c>
      <c r="C1224" t="inlineStr">
        <is>
          <t>DUCKHORN PORTFOLIO, INC.</t>
        </is>
      </c>
      <c r="D1224" t="n">
        <v>2080</v>
      </c>
    </row>
    <row r="1225">
      <c r="A1225" t="inlineStr">
        <is>
          <t>DUCOMMUN INC /DE/</t>
        </is>
      </c>
      <c r="B1225" t="inlineStr">
        <is>
          <t>DCO</t>
        </is>
      </c>
      <c r="C1225" t="inlineStr">
        <is>
          <t>DUCOMMUN INC /DE/</t>
        </is>
      </c>
      <c r="D1225" t="n">
        <v>3728</v>
      </c>
    </row>
    <row r="1226">
      <c r="A1226" t="inlineStr">
        <is>
          <t>DUKE ENERGY CORP</t>
        </is>
      </c>
      <c r="B1226" t="inlineStr">
        <is>
          <t>DUK</t>
        </is>
      </c>
      <c r="C1226" t="inlineStr">
        <is>
          <t>DUKE ENERGY CORP</t>
        </is>
      </c>
      <c r="D1226" t="n">
        <v>4931</v>
      </c>
    </row>
    <row r="1227">
      <c r="A1227" t="inlineStr">
        <is>
          <t>DUKE REALTY CORP</t>
        </is>
      </c>
      <c r="B1227" t="inlineStr">
        <is>
          <t>DRE</t>
        </is>
      </c>
      <c r="C1227" t="inlineStr">
        <is>
          <t>DUKE REALTY CORP</t>
        </is>
      </c>
      <c r="D1227" t="n">
        <v>6798</v>
      </c>
    </row>
    <row r="1228">
      <c r="A1228" t="inlineStr">
        <is>
          <t>DULUTH HOLDINGS INC.</t>
        </is>
      </c>
      <c r="B1228" t="inlineStr">
        <is>
          <t>DLTH</t>
        </is>
      </c>
      <c r="C1228" t="inlineStr">
        <is>
          <t>DULUTH HOLDINGS INC.</t>
        </is>
      </c>
      <c r="D1228" t="n">
        <v>5600</v>
      </c>
    </row>
    <row r="1229">
      <c r="A1229" t="inlineStr">
        <is>
          <t>DUN &amp; BRADSTREET HOLDINGS, INC.</t>
        </is>
      </c>
      <c r="B1229" t="inlineStr">
        <is>
          <t>DNB</t>
        </is>
      </c>
      <c r="C1229" t="inlineStr">
        <is>
          <t>DUN &amp; BRADSTREET HOLDINGS, INC.</t>
        </is>
      </c>
      <c r="D1229" t="n">
        <v>7320</v>
      </c>
    </row>
    <row r="1230">
      <c r="A1230" t="inlineStr">
        <is>
          <t>DUOLINGO, INC.</t>
        </is>
      </c>
      <c r="B1230" t="inlineStr">
        <is>
          <t>DUOL</t>
        </is>
      </c>
      <c r="C1230" t="inlineStr">
        <is>
          <t>DUOLINGO, INC.</t>
        </is>
      </c>
      <c r="D1230" t="n">
        <v>7372</v>
      </c>
    </row>
    <row r="1231">
      <c r="A1231" t="inlineStr">
        <is>
          <t>DUPONT DE NEMOURS, INC.</t>
        </is>
      </c>
      <c r="B1231" t="inlineStr">
        <is>
          <t>DD</t>
        </is>
      </c>
      <c r="C1231" t="inlineStr">
        <is>
          <t>DUPONT DE NEMOURS, INC.</t>
        </is>
      </c>
      <c r="D1231" t="n">
        <v>2821</v>
      </c>
    </row>
    <row r="1232">
      <c r="A1232" t="inlineStr">
        <is>
          <t>DURECT CORP</t>
        </is>
      </c>
      <c r="B1232" t="inlineStr">
        <is>
          <t>DRRX</t>
        </is>
      </c>
      <c r="C1232" t="inlineStr">
        <is>
          <t>DURECT CORP</t>
        </is>
      </c>
      <c r="D1232" t="n">
        <v>2834</v>
      </c>
    </row>
    <row r="1233">
      <c r="A1233" t="inlineStr">
        <is>
          <t>DUTCH BROS INC.</t>
        </is>
      </c>
      <c r="B1233" t="inlineStr">
        <is>
          <t>BROS</t>
        </is>
      </c>
      <c r="C1233" t="inlineStr">
        <is>
          <t>DUTCH BROS INC.</t>
        </is>
      </c>
      <c r="D1233" t="n">
        <v>5810</v>
      </c>
    </row>
    <row r="1234">
      <c r="A1234" t="inlineStr">
        <is>
          <t>DXC TECHNOLOGY CO</t>
        </is>
      </c>
      <c r="B1234" t="inlineStr">
        <is>
          <t>DXC</t>
        </is>
      </c>
      <c r="C1234" t="inlineStr">
        <is>
          <t>DXC TECHNOLOGY CO</t>
        </is>
      </c>
      <c r="D1234" t="n">
        <v>7374</v>
      </c>
    </row>
    <row r="1235">
      <c r="A1235" t="inlineStr">
        <is>
          <t>DXP ENTERPRISES INC</t>
        </is>
      </c>
      <c r="B1235" t="inlineStr">
        <is>
          <t>DXPE</t>
        </is>
      </c>
      <c r="C1235" t="inlineStr">
        <is>
          <t>DXP ENTERPRISES INC</t>
        </is>
      </c>
      <c r="D1235" t="n">
        <v>5084</v>
      </c>
    </row>
    <row r="1236">
      <c r="A1236" t="inlineStr">
        <is>
          <t>DYADIC INTERNATIONAL INC</t>
        </is>
      </c>
      <c r="B1236" t="inlineStr">
        <is>
          <t>DYAI</t>
        </is>
      </c>
      <c r="C1236" t="inlineStr">
        <is>
          <t>DYADIC INTERNATIONAL INC</t>
        </is>
      </c>
      <c r="D1236" t="n">
        <v>2836</v>
      </c>
    </row>
    <row r="1237">
      <c r="A1237" t="inlineStr">
        <is>
          <t>DYCOM INDUSTRIES INC</t>
        </is>
      </c>
      <c r="B1237" t="inlineStr">
        <is>
          <t>DY</t>
        </is>
      </c>
      <c r="C1237" t="inlineStr">
        <is>
          <t>DYCOM INDUSTRIES INC</t>
        </is>
      </c>
      <c r="D1237" t="n">
        <v>1623</v>
      </c>
    </row>
    <row r="1238">
      <c r="A1238" t="inlineStr">
        <is>
          <t>DYNAGAS LNG PARTNERS LP</t>
        </is>
      </c>
      <c r="B1238" t="inlineStr">
        <is>
          <t>DLNG</t>
        </is>
      </c>
      <c r="C1238" t="inlineStr">
        <is>
          <t>DYNAGAS LNG PARTNERS LP</t>
        </is>
      </c>
      <c r="D1238" t="n">
        <v>4400</v>
      </c>
    </row>
    <row r="1239">
      <c r="A1239" t="inlineStr">
        <is>
          <t>DYNARESOURCE INC</t>
        </is>
      </c>
      <c r="B1239" t="inlineStr">
        <is>
          <t>DYNR</t>
        </is>
      </c>
      <c r="C1239" t="inlineStr">
        <is>
          <t>DYNARESOURCE INC</t>
        </is>
      </c>
      <c r="D1239" t="n">
        <v>1000</v>
      </c>
    </row>
    <row r="1240">
      <c r="A1240" t="inlineStr">
        <is>
          <t>DYNATRACE, INC.</t>
        </is>
      </c>
      <c r="B1240" t="inlineStr">
        <is>
          <t>DT</t>
        </is>
      </c>
      <c r="C1240" t="inlineStr">
        <is>
          <t>DYNATRACE, INC.</t>
        </is>
      </c>
      <c r="D1240" t="n">
        <v>7372</v>
      </c>
    </row>
    <row r="1241">
      <c r="A1241" t="inlineStr">
        <is>
          <t>DYNATRONICS CORP</t>
        </is>
      </c>
      <c r="B1241" t="inlineStr">
        <is>
          <t>DYNT</t>
        </is>
      </c>
      <c r="C1241" t="inlineStr">
        <is>
          <t>DYNATRONICS CORP</t>
        </is>
      </c>
      <c r="D1241" t="n">
        <v>3841</v>
      </c>
    </row>
    <row r="1242">
      <c r="A1242" t="inlineStr">
        <is>
          <t>DYNAVAX TECHNOLOGIES CORP</t>
        </is>
      </c>
      <c r="B1242" t="inlineStr">
        <is>
          <t>DVAX</t>
        </is>
      </c>
      <c r="C1242" t="inlineStr">
        <is>
          <t>DYNAVAX TECHNOLOGIES CORP</t>
        </is>
      </c>
      <c r="D1242" t="n">
        <v>2834</v>
      </c>
    </row>
    <row r="1243">
      <c r="A1243" t="inlineStr">
        <is>
          <t>DYNEX CAPITAL INC</t>
        </is>
      </c>
      <c r="B1243" t="inlineStr">
        <is>
          <t>DX</t>
        </is>
      </c>
      <c r="C1243" t="inlineStr">
        <is>
          <t>DYNEX CAPITAL INC</t>
        </is>
      </c>
      <c r="D1243" t="n">
        <v>6798</v>
      </c>
    </row>
    <row r="1244">
      <c r="A1244" t="inlineStr">
        <is>
          <t>DZS INC.</t>
        </is>
      </c>
      <c r="B1244" t="inlineStr">
        <is>
          <t>DZSI</t>
        </is>
      </c>
      <c r="C1244" t="inlineStr">
        <is>
          <t>DZS INC.</t>
        </is>
      </c>
      <c r="D1244" t="n">
        <v>3661</v>
      </c>
    </row>
    <row r="1245">
      <c r="A1245" t="inlineStr">
        <is>
          <t>E.L.F. BEAUTY, INC.</t>
        </is>
      </c>
      <c r="B1245" t="inlineStr">
        <is>
          <t>ELF</t>
        </is>
      </c>
      <c r="C1245" t="inlineStr">
        <is>
          <t>E.L.F. BEAUTY, INC.</t>
        </is>
      </c>
      <c r="D1245" t="n">
        <v>2844</v>
      </c>
    </row>
    <row r="1246">
      <c r="A1246" t="inlineStr">
        <is>
          <t>E.W. SCRIPPS CO</t>
        </is>
      </c>
      <c r="B1246" t="inlineStr">
        <is>
          <t>SSP</t>
        </is>
      </c>
      <c r="C1246" t="inlineStr">
        <is>
          <t>E.W. SCRIPPS CO</t>
        </is>
      </c>
      <c r="D1246" t="n">
        <v>4833</v>
      </c>
    </row>
    <row r="1247">
      <c r="A1247" t="inlineStr">
        <is>
          <t>EACO CORP</t>
        </is>
      </c>
      <c r="B1247" t="inlineStr">
        <is>
          <t>EACO</t>
        </is>
      </c>
      <c r="C1247" t="inlineStr">
        <is>
          <t>EACO CORP</t>
        </is>
      </c>
      <c r="D1247" t="n">
        <v>5065</v>
      </c>
    </row>
    <row r="1248">
      <c r="A1248" t="inlineStr">
        <is>
          <t>EAGLE BANCORP INC</t>
        </is>
      </c>
      <c r="B1248" t="inlineStr">
        <is>
          <t>EGBN</t>
        </is>
      </c>
      <c r="C1248" t="inlineStr">
        <is>
          <t>EAGLE BANCORP INC</t>
        </is>
      </c>
      <c r="D1248" t="n">
        <v>6022</v>
      </c>
    </row>
    <row r="1249">
      <c r="A1249" t="inlineStr">
        <is>
          <t>EAGLE BANCORP MONTANA, INC.</t>
        </is>
      </c>
      <c r="B1249" t="inlineStr">
        <is>
          <t>EBMT</t>
        </is>
      </c>
      <c r="C1249" t="inlineStr">
        <is>
          <t>EAGLE BANCORP MONTANA, INC.</t>
        </is>
      </c>
      <c r="D1249" t="n">
        <v>6022</v>
      </c>
    </row>
    <row r="1250">
      <c r="A1250" t="inlineStr">
        <is>
          <t>EAGLE BULK SHIPPING INC.</t>
        </is>
      </c>
      <c r="B1250" t="inlineStr">
        <is>
          <t>EGLE</t>
        </is>
      </c>
      <c r="C1250" t="inlineStr">
        <is>
          <t>EAGLE BULK SHIPPING INC.</t>
        </is>
      </c>
      <c r="D1250" t="n">
        <v>4412</v>
      </c>
    </row>
    <row r="1251">
      <c r="A1251" t="inlineStr">
        <is>
          <t>EAGLE FINANCIAL SERVICES INC</t>
        </is>
      </c>
      <c r="B1251" t="inlineStr">
        <is>
          <t>EFSI</t>
        </is>
      </c>
      <c r="C1251" t="inlineStr">
        <is>
          <t>EAGLE FINANCIAL SERVICES INC</t>
        </is>
      </c>
      <c r="D1251" t="n">
        <v>6022</v>
      </c>
    </row>
    <row r="1252">
      <c r="A1252" t="inlineStr">
        <is>
          <t>EAGLE MATERIALS INC</t>
        </is>
      </c>
      <c r="B1252" t="inlineStr">
        <is>
          <t>EXP</t>
        </is>
      </c>
      <c r="C1252" t="inlineStr">
        <is>
          <t>EAGLE MATERIALS INC</t>
        </is>
      </c>
      <c r="D1252" t="n">
        <v>3241</v>
      </c>
    </row>
    <row r="1253">
      <c r="A1253" t="inlineStr">
        <is>
          <t>EAGLE PHARMACEUTICALS, INC.</t>
        </is>
      </c>
      <c r="B1253" t="inlineStr">
        <is>
          <t>EGRX</t>
        </is>
      </c>
      <c r="C1253" t="inlineStr">
        <is>
          <t>EAGLE PHARMACEUTICALS, INC.</t>
        </is>
      </c>
      <c r="D1253" t="n">
        <v>2834</v>
      </c>
    </row>
    <row r="1254">
      <c r="A1254" t="inlineStr">
        <is>
          <t>EARGO, INC.</t>
        </is>
      </c>
      <c r="B1254" t="inlineStr">
        <is>
          <t>EAR</t>
        </is>
      </c>
      <c r="C1254" t="inlineStr">
        <is>
          <t>EARGO, INC.</t>
        </is>
      </c>
      <c r="D1254" t="n">
        <v>3842</v>
      </c>
    </row>
    <row r="1255">
      <c r="A1255" t="inlineStr">
        <is>
          <t>EARTHSTONE ENERGY INC</t>
        </is>
      </c>
      <c r="B1255" t="inlineStr">
        <is>
          <t>ESTE</t>
        </is>
      </c>
      <c r="C1255" t="inlineStr">
        <is>
          <t>EARTHSTONE ENERGY INC</t>
        </is>
      </c>
      <c r="D1255" t="n">
        <v>1311</v>
      </c>
    </row>
    <row r="1256">
      <c r="A1256" t="inlineStr">
        <is>
          <t>EAST WEST BANCORP INC</t>
        </is>
      </c>
      <c r="B1256" t="inlineStr">
        <is>
          <t>EWBC</t>
        </is>
      </c>
      <c r="C1256" t="inlineStr">
        <is>
          <t>EAST WEST BANCORP INC</t>
        </is>
      </c>
      <c r="D1256" t="n">
        <v>6022</v>
      </c>
    </row>
    <row r="1257">
      <c r="A1257" t="inlineStr">
        <is>
          <t>EASTERLY GOVERNMENT PROPERTIES, INC.</t>
        </is>
      </c>
      <c r="B1257" t="inlineStr">
        <is>
          <t>DEA</t>
        </is>
      </c>
      <c r="C1257" t="inlineStr">
        <is>
          <t>EASTERLY GOVERNMENT PROPERTIES, INC.</t>
        </is>
      </c>
      <c r="D1257" t="n">
        <v>6798</v>
      </c>
    </row>
    <row r="1258">
      <c r="A1258" t="inlineStr">
        <is>
          <t>EASTERN BANKSHARES, INC.</t>
        </is>
      </c>
      <c r="B1258" t="inlineStr">
        <is>
          <t>EBC</t>
        </is>
      </c>
      <c r="C1258" t="inlineStr">
        <is>
          <t>EASTERN BANKSHARES, INC.</t>
        </is>
      </c>
      <c r="D1258" t="n">
        <v>6035</v>
      </c>
    </row>
    <row r="1259">
      <c r="A1259" t="inlineStr">
        <is>
          <t>EASTERN CO</t>
        </is>
      </c>
      <c r="B1259" t="inlineStr">
        <is>
          <t>EML</t>
        </is>
      </c>
      <c r="C1259" t="inlineStr">
        <is>
          <t>EASTERN CO</t>
        </is>
      </c>
      <c r="D1259" t="n">
        <v>3420</v>
      </c>
    </row>
    <row r="1260">
      <c r="A1260" t="inlineStr">
        <is>
          <t>EASTGROUP PROPERTIES INC</t>
        </is>
      </c>
      <c r="B1260" t="inlineStr">
        <is>
          <t>EGP</t>
        </is>
      </c>
      <c r="C1260" t="inlineStr">
        <is>
          <t>EASTGROUP PROPERTIES INC</t>
        </is>
      </c>
      <c r="D1260" t="n">
        <v>6798</v>
      </c>
    </row>
    <row r="1261">
      <c r="A1261" t="inlineStr">
        <is>
          <t>EASTMAN CHEMICAL CO</t>
        </is>
      </c>
      <c r="B1261" t="inlineStr">
        <is>
          <t>EMN</t>
        </is>
      </c>
      <c r="C1261" t="inlineStr">
        <is>
          <t>EASTMAN CHEMICAL CO</t>
        </is>
      </c>
      <c r="D1261" t="n">
        <v>2821</v>
      </c>
    </row>
    <row r="1262">
      <c r="A1262" t="inlineStr">
        <is>
          <t>EASTMAN KODAK CO</t>
        </is>
      </c>
      <c r="B1262" t="inlineStr">
        <is>
          <t>KODK</t>
        </is>
      </c>
      <c r="C1262" t="inlineStr">
        <is>
          <t>EASTMAN KODAK CO</t>
        </is>
      </c>
      <c r="D1262" t="n">
        <v>3861</v>
      </c>
    </row>
    <row r="1263">
      <c r="A1263" t="inlineStr">
        <is>
          <t>EASTSIDE DISTILLING, INC.</t>
        </is>
      </c>
      <c r="B1263" t="inlineStr">
        <is>
          <t>EAST</t>
        </is>
      </c>
      <c r="C1263" t="inlineStr">
        <is>
          <t>EASTSIDE DISTILLING, INC.</t>
        </is>
      </c>
      <c r="D1263" t="n">
        <v>2080</v>
      </c>
    </row>
    <row r="1264">
      <c r="A1264" t="inlineStr">
        <is>
          <t>EATON CORP PLC</t>
        </is>
      </c>
      <c r="B1264" t="inlineStr">
        <is>
          <t>ETN</t>
        </is>
      </c>
      <c r="C1264" t="inlineStr">
        <is>
          <t>EATON CORP PLC</t>
        </is>
      </c>
      <c r="D1264" t="n">
        <v>3590</v>
      </c>
    </row>
    <row r="1265">
      <c r="A1265" t="inlineStr">
        <is>
          <t>EBANG INTERNATIONAL HOLDINGS INC.</t>
        </is>
      </c>
      <c r="B1265" t="inlineStr">
        <is>
          <t>EBON</t>
        </is>
      </c>
      <c r="C1265" t="inlineStr">
        <is>
          <t>EBANG INTERNATIONAL HOLDINGS INC.</t>
        </is>
      </c>
      <c r="D1265" t="n">
        <v>3674</v>
      </c>
    </row>
    <row r="1266">
      <c r="A1266" t="inlineStr">
        <is>
          <t>EBAY INC</t>
        </is>
      </c>
      <c r="B1266" t="inlineStr">
        <is>
          <t>EBAY</t>
        </is>
      </c>
      <c r="C1266" t="inlineStr">
        <is>
          <t>EBAY INC</t>
        </is>
      </c>
      <c r="D1266" t="n">
        <v>7389</v>
      </c>
    </row>
    <row r="1267">
      <c r="A1267" t="inlineStr">
        <is>
          <t>EBIX INC</t>
        </is>
      </c>
      <c r="B1267" t="inlineStr">
        <is>
          <t>EBIX</t>
        </is>
      </c>
      <c r="C1267" t="inlineStr">
        <is>
          <t>EBIX INC</t>
        </is>
      </c>
      <c r="D1267" t="n">
        <v>7373</v>
      </c>
    </row>
    <row r="1268">
      <c r="A1268" t="inlineStr">
        <is>
          <t>ECHOSTAR CORP</t>
        </is>
      </c>
      <c r="B1268" t="inlineStr">
        <is>
          <t>SATS</t>
        </is>
      </c>
      <c r="C1268" t="inlineStr">
        <is>
          <t>ECHOSTAR CORP</t>
        </is>
      </c>
      <c r="D1268" t="n">
        <v>4899</v>
      </c>
    </row>
    <row r="1269">
      <c r="A1269" t="inlineStr">
        <is>
          <t>ECOARK HOLDINGS, INC.</t>
        </is>
      </c>
      <c r="B1269" t="inlineStr">
        <is>
          <t>ZEST</t>
        </is>
      </c>
      <c r="C1269" t="inlineStr">
        <is>
          <t>ECOARK HOLDINGS, INC.</t>
        </is>
      </c>
      <c r="D1269" t="n">
        <v>1311</v>
      </c>
    </row>
    <row r="1270">
      <c r="A1270" t="inlineStr">
        <is>
          <t>ECOLAB INC.</t>
        </is>
      </c>
      <c r="B1270" t="inlineStr">
        <is>
          <t>ECL</t>
        </is>
      </c>
      <c r="C1270" t="inlineStr">
        <is>
          <t>ECOLAB INC.</t>
        </is>
      </c>
      <c r="D1270" t="n">
        <v>2840</v>
      </c>
    </row>
    <row r="1271">
      <c r="A1271" t="inlineStr">
        <is>
          <t>ECOVYST INC.</t>
        </is>
      </c>
      <c r="B1271" t="inlineStr">
        <is>
          <t>ECVT</t>
        </is>
      </c>
      <c r="C1271" t="inlineStr">
        <is>
          <t>ECOVYST INC.</t>
        </is>
      </c>
      <c r="D1271" t="n">
        <v>2800</v>
      </c>
    </row>
    <row r="1272">
      <c r="A1272" t="inlineStr">
        <is>
          <t>EDGEWELL PERSONAL CARE CO</t>
        </is>
      </c>
      <c r="B1272" t="inlineStr">
        <is>
          <t>EPC</t>
        </is>
      </c>
      <c r="C1272" t="inlineStr">
        <is>
          <t>EDGEWELL PERSONAL CARE CO</t>
        </is>
      </c>
      <c r="D1272" t="n">
        <v>2844</v>
      </c>
    </row>
    <row r="1273">
      <c r="A1273" t="inlineStr">
        <is>
          <t>EDISON INTERNATIONAL</t>
        </is>
      </c>
      <c r="B1273" t="inlineStr">
        <is>
          <t>EIX</t>
        </is>
      </c>
      <c r="C1273" t="inlineStr">
        <is>
          <t>EDISON INTERNATIONAL</t>
        </is>
      </c>
      <c r="D1273" t="n">
        <v>4911</v>
      </c>
    </row>
    <row r="1274">
      <c r="A1274" t="inlineStr">
        <is>
          <t>EDITAS MEDICINE, INC.</t>
        </is>
      </c>
      <c r="B1274" t="inlineStr">
        <is>
          <t>EDIT</t>
        </is>
      </c>
      <c r="C1274" t="inlineStr">
        <is>
          <t>EDITAS MEDICINE, INC.</t>
        </is>
      </c>
      <c r="D1274" t="n">
        <v>2836</v>
      </c>
    </row>
    <row r="1275">
      <c r="A1275" t="inlineStr">
        <is>
          <t>EDUCATIONAL DEVELOPMENT CORP</t>
        </is>
      </c>
      <c r="B1275" t="inlineStr">
        <is>
          <t>EDUC</t>
        </is>
      </c>
      <c r="C1275" t="inlineStr">
        <is>
          <t>EDUCATIONAL DEVELOPMENT CORP</t>
        </is>
      </c>
      <c r="D1275" t="n">
        <v>5190</v>
      </c>
    </row>
    <row r="1276">
      <c r="A1276" t="inlineStr">
        <is>
          <t>EDWARDS LIFESCIENCES CORP</t>
        </is>
      </c>
      <c r="B1276" t="inlineStr">
        <is>
          <t>EW</t>
        </is>
      </c>
      <c r="C1276" t="inlineStr">
        <is>
          <t>EDWARDS LIFESCIENCES CORP</t>
        </is>
      </c>
      <c r="D1276" t="n">
        <v>3842</v>
      </c>
    </row>
    <row r="1277">
      <c r="A1277" t="inlineStr">
        <is>
          <t>EFFECTOR THERAPEUTICS, INC.</t>
        </is>
      </c>
      <c r="B1277" t="inlineStr">
        <is>
          <t>EFTR</t>
        </is>
      </c>
      <c r="C1277" t="inlineStr">
        <is>
          <t>EFFECTOR THERAPEUTICS, INC.</t>
        </is>
      </c>
      <c r="D1277" t="n">
        <v>2834</v>
      </c>
    </row>
    <row r="1278">
      <c r="A1278" t="inlineStr">
        <is>
          <t>EGAIN CORP</t>
        </is>
      </c>
      <c r="B1278" t="inlineStr">
        <is>
          <t>EGAN</t>
        </is>
      </c>
      <c r="C1278" t="inlineStr">
        <is>
          <t>EGAIN CORP</t>
        </is>
      </c>
      <c r="D1278" t="n">
        <v>7372</v>
      </c>
    </row>
    <row r="1279">
      <c r="A1279" t="inlineStr">
        <is>
          <t>EHANG HOLDINGS LTD</t>
        </is>
      </c>
      <c r="B1279" t="inlineStr">
        <is>
          <t>EH</t>
        </is>
      </c>
      <c r="C1279" t="inlineStr">
        <is>
          <t>EHANG HOLDINGS LTD</t>
        </is>
      </c>
      <c r="D1279" t="n">
        <v>3728</v>
      </c>
    </row>
    <row r="1280">
      <c r="A1280" t="inlineStr">
        <is>
          <t>EHEALTH, INC.</t>
        </is>
      </c>
      <c r="B1280" t="inlineStr">
        <is>
          <t>EHTH</t>
        </is>
      </c>
      <c r="C1280" t="inlineStr">
        <is>
          <t>EHEALTH, INC.</t>
        </is>
      </c>
      <c r="D1280" t="n">
        <v>6411</v>
      </c>
    </row>
    <row r="1281">
      <c r="A1281" t="inlineStr">
        <is>
          <t>EKSO BIONICS HOLDINGS, INC.</t>
        </is>
      </c>
      <c r="B1281" t="inlineStr">
        <is>
          <t>EKSO</t>
        </is>
      </c>
      <c r="C1281" t="inlineStr">
        <is>
          <t>EKSO BIONICS HOLDINGS, INC.</t>
        </is>
      </c>
      <c r="D1281" t="n">
        <v>3569</v>
      </c>
    </row>
    <row r="1282">
      <c r="A1282" t="inlineStr">
        <is>
          <t>EL POLLO LOCO HOLDINGS, INC.</t>
        </is>
      </c>
      <c r="B1282" t="inlineStr">
        <is>
          <t>LOCO</t>
        </is>
      </c>
      <c r="C1282" t="inlineStr">
        <is>
          <t>EL POLLO LOCO HOLDINGS, INC.</t>
        </is>
      </c>
      <c r="D1282" t="n">
        <v>5812</v>
      </c>
    </row>
    <row r="1283">
      <c r="A1283" t="inlineStr">
        <is>
          <t>ELANCO ANIMAL HEALTH INC</t>
        </is>
      </c>
      <c r="B1283" t="inlineStr">
        <is>
          <t>ELAN</t>
        </is>
      </c>
      <c r="C1283" t="inlineStr">
        <is>
          <t>ELANCO ANIMAL HEALTH INC</t>
        </is>
      </c>
      <c r="D1283" t="n">
        <v>2834</v>
      </c>
    </row>
    <row r="1284">
      <c r="A1284" t="inlineStr">
        <is>
          <t>ELASTIC N.V.</t>
        </is>
      </c>
      <c r="B1284" t="inlineStr">
        <is>
          <t>ESTC</t>
        </is>
      </c>
      <c r="C1284" t="inlineStr">
        <is>
          <t>ELASTIC N.V.</t>
        </is>
      </c>
      <c r="D1284" t="n">
        <v>7372</v>
      </c>
    </row>
    <row r="1285">
      <c r="A1285" t="inlineStr">
        <is>
          <t>ELBIT SYSTEMS LTD</t>
        </is>
      </c>
      <c r="B1285" t="inlineStr">
        <is>
          <t>ESLT</t>
        </is>
      </c>
      <c r="C1285" t="inlineStr">
        <is>
          <t>ELBIT SYSTEMS LTD</t>
        </is>
      </c>
      <c r="D1285" t="n">
        <v>3728</v>
      </c>
    </row>
    <row r="1286">
      <c r="A1286" t="inlineStr">
        <is>
          <t>ELECTRO SENSORS INC</t>
        </is>
      </c>
      <c r="B1286" t="inlineStr">
        <is>
          <t>ELSE</t>
        </is>
      </c>
      <c r="C1286" t="inlineStr">
        <is>
          <t>ELECTRO SENSORS INC</t>
        </is>
      </c>
      <c r="D1286" t="n">
        <v>3823</v>
      </c>
    </row>
    <row r="1287">
      <c r="A1287" t="inlineStr">
        <is>
          <t>ELECTROCORE, INC.</t>
        </is>
      </c>
      <c r="B1287" t="inlineStr">
        <is>
          <t>ECOR</t>
        </is>
      </c>
      <c r="C1287" t="inlineStr">
        <is>
          <t>ELECTROCORE, INC.</t>
        </is>
      </c>
      <c r="D1287" t="n">
        <v>3845</v>
      </c>
    </row>
    <row r="1288">
      <c r="A1288" t="inlineStr">
        <is>
          <t>ELECTROMED, INC.</t>
        </is>
      </c>
      <c r="B1288" t="inlineStr">
        <is>
          <t>ELMD</t>
        </is>
      </c>
      <c r="C1288" t="inlineStr">
        <is>
          <t>ELECTROMED, INC.</t>
        </is>
      </c>
      <c r="D1288" t="n">
        <v>3845</v>
      </c>
    </row>
    <row r="1289">
      <c r="A1289" t="inlineStr">
        <is>
          <t>ELECTRONIC ARTS INC.</t>
        </is>
      </c>
      <c r="B1289" t="inlineStr">
        <is>
          <t>EA</t>
        </is>
      </c>
      <c r="C1289" t="inlineStr">
        <is>
          <t>ELECTRONIC ARTS INC.</t>
        </is>
      </c>
      <c r="D1289" t="n">
        <v>7372</v>
      </c>
    </row>
    <row r="1290">
      <c r="A1290" t="inlineStr">
        <is>
          <t>ELEMENT SOLUTIONS INC</t>
        </is>
      </c>
      <c r="B1290" t="inlineStr">
        <is>
          <t>ESI</t>
        </is>
      </c>
      <c r="C1290" t="inlineStr">
        <is>
          <t>ELEMENT SOLUTIONS INC</t>
        </is>
      </c>
      <c r="D1290" t="n">
        <v>2890</v>
      </c>
    </row>
    <row r="1291">
      <c r="A1291" t="inlineStr">
        <is>
          <t>ELEVATE CREDIT, INC.</t>
        </is>
      </c>
      <c r="B1291" t="inlineStr">
        <is>
          <t>ELVT</t>
        </is>
      </c>
      <c r="C1291" t="inlineStr">
        <is>
          <t>ELEVATE CREDIT, INC.</t>
        </is>
      </c>
      <c r="D1291" t="n">
        <v>6199</v>
      </c>
    </row>
    <row r="1292">
      <c r="A1292" t="inlineStr">
        <is>
          <t>ELI LILLY &amp; CO</t>
        </is>
      </c>
      <c r="B1292" t="inlineStr">
        <is>
          <t>LLY</t>
        </is>
      </c>
      <c r="C1292" t="inlineStr">
        <is>
          <t>ELI LILLY &amp; CO</t>
        </is>
      </c>
      <c r="D1292" t="n">
        <v>2834</v>
      </c>
    </row>
    <row r="1293">
      <c r="A1293" t="inlineStr">
        <is>
          <t>ELITE EDUCATION GROUP INTERNATIONAL LTD</t>
        </is>
      </c>
      <c r="B1293" t="inlineStr">
        <is>
          <t>EEIQ</t>
        </is>
      </c>
      <c r="C1293" t="inlineStr">
        <is>
          <t>ELITE EDUCATION GROUP INTERNATIONAL LTD</t>
        </is>
      </c>
      <c r="D1293" t="n">
        <v>8200</v>
      </c>
    </row>
    <row r="1294">
      <c r="A1294" t="inlineStr">
        <is>
          <t>ELITE PHARMACEUTICALS INC /NV/</t>
        </is>
      </c>
      <c r="B1294" t="inlineStr">
        <is>
          <t>ELTP</t>
        </is>
      </c>
      <c r="C1294" t="inlineStr">
        <is>
          <t>ELITE PHARMACEUTICALS INC /NV/</t>
        </is>
      </c>
      <c r="D1294" t="n">
        <v>2834</v>
      </c>
    </row>
    <row r="1295">
      <c r="A1295" t="inlineStr">
        <is>
          <t>ELLINGTON FINANCIAL INC.</t>
        </is>
      </c>
      <c r="B1295" t="inlineStr">
        <is>
          <t>EFC</t>
        </is>
      </c>
      <c r="C1295" t="inlineStr">
        <is>
          <t>ELLINGTON FINANCIAL INC.</t>
        </is>
      </c>
      <c r="D1295" t="n">
        <v>6500</v>
      </c>
    </row>
    <row r="1296">
      <c r="A1296" t="inlineStr">
        <is>
          <t>ELLINGTON RESIDENTIAL MORTGAGE REIT</t>
        </is>
      </c>
      <c r="B1296" t="inlineStr">
        <is>
          <t>EARN</t>
        </is>
      </c>
      <c r="C1296" t="inlineStr">
        <is>
          <t>ELLINGTON RESIDENTIAL MORTGAGE REIT</t>
        </is>
      </c>
      <c r="D1296" t="n">
        <v>6798</v>
      </c>
    </row>
    <row r="1297">
      <c r="A1297" t="inlineStr">
        <is>
          <t>ELTEK LTD</t>
        </is>
      </c>
      <c r="B1297" t="inlineStr">
        <is>
          <t>ELTK</t>
        </is>
      </c>
      <c r="C1297" t="inlineStr">
        <is>
          <t>ELTEK LTD</t>
        </is>
      </c>
      <c r="D1297" t="n">
        <v>3672</v>
      </c>
    </row>
    <row r="1298">
      <c r="A1298" t="inlineStr">
        <is>
          <t>ELYS GAME TECHNOLOGY, CORP.</t>
        </is>
      </c>
      <c r="B1298" t="inlineStr">
        <is>
          <t>ELYS</t>
        </is>
      </c>
      <c r="C1298" t="inlineStr">
        <is>
          <t>ELYS GAME TECHNOLOGY, CORP.</t>
        </is>
      </c>
      <c r="D1298" t="n">
        <v>7372</v>
      </c>
    </row>
    <row r="1299">
      <c r="A1299" t="inlineStr">
        <is>
          <t>EMAGIN CORP</t>
        </is>
      </c>
      <c r="B1299" t="inlineStr">
        <is>
          <t>EMAN</t>
        </is>
      </c>
      <c r="C1299" t="inlineStr">
        <is>
          <t>EMAGIN CORP</t>
        </is>
      </c>
      <c r="D1299" t="n">
        <v>3674</v>
      </c>
    </row>
    <row r="1300">
      <c r="A1300" t="inlineStr">
        <is>
          <t>EMBASSY BANCORP, INC.</t>
        </is>
      </c>
      <c r="B1300" t="inlineStr">
        <is>
          <t>EMYB</t>
        </is>
      </c>
      <c r="C1300" t="inlineStr">
        <is>
          <t>EMBASSY BANCORP, INC.</t>
        </is>
      </c>
      <c r="D1300" t="n">
        <v>6022</v>
      </c>
    </row>
    <row r="1301">
      <c r="A1301" t="inlineStr">
        <is>
          <t>EMCLAIRE FINANCIAL CORP</t>
        </is>
      </c>
      <c r="B1301" t="inlineStr">
        <is>
          <t>EMCF</t>
        </is>
      </c>
      <c r="C1301" t="inlineStr">
        <is>
          <t>EMCLAIRE FINANCIAL CORP</t>
        </is>
      </c>
      <c r="D1301" t="n">
        <v>6021</v>
      </c>
    </row>
    <row r="1302">
      <c r="A1302" t="inlineStr">
        <is>
          <t>EMCOR GROUP, INC.</t>
        </is>
      </c>
      <c r="B1302" t="inlineStr">
        <is>
          <t>EME</t>
        </is>
      </c>
      <c r="C1302" t="inlineStr">
        <is>
          <t>EMCOR GROUP, INC.</t>
        </is>
      </c>
      <c r="D1302" t="n">
        <v>1731</v>
      </c>
    </row>
    <row r="1303">
      <c r="A1303" t="inlineStr">
        <is>
          <t>EMCORE CORP</t>
        </is>
      </c>
      <c r="B1303" t="inlineStr">
        <is>
          <t>EMKR</t>
        </is>
      </c>
      <c r="C1303" t="inlineStr">
        <is>
          <t>EMCORE CORP</t>
        </is>
      </c>
      <c r="D1303" t="n">
        <v>3674</v>
      </c>
    </row>
    <row r="1304">
      <c r="A1304" t="inlineStr">
        <is>
          <t>EMERALD HOLDING, INC.</t>
        </is>
      </c>
      <c r="B1304" t="inlineStr">
        <is>
          <t>EEX</t>
        </is>
      </c>
      <c r="C1304" t="inlineStr">
        <is>
          <t>EMERALD HOLDING, INC.</t>
        </is>
      </c>
      <c r="D1304" t="n">
        <v>7389</v>
      </c>
    </row>
    <row r="1305">
      <c r="A1305" t="inlineStr">
        <is>
          <t>EMERGENT BIOSOLUTIONS INC.</t>
        </is>
      </c>
      <c r="B1305" t="inlineStr">
        <is>
          <t>EBS</t>
        </is>
      </c>
      <c r="C1305" t="inlineStr">
        <is>
          <t>EMERGENT BIOSOLUTIONS INC.</t>
        </is>
      </c>
      <c r="D1305" t="n">
        <v>2834</v>
      </c>
    </row>
    <row r="1306">
      <c r="A1306" t="inlineStr">
        <is>
          <t>EMERSON ELECTRIC CO</t>
        </is>
      </c>
      <c r="B1306" t="inlineStr">
        <is>
          <t>EMR</t>
        </is>
      </c>
      <c r="C1306" t="inlineStr">
        <is>
          <t>EMERSON ELECTRIC CO</t>
        </is>
      </c>
      <c r="D1306" t="n">
        <v>3600</v>
      </c>
    </row>
    <row r="1307">
      <c r="A1307" t="inlineStr">
        <is>
          <t>EMERSON RADIO CORP</t>
        </is>
      </c>
      <c r="B1307" t="inlineStr">
        <is>
          <t>MSN</t>
        </is>
      </c>
      <c r="C1307" t="inlineStr">
        <is>
          <t>EMERSON RADIO CORP</t>
        </is>
      </c>
      <c r="D1307" t="n">
        <v>3651</v>
      </c>
    </row>
    <row r="1308">
      <c r="A1308" t="inlineStr">
        <is>
          <t>EMMAUS LIFE SCIENCES, INC.</t>
        </is>
      </c>
      <c r="B1308" t="inlineStr">
        <is>
          <t>EMMA</t>
        </is>
      </c>
      <c r="C1308" t="inlineStr">
        <is>
          <t>EMMAUS LIFE SCIENCES, INC.</t>
        </is>
      </c>
      <c r="D1308" t="n">
        <v>2834</v>
      </c>
    </row>
    <row r="1309">
      <c r="A1309" t="inlineStr">
        <is>
          <t>EMPIRE STATE REALTY OP, L.P.</t>
        </is>
      </c>
      <c r="B1309" t="inlineStr">
        <is>
          <t>ESBA</t>
        </is>
      </c>
      <c r="C1309" t="inlineStr">
        <is>
          <t>EMPIRE STATE REALTY OP, L.P.</t>
        </is>
      </c>
      <c r="D1309" t="n">
        <v>6798</v>
      </c>
    </row>
    <row r="1310">
      <c r="A1310" t="inlineStr">
        <is>
          <t>EMPIRE STATE REALTY TRUST, INC.</t>
        </is>
      </c>
      <c r="B1310" t="inlineStr">
        <is>
          <t>ESRT</t>
        </is>
      </c>
      <c r="C1310" t="inlineStr">
        <is>
          <t>EMPIRE STATE REALTY TRUST, INC.</t>
        </is>
      </c>
      <c r="D1310" t="n">
        <v>6798</v>
      </c>
    </row>
    <row r="1311">
      <c r="A1311" t="inlineStr">
        <is>
          <t>EMPLOYERS HOLDINGS, INC.</t>
        </is>
      </c>
      <c r="B1311" t="inlineStr">
        <is>
          <t>EIG</t>
        </is>
      </c>
      <c r="C1311" t="inlineStr">
        <is>
          <t>EMPLOYERS HOLDINGS, INC.</t>
        </is>
      </c>
      <c r="D1311" t="n">
        <v>6331</v>
      </c>
    </row>
    <row r="1312">
      <c r="A1312" t="inlineStr">
        <is>
          <t>ENACT HOLDINGS, INC.</t>
        </is>
      </c>
      <c r="B1312" t="inlineStr">
        <is>
          <t>ACT</t>
        </is>
      </c>
      <c r="C1312" t="inlineStr">
        <is>
          <t>ENACT HOLDINGS, INC.</t>
        </is>
      </c>
      <c r="D1312" t="n">
        <v>6411</v>
      </c>
    </row>
    <row r="1313">
      <c r="A1313" t="inlineStr">
        <is>
          <t>ENANTA PHARMACEUTICALS INC</t>
        </is>
      </c>
      <c r="B1313" t="inlineStr">
        <is>
          <t>ENTA</t>
        </is>
      </c>
      <c r="C1313" t="inlineStr">
        <is>
          <t>ENANTA PHARMACEUTICALS INC</t>
        </is>
      </c>
      <c r="D1313" t="n">
        <v>2834</v>
      </c>
    </row>
    <row r="1314">
      <c r="A1314" t="inlineStr">
        <is>
          <t>ENB FINANCIAL CORP</t>
        </is>
      </c>
      <c r="B1314" t="inlineStr">
        <is>
          <t>ENBP</t>
        </is>
      </c>
      <c r="C1314" t="inlineStr">
        <is>
          <t>ENB FINANCIAL CORP</t>
        </is>
      </c>
      <c r="D1314" t="n">
        <v>6021</v>
      </c>
    </row>
    <row r="1315">
      <c r="A1315" t="inlineStr">
        <is>
          <t>ENCOMPASS HEALTH CORP</t>
        </is>
      </c>
      <c r="B1315" t="inlineStr">
        <is>
          <t>EHC</t>
        </is>
      </c>
      <c r="C1315" t="inlineStr">
        <is>
          <t>ENCOMPASS HEALTH CORP</t>
        </is>
      </c>
      <c r="D1315" t="n">
        <v>8060</v>
      </c>
    </row>
    <row r="1316">
      <c r="A1316" t="inlineStr">
        <is>
          <t>ENCORE CAPITAL GROUP INC</t>
        </is>
      </c>
      <c r="B1316" t="inlineStr">
        <is>
          <t>ECPG</t>
        </is>
      </c>
      <c r="C1316" t="inlineStr">
        <is>
          <t>ENCORE CAPITAL GROUP INC</t>
        </is>
      </c>
      <c r="D1316" t="n">
        <v>6153</v>
      </c>
    </row>
    <row r="1317">
      <c r="A1317" t="inlineStr">
        <is>
          <t>ENCORE WIRE CORP</t>
        </is>
      </c>
      <c r="B1317" t="inlineStr">
        <is>
          <t>WIRE</t>
        </is>
      </c>
      <c r="C1317" t="inlineStr">
        <is>
          <t>ENCORE WIRE CORP</t>
        </is>
      </c>
      <c r="D1317" t="n">
        <v>3350</v>
      </c>
    </row>
    <row r="1318">
      <c r="A1318" t="inlineStr">
        <is>
          <t>ENDEAVOR GROUP HOLDINGS, INC.</t>
        </is>
      </c>
      <c r="B1318" t="inlineStr">
        <is>
          <t>EDR</t>
        </is>
      </c>
      <c r="C1318" t="inlineStr">
        <is>
          <t>ENDEAVOR GROUP HOLDINGS, INC.</t>
        </is>
      </c>
      <c r="D1318" t="n">
        <v>7900</v>
      </c>
    </row>
    <row r="1319">
      <c r="A1319" t="inlineStr">
        <is>
          <t>ENDO INTERNATIONAL PLC</t>
        </is>
      </c>
      <c r="B1319" t="inlineStr">
        <is>
          <t>ENDP</t>
        </is>
      </c>
      <c r="C1319" t="inlineStr">
        <is>
          <t>ENDO INTERNATIONAL PLC</t>
        </is>
      </c>
      <c r="D1319" t="n">
        <v>2834</v>
      </c>
    </row>
    <row r="1320">
      <c r="A1320" t="inlineStr">
        <is>
          <t>ENERGIZER HOLDINGS, INC.</t>
        </is>
      </c>
      <c r="B1320" t="inlineStr">
        <is>
          <t>ENR</t>
        </is>
      </c>
      <c r="C1320" t="inlineStr">
        <is>
          <t>ENERGIZER HOLDINGS, INC.</t>
        </is>
      </c>
      <c r="D1320" t="n">
        <v>3690</v>
      </c>
    </row>
    <row r="1321">
      <c r="A1321" t="inlineStr">
        <is>
          <t>ENERGOUS CORP</t>
        </is>
      </c>
      <c r="B1321" t="inlineStr">
        <is>
          <t>WATT</t>
        </is>
      </c>
      <c r="C1321" t="inlineStr">
        <is>
          <t>ENERGOUS CORP</t>
        </is>
      </c>
      <c r="D1321" t="n">
        <v>3663</v>
      </c>
    </row>
    <row r="1322">
      <c r="A1322" t="inlineStr">
        <is>
          <t>ENERGY FUELS INC</t>
        </is>
      </c>
      <c r="B1322" t="inlineStr">
        <is>
          <t>UUUU</t>
        </is>
      </c>
      <c r="C1322" t="inlineStr">
        <is>
          <t>ENERGY FUELS INC</t>
        </is>
      </c>
      <c r="D1322" t="n">
        <v>1400</v>
      </c>
    </row>
    <row r="1323">
      <c r="A1323" t="inlineStr">
        <is>
          <t>ENERGY RECOVERY, INC.</t>
        </is>
      </c>
      <c r="B1323" t="inlineStr">
        <is>
          <t>ERII</t>
        </is>
      </c>
      <c r="C1323" t="inlineStr">
        <is>
          <t>ENERGY RECOVERY, INC.</t>
        </is>
      </c>
      <c r="D1323" t="n">
        <v>3559</v>
      </c>
    </row>
    <row r="1324">
      <c r="A1324" t="inlineStr">
        <is>
          <t>ENERGY SERVICES OF AMERICA CORP</t>
        </is>
      </c>
      <c r="B1324" t="inlineStr">
        <is>
          <t>ESOA</t>
        </is>
      </c>
      <c r="C1324" t="inlineStr">
        <is>
          <t>ENERGY SERVICES OF AMERICA CORP</t>
        </is>
      </c>
      <c r="D1324" t="n">
        <v>1623</v>
      </c>
    </row>
    <row r="1325">
      <c r="A1325" t="inlineStr">
        <is>
          <t>ENERGY TRANSFER LP</t>
        </is>
      </c>
      <c r="B1325" t="inlineStr">
        <is>
          <t>ET</t>
        </is>
      </c>
      <c r="C1325" t="inlineStr">
        <is>
          <t>ENERGY TRANSFER LP</t>
        </is>
      </c>
      <c r="D1325" t="n">
        <v>4922</v>
      </c>
    </row>
    <row r="1326">
      <c r="A1326" t="inlineStr">
        <is>
          <t>ENERPAC TOOL GROUP CORP</t>
        </is>
      </c>
      <c r="B1326" t="inlineStr">
        <is>
          <t>EPAC</t>
        </is>
      </c>
      <c r="C1326" t="inlineStr">
        <is>
          <t>ENERPAC TOOL GROUP CORP</t>
        </is>
      </c>
      <c r="D1326" t="n">
        <v>3590</v>
      </c>
    </row>
    <row r="1327">
      <c r="A1327" t="inlineStr">
        <is>
          <t>ENERPLUS CORP</t>
        </is>
      </c>
      <c r="B1327" t="inlineStr">
        <is>
          <t>ERF</t>
        </is>
      </c>
      <c r="C1327" t="inlineStr">
        <is>
          <t>ENERPLUS CORP</t>
        </is>
      </c>
      <c r="D1327" t="n">
        <v>1311</v>
      </c>
    </row>
    <row r="1328">
      <c r="A1328" t="inlineStr">
        <is>
          <t>ENERSYS</t>
        </is>
      </c>
      <c r="B1328" t="inlineStr">
        <is>
          <t>ENS</t>
        </is>
      </c>
      <c r="C1328" t="inlineStr">
        <is>
          <t>ENERSYS</t>
        </is>
      </c>
      <c r="D1328" t="n">
        <v>3690</v>
      </c>
    </row>
    <row r="1329">
      <c r="A1329" t="inlineStr">
        <is>
          <t>ENETI INC.</t>
        </is>
      </c>
      <c r="B1329" t="inlineStr">
        <is>
          <t>NETI</t>
        </is>
      </c>
      <c r="C1329" t="inlineStr">
        <is>
          <t>ENETI INC.</t>
        </is>
      </c>
      <c r="D1329" t="n">
        <v>4412</v>
      </c>
    </row>
    <row r="1330">
      <c r="A1330" t="inlineStr">
        <is>
          <t>ENFUSION, INC.</t>
        </is>
      </c>
      <c r="B1330" t="inlineStr">
        <is>
          <t>ENFN</t>
        </is>
      </c>
      <c r="C1330" t="inlineStr">
        <is>
          <t>ENFUSION, INC.</t>
        </is>
      </c>
      <c r="D1330" t="n">
        <v>7372</v>
      </c>
    </row>
    <row r="1331">
      <c r="A1331" t="inlineStr">
        <is>
          <t>ENGAGESMART, INC.</t>
        </is>
      </c>
      <c r="B1331" t="inlineStr">
        <is>
          <t>ESMT</t>
        </is>
      </c>
      <c r="C1331" t="inlineStr">
        <is>
          <t>ENGAGESMART, INC.</t>
        </is>
      </c>
      <c r="D1331" t="n">
        <v>7372</v>
      </c>
    </row>
    <row r="1332">
      <c r="A1332" t="inlineStr">
        <is>
          <t>ENGLOBAL CORP</t>
        </is>
      </c>
      <c r="B1332" t="inlineStr">
        <is>
          <t>ENG</t>
        </is>
      </c>
      <c r="C1332" t="inlineStr">
        <is>
          <t>ENGLOBAL CORP</t>
        </is>
      </c>
      <c r="D1332" t="n">
        <v>8711</v>
      </c>
    </row>
    <row r="1333">
      <c r="A1333" t="inlineStr">
        <is>
          <t>ENJOY TECHNOLOGY, INC./DE</t>
        </is>
      </c>
      <c r="B1333" t="inlineStr">
        <is>
          <t>ENJY</t>
        </is>
      </c>
      <c r="C1333" t="inlineStr">
        <is>
          <t>ENJOY TECHNOLOGY, INC./DE</t>
        </is>
      </c>
      <c r="D1333" t="n">
        <v>7389</v>
      </c>
    </row>
    <row r="1334">
      <c r="A1334" t="inlineStr">
        <is>
          <t>ENLINK MIDSTREAM, LLC</t>
        </is>
      </c>
      <c r="B1334" t="inlineStr">
        <is>
          <t>ENLC</t>
        </is>
      </c>
      <c r="C1334" t="inlineStr">
        <is>
          <t>ENLINK MIDSTREAM, LLC</t>
        </is>
      </c>
      <c r="D1334" t="n">
        <v>4922</v>
      </c>
    </row>
    <row r="1335">
      <c r="A1335" t="inlineStr">
        <is>
          <t>ENNIS, INC.</t>
        </is>
      </c>
      <c r="B1335" t="inlineStr">
        <is>
          <t>EBF</t>
        </is>
      </c>
      <c r="C1335" t="inlineStr">
        <is>
          <t>ENNIS, INC.</t>
        </is>
      </c>
      <c r="D1335" t="n">
        <v>2761</v>
      </c>
    </row>
    <row r="1336">
      <c r="A1336" t="inlineStr">
        <is>
          <t>ENOVA INTERNATIONAL, INC.</t>
        </is>
      </c>
      <c r="B1336" t="inlineStr">
        <is>
          <t>ENVA</t>
        </is>
      </c>
      <c r="C1336" t="inlineStr">
        <is>
          <t>ENOVA INTERNATIONAL, INC.</t>
        </is>
      </c>
      <c r="D1336" t="n">
        <v>6141</v>
      </c>
    </row>
    <row r="1337">
      <c r="A1337" t="inlineStr">
        <is>
          <t>ENPHASE ENERGY, INC.</t>
        </is>
      </c>
      <c r="B1337" t="inlineStr">
        <is>
          <t>ENPH</t>
        </is>
      </c>
      <c r="C1337" t="inlineStr">
        <is>
          <t>ENPHASE ENERGY, INC.</t>
        </is>
      </c>
      <c r="D1337" t="n">
        <v>3674</v>
      </c>
    </row>
    <row r="1338">
      <c r="A1338" t="inlineStr">
        <is>
          <t>ENPRO INDUSTRIES, INC</t>
        </is>
      </c>
      <c r="B1338" t="inlineStr">
        <is>
          <t>NPO</t>
        </is>
      </c>
      <c r="C1338" t="inlineStr">
        <is>
          <t>ENPRO INDUSTRIES, INC</t>
        </is>
      </c>
      <c r="D1338" t="n">
        <v>3050</v>
      </c>
    </row>
    <row r="1339">
      <c r="A1339" t="inlineStr">
        <is>
          <t>ENSERVCO CORP</t>
        </is>
      </c>
      <c r="B1339" t="inlineStr">
        <is>
          <t>ENSV</t>
        </is>
      </c>
      <c r="C1339" t="inlineStr">
        <is>
          <t>ENSERVCO CORP</t>
        </is>
      </c>
      <c r="D1339" t="n">
        <v>1389</v>
      </c>
    </row>
    <row r="1340">
      <c r="A1340" t="inlineStr">
        <is>
          <t>ENSIGN GROUP, INC</t>
        </is>
      </c>
      <c r="B1340" t="inlineStr">
        <is>
          <t>ENSG</t>
        </is>
      </c>
      <c r="C1340" t="inlineStr">
        <is>
          <t>ENSIGN GROUP, INC</t>
        </is>
      </c>
      <c r="D1340" t="n">
        <v>8051</v>
      </c>
    </row>
    <row r="1341">
      <c r="A1341" t="inlineStr">
        <is>
          <t>ENSTAR GROUP LTD</t>
        </is>
      </c>
      <c r="B1341" t="inlineStr">
        <is>
          <t>ESGR</t>
        </is>
      </c>
      <c r="C1341" t="inlineStr">
        <is>
          <t>ENSTAR GROUP LTD</t>
        </is>
      </c>
      <c r="D1341" t="n">
        <v>6331</v>
      </c>
    </row>
    <row r="1342">
      <c r="A1342" t="inlineStr">
        <is>
          <t>ENTEGRIS INC</t>
        </is>
      </c>
      <c r="B1342" t="inlineStr">
        <is>
          <t>ENTG</t>
        </is>
      </c>
      <c r="C1342" t="inlineStr">
        <is>
          <t>ENTEGRIS INC</t>
        </is>
      </c>
      <c r="D1342" t="n">
        <v>3089</v>
      </c>
    </row>
    <row r="1343">
      <c r="A1343" t="inlineStr">
        <is>
          <t>ENTERGY CORP /DE/</t>
        </is>
      </c>
      <c r="B1343" t="inlineStr">
        <is>
          <t>ETR</t>
        </is>
      </c>
      <c r="C1343" t="inlineStr">
        <is>
          <t>ENTERGY CORP /DE/</t>
        </is>
      </c>
      <c r="D1343" t="n">
        <v>4911</v>
      </c>
    </row>
    <row r="1344">
      <c r="A1344" t="inlineStr">
        <is>
          <t>ENTERPRISE BANCORP INC /MA/</t>
        </is>
      </c>
      <c r="B1344" t="inlineStr">
        <is>
          <t>EBTC</t>
        </is>
      </c>
      <c r="C1344" t="inlineStr">
        <is>
          <t>ENTERPRISE BANCORP INC /MA/</t>
        </is>
      </c>
      <c r="D1344" t="n">
        <v>6022</v>
      </c>
    </row>
    <row r="1345">
      <c r="A1345" t="inlineStr">
        <is>
          <t>ENTERPRISE FINANCIAL SERVICES CORP</t>
        </is>
      </c>
      <c r="B1345" t="inlineStr">
        <is>
          <t>EFSC</t>
        </is>
      </c>
      <c r="C1345" t="inlineStr">
        <is>
          <t>ENTERPRISE FINANCIAL SERVICES CORP</t>
        </is>
      </c>
      <c r="D1345" t="n">
        <v>6022</v>
      </c>
    </row>
    <row r="1346">
      <c r="A1346" t="inlineStr">
        <is>
          <t>ENTERPRISE PRODUCTS PARTNERS L.P.</t>
        </is>
      </c>
      <c r="B1346" t="inlineStr">
        <is>
          <t>EPD</t>
        </is>
      </c>
      <c r="C1346" t="inlineStr">
        <is>
          <t>ENTERPRISE PRODUCTS PARTNERS L.P.</t>
        </is>
      </c>
      <c r="D1346" t="n">
        <v>4922</v>
      </c>
    </row>
    <row r="1347">
      <c r="A1347" t="inlineStr">
        <is>
          <t>ENTRAVISION COMMUNICATIONS CORP</t>
        </is>
      </c>
      <c r="B1347" t="inlineStr">
        <is>
          <t>EVC</t>
        </is>
      </c>
      <c r="C1347" t="inlineStr">
        <is>
          <t>ENTRAVISION COMMUNICATIONS CORP</t>
        </is>
      </c>
      <c r="D1347" t="n">
        <v>4833</v>
      </c>
    </row>
    <row r="1348">
      <c r="A1348" t="inlineStr">
        <is>
          <t>ENVELA CORP</t>
        </is>
      </c>
      <c r="B1348" t="inlineStr">
        <is>
          <t>ELA</t>
        </is>
      </c>
      <c r="C1348" t="inlineStr">
        <is>
          <t>ENVELA CORP</t>
        </is>
      </c>
      <c r="D1348" t="n">
        <v>5944</v>
      </c>
    </row>
    <row r="1349">
      <c r="A1349" t="inlineStr">
        <is>
          <t>ENVESTNET, INC.</t>
        </is>
      </c>
      <c r="B1349" t="inlineStr">
        <is>
          <t>ENV</t>
        </is>
      </c>
      <c r="C1349" t="inlineStr">
        <is>
          <t>ENVESTNET, INC.</t>
        </is>
      </c>
      <c r="D1349" t="n">
        <v>7389</v>
      </c>
    </row>
    <row r="1350">
      <c r="A1350" t="inlineStr">
        <is>
          <t>ENVISTA HOLDINGS CORP</t>
        </is>
      </c>
      <c r="B1350" t="inlineStr">
        <is>
          <t>NVST</t>
        </is>
      </c>
      <c r="C1350" t="inlineStr">
        <is>
          <t>ENVISTA HOLDINGS CORP</t>
        </is>
      </c>
      <c r="D1350" t="n">
        <v>3843</v>
      </c>
    </row>
    <row r="1351">
      <c r="A1351" t="inlineStr">
        <is>
          <t>ENVIVA INC.</t>
        </is>
      </c>
      <c r="B1351" t="inlineStr">
        <is>
          <t>EVA</t>
        </is>
      </c>
      <c r="C1351" t="inlineStr">
        <is>
          <t>ENVIVA INC.</t>
        </is>
      </c>
      <c r="D1351" t="n">
        <v>2400</v>
      </c>
    </row>
    <row r="1352">
      <c r="A1352" t="inlineStr">
        <is>
          <t>ENVVENO MEDICAL CORP</t>
        </is>
      </c>
      <c r="B1352" t="inlineStr">
        <is>
          <t>NVNO</t>
        </is>
      </c>
      <c r="C1352" t="inlineStr">
        <is>
          <t>ENVVENO MEDICAL CORP</t>
        </is>
      </c>
      <c r="D1352" t="n">
        <v>3841</v>
      </c>
    </row>
    <row r="1353">
      <c r="A1353" t="inlineStr">
        <is>
          <t>ENZO BIOCHEM INC</t>
        </is>
      </c>
      <c r="B1353" t="inlineStr">
        <is>
          <t>ENZ</t>
        </is>
      </c>
      <c r="C1353" t="inlineStr">
        <is>
          <t>ENZO BIOCHEM INC</t>
        </is>
      </c>
      <c r="D1353" t="n">
        <v>8071</v>
      </c>
    </row>
    <row r="1354">
      <c r="A1354" t="inlineStr">
        <is>
          <t>ENZON PHARMACEUTICALS, INC.</t>
        </is>
      </c>
      <c r="B1354" t="inlineStr">
        <is>
          <t>ENZN</t>
        </is>
      </c>
      <c r="C1354" t="inlineStr">
        <is>
          <t>ENZON PHARMACEUTICALS, INC.</t>
        </is>
      </c>
      <c r="D1354" t="n">
        <v>2836</v>
      </c>
    </row>
    <row r="1355">
      <c r="A1355" t="inlineStr">
        <is>
          <t>EOG RESOURCES INC</t>
        </is>
      </c>
      <c r="B1355" t="inlineStr">
        <is>
          <t>EOG</t>
        </is>
      </c>
      <c r="C1355" t="inlineStr">
        <is>
          <t>EOG RESOURCES INC</t>
        </is>
      </c>
      <c r="D1355" t="n">
        <v>1311</v>
      </c>
    </row>
    <row r="1356">
      <c r="A1356" t="inlineStr">
        <is>
          <t>EOS ENERGY ENTERPRISES, INC.</t>
        </is>
      </c>
      <c r="B1356" t="inlineStr">
        <is>
          <t>EOSE</t>
        </is>
      </c>
      <c r="C1356" t="inlineStr">
        <is>
          <t>EOS ENERGY ENTERPRISES, INC.</t>
        </is>
      </c>
      <c r="D1356" t="n">
        <v>3690</v>
      </c>
    </row>
    <row r="1357">
      <c r="A1357" t="inlineStr">
        <is>
          <t>EPAM SYSTEMS, INC.</t>
        </is>
      </c>
      <c r="B1357" t="inlineStr">
        <is>
          <t>EPAM</t>
        </is>
      </c>
      <c r="C1357" t="inlineStr">
        <is>
          <t>EPAM SYSTEMS, INC.</t>
        </is>
      </c>
      <c r="D1357" t="n">
        <v>7371</v>
      </c>
    </row>
    <row r="1358">
      <c r="A1358" t="inlineStr">
        <is>
          <t>EPIZYME, INC.</t>
        </is>
      </c>
      <c r="B1358" t="inlineStr">
        <is>
          <t>EPZM</t>
        </is>
      </c>
      <c r="C1358" t="inlineStr">
        <is>
          <t>EPIZYME, INC.</t>
        </is>
      </c>
      <c r="D1358" t="n">
        <v>2834</v>
      </c>
    </row>
    <row r="1359">
      <c r="A1359" t="inlineStr">
        <is>
          <t>EPLUS INC</t>
        </is>
      </c>
      <c r="B1359" t="inlineStr">
        <is>
          <t>PLUS</t>
        </is>
      </c>
      <c r="C1359" t="inlineStr">
        <is>
          <t>EPLUS INC</t>
        </is>
      </c>
      <c r="D1359" t="n">
        <v>5045</v>
      </c>
    </row>
    <row r="1360">
      <c r="A1360" t="inlineStr">
        <is>
          <t>EPR PROPERTIES</t>
        </is>
      </c>
      <c r="B1360" t="inlineStr">
        <is>
          <t>EPR</t>
        </is>
      </c>
      <c r="C1360" t="inlineStr">
        <is>
          <t>EPR PROPERTIES</t>
        </is>
      </c>
      <c r="D1360" t="n">
        <v>6798</v>
      </c>
    </row>
    <row r="1361">
      <c r="A1361" t="inlineStr">
        <is>
          <t>EPSILON ENERGY LTD.</t>
        </is>
      </c>
      <c r="B1361" t="inlineStr">
        <is>
          <t>EPSN</t>
        </is>
      </c>
      <c r="C1361" t="inlineStr">
        <is>
          <t>EPSILON ENERGY LTD.</t>
        </is>
      </c>
      <c r="D1361" t="n">
        <v>1311</v>
      </c>
    </row>
    <row r="1362">
      <c r="A1362" t="inlineStr">
        <is>
          <t>EQT CORP</t>
        </is>
      </c>
      <c r="B1362" t="inlineStr">
        <is>
          <t>EQT</t>
        </is>
      </c>
      <c r="C1362" t="inlineStr">
        <is>
          <t>EQT CORP</t>
        </is>
      </c>
      <c r="D1362" t="n">
        <v>1311</v>
      </c>
    </row>
    <row r="1363">
      <c r="A1363" t="inlineStr">
        <is>
          <t>EQUIFAX INC</t>
        </is>
      </c>
      <c r="B1363" t="inlineStr">
        <is>
          <t>EFX</t>
        </is>
      </c>
      <c r="C1363" t="inlineStr">
        <is>
          <t>EQUIFAX INC</t>
        </is>
      </c>
      <c r="D1363" t="n">
        <v>7320</v>
      </c>
    </row>
    <row r="1364">
      <c r="A1364" t="inlineStr">
        <is>
          <t>EQUINIX INC</t>
        </is>
      </c>
      <c r="B1364" t="inlineStr">
        <is>
          <t>EQIX</t>
        </is>
      </c>
      <c r="C1364" t="inlineStr">
        <is>
          <t>EQUINIX INC</t>
        </is>
      </c>
      <c r="D1364" t="n">
        <v>6798</v>
      </c>
    </row>
    <row r="1365">
      <c r="A1365" t="inlineStr">
        <is>
          <t>EQUITABLE HOLDINGS, INC.</t>
        </is>
      </c>
      <c r="B1365" t="inlineStr">
        <is>
          <t>EQH</t>
        </is>
      </c>
      <c r="C1365" t="inlineStr">
        <is>
          <t>EQUITABLE HOLDINGS, INC.</t>
        </is>
      </c>
      <c r="D1365" t="n">
        <v>6411</v>
      </c>
    </row>
    <row r="1366">
      <c r="A1366" t="inlineStr">
        <is>
          <t>EQUITRANS MIDSTREAM CORP</t>
        </is>
      </c>
      <c r="B1366" t="inlineStr">
        <is>
          <t>ETRN</t>
        </is>
      </c>
      <c r="C1366" t="inlineStr">
        <is>
          <t>EQUITRANS MIDSTREAM CORP</t>
        </is>
      </c>
      <c r="D1366" t="n">
        <v>4922</v>
      </c>
    </row>
    <row r="1367">
      <c r="A1367" t="inlineStr">
        <is>
          <t>EQUITY BANCSHARES INC</t>
        </is>
      </c>
      <c r="B1367" t="inlineStr">
        <is>
          <t>EQBK</t>
        </is>
      </c>
      <c r="C1367" t="inlineStr">
        <is>
          <t>EQUITY BANCSHARES INC</t>
        </is>
      </c>
      <c r="D1367" t="n">
        <v>6022</v>
      </c>
    </row>
    <row r="1368">
      <c r="A1368" t="inlineStr">
        <is>
          <t>EQUITY COMMONWEALTH</t>
        </is>
      </c>
      <c r="B1368" t="inlineStr">
        <is>
          <t>EQC</t>
        </is>
      </c>
      <c r="C1368" t="inlineStr">
        <is>
          <t>EQUITY COMMONWEALTH</t>
        </is>
      </c>
      <c r="D1368" t="n">
        <v>6798</v>
      </c>
    </row>
    <row r="1369">
      <c r="A1369" t="inlineStr">
        <is>
          <t>EQUITY LIFESTYLE PROPERTIES INC</t>
        </is>
      </c>
      <c r="B1369" t="inlineStr">
        <is>
          <t>ELS</t>
        </is>
      </c>
      <c r="C1369" t="inlineStr">
        <is>
          <t>EQUITY LIFESTYLE PROPERTIES INC</t>
        </is>
      </c>
      <c r="D1369" t="n">
        <v>6798</v>
      </c>
    </row>
    <row r="1370">
      <c r="A1370" t="inlineStr">
        <is>
          <t>ERIE INDEMNITY CO</t>
        </is>
      </c>
      <c r="B1370" t="inlineStr">
        <is>
          <t>ERIE</t>
        </is>
      </c>
      <c r="C1370" t="inlineStr">
        <is>
          <t>ERIE INDEMNITY CO</t>
        </is>
      </c>
      <c r="D1370" t="n">
        <v>6411</v>
      </c>
    </row>
    <row r="1371">
      <c r="A1371" t="inlineStr">
        <is>
          <t>ESCALADE INC</t>
        </is>
      </c>
      <c r="B1371" t="inlineStr">
        <is>
          <t>ESCA</t>
        </is>
      </c>
      <c r="C1371" t="inlineStr">
        <is>
          <t>ESCALADE INC</t>
        </is>
      </c>
      <c r="D1371" t="n">
        <v>3949</v>
      </c>
    </row>
    <row r="1372">
      <c r="A1372" t="inlineStr">
        <is>
          <t>ESCO TECHNOLOGIES INC</t>
        </is>
      </c>
      <c r="B1372" t="inlineStr">
        <is>
          <t>ESE</t>
        </is>
      </c>
      <c r="C1372" t="inlineStr">
        <is>
          <t>ESCO TECHNOLOGIES INC</t>
        </is>
      </c>
      <c r="D1372" t="n">
        <v>3669</v>
      </c>
    </row>
    <row r="1373">
      <c r="A1373" t="inlineStr">
        <is>
          <t>ESPERION THERAPEUTICS, INC.</t>
        </is>
      </c>
      <c r="B1373" t="inlineStr">
        <is>
          <t>ESPR</t>
        </is>
      </c>
      <c r="C1373" t="inlineStr">
        <is>
          <t>ESPERION THERAPEUTICS, INC.</t>
        </is>
      </c>
      <c r="D1373" t="n">
        <v>2834</v>
      </c>
    </row>
    <row r="1374">
      <c r="A1374" t="inlineStr">
        <is>
          <t>ESPEY MFG &amp; ELECTRONICS CORP</t>
        </is>
      </c>
      <c r="B1374" t="inlineStr">
        <is>
          <t>ESP</t>
        </is>
      </c>
      <c r="C1374" t="inlineStr">
        <is>
          <t>ESPEY MFG &amp; ELECTRONICS CORP</t>
        </is>
      </c>
      <c r="D1374" t="n">
        <v>3679</v>
      </c>
    </row>
    <row r="1375">
      <c r="A1375" t="inlineStr">
        <is>
          <t>ESQUIRE FINANCIAL HOLDINGS, INC.</t>
        </is>
      </c>
      <c r="B1375" t="inlineStr">
        <is>
          <t>ESQ</t>
        </is>
      </c>
      <c r="C1375" t="inlineStr">
        <is>
          <t>ESQUIRE FINANCIAL HOLDINGS, INC.</t>
        </is>
      </c>
      <c r="D1375" t="n">
        <v>6029</v>
      </c>
    </row>
    <row r="1376">
      <c r="A1376" t="inlineStr">
        <is>
          <t>ESSA BANCORP, INC.</t>
        </is>
      </c>
      <c r="B1376" t="inlineStr">
        <is>
          <t>ESSA</t>
        </is>
      </c>
      <c r="C1376" t="inlineStr">
        <is>
          <t>ESSA BANCORP, INC.</t>
        </is>
      </c>
      <c r="D1376" t="n">
        <v>6036</v>
      </c>
    </row>
    <row r="1377">
      <c r="A1377" t="inlineStr">
        <is>
          <t>ESSENT GROUP LTD.</t>
        </is>
      </c>
      <c r="B1377" t="inlineStr">
        <is>
          <t>ESNT</t>
        </is>
      </c>
      <c r="C1377" t="inlineStr">
        <is>
          <t>ESSENT GROUP LTD.</t>
        </is>
      </c>
      <c r="D1377" t="n">
        <v>6351</v>
      </c>
    </row>
    <row r="1378">
      <c r="A1378" t="inlineStr">
        <is>
          <t>ESSENTIAL PROPERTIES REALTY TRUST, INC.</t>
        </is>
      </c>
      <c r="B1378" t="inlineStr">
        <is>
          <t>EPRT</t>
        </is>
      </c>
      <c r="C1378" t="inlineStr">
        <is>
          <t>ESSENTIAL PROPERTIES REALTY TRUST, INC.</t>
        </is>
      </c>
      <c r="D1378" t="n">
        <v>6798</v>
      </c>
    </row>
    <row r="1379">
      <c r="A1379" t="inlineStr">
        <is>
          <t>ESSENTIAL UTILITIES, INC.</t>
        </is>
      </c>
      <c r="B1379" t="inlineStr">
        <is>
          <t>WTRG</t>
        </is>
      </c>
      <c r="C1379" t="inlineStr">
        <is>
          <t>ESSENTIAL UTILITIES, INC.</t>
        </is>
      </c>
      <c r="D1379" t="n">
        <v>4941</v>
      </c>
    </row>
    <row r="1380">
      <c r="A1380" t="inlineStr">
        <is>
          <t>ESSEX PROPERTY TRUST, INC.</t>
        </is>
      </c>
      <c r="B1380" t="inlineStr">
        <is>
          <t>ESS</t>
        </is>
      </c>
      <c r="C1380" t="inlineStr">
        <is>
          <t>ESSEX PROPERTY TRUST, INC.</t>
        </is>
      </c>
      <c r="D1380" t="n">
        <v>6798</v>
      </c>
    </row>
    <row r="1381">
      <c r="A1381" t="inlineStr">
        <is>
          <t>ESTABLISHMENT LABS HOLDINGS INC.</t>
        </is>
      </c>
      <c r="B1381" t="inlineStr">
        <is>
          <t>ESTA</t>
        </is>
      </c>
      <c r="C1381" t="inlineStr">
        <is>
          <t>ESTABLISHMENT LABS HOLDINGS INC.</t>
        </is>
      </c>
      <c r="D1381" t="n">
        <v>3842</v>
      </c>
    </row>
    <row r="1382">
      <c r="A1382" t="inlineStr">
        <is>
          <t>ESTEE LAUDER COMPANIES INC</t>
        </is>
      </c>
      <c r="B1382" t="inlineStr">
        <is>
          <t>EL</t>
        </is>
      </c>
      <c r="C1382" t="inlineStr">
        <is>
          <t>ESTEE LAUDER COMPANIES INC</t>
        </is>
      </c>
      <c r="D1382" t="n">
        <v>2844</v>
      </c>
    </row>
    <row r="1383">
      <c r="A1383" t="inlineStr">
        <is>
          <t>ETHAN ALLEN INTERIORS INC</t>
        </is>
      </c>
      <c r="B1383" t="inlineStr">
        <is>
          <t>ETD</t>
        </is>
      </c>
      <c r="C1383" t="inlineStr">
        <is>
          <t>ETHAN ALLEN INTERIORS INC</t>
        </is>
      </c>
      <c r="D1383" t="n">
        <v>2511</v>
      </c>
    </row>
    <row r="1384">
      <c r="A1384" t="inlineStr">
        <is>
          <t>ETON PHARMACEUTICALS, INC.</t>
        </is>
      </c>
      <c r="B1384" t="inlineStr">
        <is>
          <t>ETON</t>
        </is>
      </c>
      <c r="C1384" t="inlineStr">
        <is>
          <t>ETON PHARMACEUTICALS, INC.</t>
        </is>
      </c>
      <c r="D1384" t="n">
        <v>2834</v>
      </c>
    </row>
    <row r="1385">
      <c r="A1385" t="inlineStr">
        <is>
          <t>ETSY INC</t>
        </is>
      </c>
      <c r="B1385" t="inlineStr">
        <is>
          <t>ETSY</t>
        </is>
      </c>
      <c r="C1385" t="inlineStr">
        <is>
          <t>ETSY INC</t>
        </is>
      </c>
      <c r="D1385" t="n">
        <v>7389</v>
      </c>
    </row>
    <row r="1386">
      <c r="A1386" t="inlineStr">
        <is>
          <t>EUREKA HOMESTEAD BANCORP, INC.</t>
        </is>
      </c>
      <c r="B1386" t="inlineStr">
        <is>
          <t>ERKH</t>
        </is>
      </c>
      <c r="C1386" t="inlineStr">
        <is>
          <t>EUREKA HOMESTEAD BANCORP, INC.</t>
        </is>
      </c>
      <c r="D1386" t="n">
        <v>6035</v>
      </c>
    </row>
    <row r="1387">
      <c r="A1387" t="inlineStr">
        <is>
          <t>EURODRY LTD.</t>
        </is>
      </c>
      <c r="B1387" t="inlineStr">
        <is>
          <t>EDRY</t>
        </is>
      </c>
      <c r="C1387" t="inlineStr">
        <is>
          <t>EURODRY LTD.</t>
        </is>
      </c>
      <c r="D1387" t="n">
        <v>4400</v>
      </c>
    </row>
    <row r="1388">
      <c r="A1388" t="inlineStr">
        <is>
          <t>EURONET WORLDWIDE, INC.</t>
        </is>
      </c>
      <c r="B1388" t="inlineStr">
        <is>
          <t>EEFT</t>
        </is>
      </c>
      <c r="C1388" t="inlineStr">
        <is>
          <t>EURONET WORLDWIDE, INC.</t>
        </is>
      </c>
      <c r="D1388" t="n">
        <v>6099</v>
      </c>
    </row>
    <row r="1389">
      <c r="A1389" t="inlineStr">
        <is>
          <t>EUROSEAS LTD.</t>
        </is>
      </c>
      <c r="B1389" t="inlineStr">
        <is>
          <t>ESEA</t>
        </is>
      </c>
      <c r="C1389" t="inlineStr">
        <is>
          <t>EUROSEAS LTD.</t>
        </is>
      </c>
      <c r="D1389" t="n">
        <v>4412</v>
      </c>
    </row>
    <row r="1390">
      <c r="A1390" t="inlineStr">
        <is>
          <t>EVANS BANCORP INC</t>
        </is>
      </c>
      <c r="B1390" t="inlineStr">
        <is>
          <t>EVBN</t>
        </is>
      </c>
      <c r="C1390" t="inlineStr">
        <is>
          <t>EVANS BANCORP INC</t>
        </is>
      </c>
      <c r="D1390" t="n">
        <v>6021</v>
      </c>
    </row>
    <row r="1391">
      <c r="A1391" t="inlineStr">
        <is>
          <t>EVENTBRITE, INC.</t>
        </is>
      </c>
      <c r="B1391" t="inlineStr">
        <is>
          <t>EB</t>
        </is>
      </c>
      <c r="C1391" t="inlineStr">
        <is>
          <t>EVENTBRITE, INC.</t>
        </is>
      </c>
      <c r="D1391" t="n">
        <v>7370</v>
      </c>
    </row>
    <row r="1392">
      <c r="A1392" t="inlineStr">
        <is>
          <t>EVER-GLORY INTERNATIONAL GROUP, INC.</t>
        </is>
      </c>
      <c r="B1392" t="inlineStr">
        <is>
          <t>EVK</t>
        </is>
      </c>
      <c r="C1392" t="inlineStr">
        <is>
          <t>EVER-GLORY INTERNATIONAL GROUP, INC.</t>
        </is>
      </c>
      <c r="D1392" t="n">
        <v>2300</v>
      </c>
    </row>
    <row r="1393">
      <c r="A1393" t="inlineStr">
        <is>
          <t>EVERBRIDGE, INC.</t>
        </is>
      </c>
      <c r="B1393" t="inlineStr">
        <is>
          <t>EVBG</t>
        </is>
      </c>
      <c r="C1393" t="inlineStr">
        <is>
          <t>EVERBRIDGE, INC.</t>
        </is>
      </c>
      <c r="D1393" t="n">
        <v>7372</v>
      </c>
    </row>
    <row r="1394">
      <c r="A1394" t="inlineStr">
        <is>
          <t>EVERCOMMERCE INC.</t>
        </is>
      </c>
      <c r="B1394" t="inlineStr">
        <is>
          <t>EVCM</t>
        </is>
      </c>
      <c r="C1394" t="inlineStr">
        <is>
          <t>EVERCOMMERCE INC.</t>
        </is>
      </c>
      <c r="D1394" t="n">
        <v>7372</v>
      </c>
    </row>
    <row r="1395">
      <c r="A1395" t="inlineStr">
        <is>
          <t>EVERCORE INC.</t>
        </is>
      </c>
      <c r="B1395" t="inlineStr">
        <is>
          <t>EVR</t>
        </is>
      </c>
      <c r="C1395" t="inlineStr">
        <is>
          <t>EVERCORE INC.</t>
        </is>
      </c>
      <c r="D1395" t="n">
        <v>6282</v>
      </c>
    </row>
    <row r="1396">
      <c r="A1396" t="inlineStr">
        <is>
          <t>EVEREST RE GROUP LTD</t>
        </is>
      </c>
      <c r="B1396" t="inlineStr">
        <is>
          <t>RE</t>
        </is>
      </c>
      <c r="C1396" t="inlineStr">
        <is>
          <t>EVEREST RE GROUP LTD</t>
        </is>
      </c>
      <c r="D1396" t="n">
        <v>6331</v>
      </c>
    </row>
    <row r="1397">
      <c r="A1397" t="inlineStr">
        <is>
          <t>EVERGY, INC.</t>
        </is>
      </c>
      <c r="B1397" t="inlineStr">
        <is>
          <t>EVRG</t>
        </is>
      </c>
      <c r="C1397" t="inlineStr">
        <is>
          <t>EVERGY, INC.</t>
        </is>
      </c>
      <c r="D1397" t="n">
        <v>4931</v>
      </c>
    </row>
    <row r="1398">
      <c r="A1398" t="inlineStr">
        <is>
          <t>EVERI HOLDINGS INC.</t>
        </is>
      </c>
      <c r="B1398" t="inlineStr">
        <is>
          <t>EVRI</t>
        </is>
      </c>
      <c r="C1398" t="inlineStr">
        <is>
          <t>EVERI HOLDINGS INC.</t>
        </is>
      </c>
      <c r="D1398" t="n">
        <v>7990</v>
      </c>
    </row>
    <row r="1399">
      <c r="A1399" t="inlineStr">
        <is>
          <t>EVERQUOTE, INC.</t>
        </is>
      </c>
      <c r="B1399" t="inlineStr">
        <is>
          <t>EVER</t>
        </is>
      </c>
      <c r="C1399" t="inlineStr">
        <is>
          <t>EVERQUOTE, INC.</t>
        </is>
      </c>
      <c r="D1399" t="n">
        <v>7370</v>
      </c>
    </row>
    <row r="1400">
      <c r="A1400" t="inlineStr">
        <is>
          <t>EVERSOURCE ENERGY</t>
        </is>
      </c>
      <c r="B1400" t="inlineStr">
        <is>
          <t>ES</t>
        </is>
      </c>
      <c r="C1400" t="inlineStr">
        <is>
          <t>EVERSOURCE ENERGY</t>
        </is>
      </c>
      <c r="D1400" t="n">
        <v>4911</v>
      </c>
    </row>
    <row r="1401">
      <c r="A1401" t="inlineStr">
        <is>
          <t>EVERSPIN TECHNOLOGIES INC</t>
        </is>
      </c>
      <c r="B1401" t="inlineStr">
        <is>
          <t>MRAM</t>
        </is>
      </c>
      <c r="C1401" t="inlineStr">
        <is>
          <t>EVERSPIN TECHNOLOGIES INC</t>
        </is>
      </c>
      <c r="D1401" t="n">
        <v>3674</v>
      </c>
    </row>
    <row r="1402">
      <c r="A1402" t="inlineStr">
        <is>
          <t>EVERTEC, INC.</t>
        </is>
      </c>
      <c r="B1402" t="inlineStr">
        <is>
          <t>EVTC</t>
        </is>
      </c>
      <c r="C1402" t="inlineStr">
        <is>
          <t>EVERTEC, INC.</t>
        </is>
      </c>
      <c r="D1402" t="n">
        <v>7374</v>
      </c>
    </row>
    <row r="1403">
      <c r="A1403" t="inlineStr">
        <is>
          <t>EVGO INC.</t>
        </is>
      </c>
      <c r="B1403" t="inlineStr">
        <is>
          <t>EVGO</t>
        </is>
      </c>
      <c r="C1403" t="inlineStr">
        <is>
          <t>EVGO INC.</t>
        </is>
      </c>
      <c r="D1403" t="n">
        <v>5990</v>
      </c>
    </row>
    <row r="1404">
      <c r="A1404" t="inlineStr">
        <is>
          <t>EVI INDUSTRIES, INC.</t>
        </is>
      </c>
      <c r="B1404" t="inlineStr">
        <is>
          <t>EVI</t>
        </is>
      </c>
      <c r="C1404" t="inlineStr">
        <is>
          <t>EVI INDUSTRIES, INC.</t>
        </is>
      </c>
      <c r="D1404" t="n">
        <v>7200</v>
      </c>
    </row>
    <row r="1405">
      <c r="A1405" t="inlineStr">
        <is>
          <t>EVO PAYMENTS, INC.</t>
        </is>
      </c>
      <c r="B1405" t="inlineStr">
        <is>
          <t>EVOP</t>
        </is>
      </c>
      <c r="C1405" t="inlineStr">
        <is>
          <t>EVO PAYMENTS, INC.</t>
        </is>
      </c>
      <c r="D1405" t="n">
        <v>7389</v>
      </c>
    </row>
    <row r="1406">
      <c r="A1406" t="inlineStr">
        <is>
          <t>EVO TRANSPORTATION &amp; ENERGY SERVICES, INC.</t>
        </is>
      </c>
      <c r="B1406" t="inlineStr">
        <is>
          <t>EVOA</t>
        </is>
      </c>
      <c r="C1406" t="inlineStr">
        <is>
          <t>EVO TRANSPORTATION &amp; ENERGY SERVICES, INC.</t>
        </is>
      </c>
      <c r="D1406" t="n">
        <v>5500</v>
      </c>
    </row>
    <row r="1407">
      <c r="A1407" t="inlineStr">
        <is>
          <t>EVOFEM BIOSCIENCES, INC.</t>
        </is>
      </c>
      <c r="B1407" t="inlineStr">
        <is>
          <t>EVFM</t>
        </is>
      </c>
      <c r="C1407" t="inlineStr">
        <is>
          <t>EVOFEM BIOSCIENCES, INC.</t>
        </is>
      </c>
      <c r="D1407" t="n">
        <v>2834</v>
      </c>
    </row>
    <row r="1408">
      <c r="A1408" t="inlineStr">
        <is>
          <t>EVOLENT HEALTH, INC.</t>
        </is>
      </c>
      <c r="B1408" t="inlineStr">
        <is>
          <t>EVH</t>
        </is>
      </c>
      <c r="C1408" t="inlineStr">
        <is>
          <t>EVOLENT HEALTH, INC.</t>
        </is>
      </c>
      <c r="D1408" t="n">
        <v>8741</v>
      </c>
    </row>
    <row r="1409">
      <c r="A1409" t="inlineStr">
        <is>
          <t>EVOLUS, INC.</t>
        </is>
      </c>
      <c r="B1409" t="inlineStr">
        <is>
          <t>EOLS</t>
        </is>
      </c>
      <c r="C1409" t="inlineStr">
        <is>
          <t>EVOLUS, INC.</t>
        </is>
      </c>
      <c r="D1409" t="n">
        <v>2834</v>
      </c>
    </row>
    <row r="1410">
      <c r="A1410" t="inlineStr">
        <is>
          <t>EVOLUTION PETROLEUM CORP</t>
        </is>
      </c>
      <c r="B1410" t="inlineStr">
        <is>
          <t>EPM</t>
        </is>
      </c>
      <c r="C1410" t="inlineStr">
        <is>
          <t>EVOLUTION PETROLEUM CORP</t>
        </is>
      </c>
      <c r="D1410" t="n">
        <v>1311</v>
      </c>
    </row>
    <row r="1411">
      <c r="A1411" t="inlineStr">
        <is>
          <t>EVOLV TECHNOLOGIES HOLDINGS, INC.</t>
        </is>
      </c>
      <c r="B1411" t="inlineStr">
        <is>
          <t>EVLV</t>
        </is>
      </c>
      <c r="C1411" t="inlineStr">
        <is>
          <t>EVOLV TECHNOLOGIES HOLDINGS, INC.</t>
        </is>
      </c>
      <c r="D1411" t="n">
        <v>3577</v>
      </c>
    </row>
    <row r="1412">
      <c r="A1412" t="inlineStr">
        <is>
          <t>EVOLVE TRANSITION INFRASTRUCTURE LP</t>
        </is>
      </c>
      <c r="B1412" t="inlineStr">
        <is>
          <t>SNMP</t>
        </is>
      </c>
      <c r="C1412" t="inlineStr">
        <is>
          <t>EVOLVE TRANSITION INFRASTRUCTURE LP</t>
        </is>
      </c>
      <c r="D1412" t="n">
        <v>1311</v>
      </c>
    </row>
    <row r="1413">
      <c r="A1413" t="inlineStr">
        <is>
          <t>EVOLVING SYSTEMS INC</t>
        </is>
      </c>
      <c r="B1413" t="inlineStr">
        <is>
          <t>EVOL</t>
        </is>
      </c>
      <c r="C1413" t="inlineStr">
        <is>
          <t>EVOLVING SYSTEMS INC</t>
        </is>
      </c>
      <c r="D1413" t="n">
        <v>7371</v>
      </c>
    </row>
    <row r="1414">
      <c r="A1414" t="inlineStr">
        <is>
          <t>EVOQUA WATER TECHNOLOGIES CORP.</t>
        </is>
      </c>
      <c r="B1414" t="inlineStr">
        <is>
          <t>AQUA</t>
        </is>
      </c>
      <c r="C1414" t="inlineStr">
        <is>
          <t>EVOQUA WATER TECHNOLOGIES CORP.</t>
        </is>
      </c>
      <c r="D1414" t="n">
        <v>3580</v>
      </c>
    </row>
    <row r="1415">
      <c r="A1415" t="inlineStr">
        <is>
          <t>EXACT SCIENCES CORP</t>
        </is>
      </c>
      <c r="B1415" t="inlineStr">
        <is>
          <t>EXAS</t>
        </is>
      </c>
      <c r="C1415" t="inlineStr">
        <is>
          <t>EXACT SCIENCES CORP</t>
        </is>
      </c>
      <c r="D1415" t="n">
        <v>8071</v>
      </c>
    </row>
    <row r="1416">
      <c r="A1416" t="inlineStr">
        <is>
          <t>EXAGEN INC.</t>
        </is>
      </c>
      <c r="B1416" t="inlineStr">
        <is>
          <t>XGN</t>
        </is>
      </c>
      <c r="C1416" t="inlineStr">
        <is>
          <t>EXAGEN INC.</t>
        </is>
      </c>
      <c r="D1416" t="n">
        <v>8071</v>
      </c>
    </row>
    <row r="1417">
      <c r="A1417" t="inlineStr">
        <is>
          <t>EXCEED WORLD, INC.</t>
        </is>
      </c>
      <c r="B1417" t="inlineStr">
        <is>
          <t>EXDW</t>
        </is>
      </c>
      <c r="C1417" t="inlineStr">
        <is>
          <t>EXCEED WORLD, INC.</t>
        </is>
      </c>
      <c r="D1417" t="n">
        <v>8200</v>
      </c>
    </row>
    <row r="1418">
      <c r="A1418" t="inlineStr">
        <is>
          <t>EXELA TECHNOLOGIES, INC.</t>
        </is>
      </c>
      <c r="B1418" t="inlineStr">
        <is>
          <t>XELA</t>
        </is>
      </c>
      <c r="C1418" t="inlineStr">
        <is>
          <t>EXELA TECHNOLOGIES, INC.</t>
        </is>
      </c>
      <c r="D1418" t="n">
        <v>7389</v>
      </c>
    </row>
    <row r="1419">
      <c r="A1419" t="inlineStr">
        <is>
          <t>EXELIXIS, INC.</t>
        </is>
      </c>
      <c r="B1419" t="inlineStr">
        <is>
          <t>EXEL</t>
        </is>
      </c>
      <c r="C1419" t="inlineStr">
        <is>
          <t>EXELIXIS, INC.</t>
        </is>
      </c>
      <c r="D1419" t="n">
        <v>2836</v>
      </c>
    </row>
    <row r="1420">
      <c r="A1420" t="inlineStr">
        <is>
          <t>EXELON CORP</t>
        </is>
      </c>
      <c r="B1420" t="inlineStr">
        <is>
          <t>EXC</t>
        </is>
      </c>
      <c r="C1420" t="inlineStr">
        <is>
          <t>EXELON CORP</t>
        </is>
      </c>
      <c r="D1420" t="n">
        <v>4931</v>
      </c>
    </row>
    <row r="1421">
      <c r="A1421" t="inlineStr">
        <is>
          <t>EXICURE, INC.</t>
        </is>
      </c>
      <c r="B1421" t="inlineStr">
        <is>
          <t>XCUR</t>
        </is>
      </c>
      <c r="C1421" t="inlineStr">
        <is>
          <t>EXICURE, INC.</t>
        </is>
      </c>
      <c r="D1421" t="n">
        <v>2834</v>
      </c>
    </row>
    <row r="1422">
      <c r="A1422" t="inlineStr">
        <is>
          <t>EXLSERVICE HOLDINGS, INC.</t>
        </is>
      </c>
      <c r="B1422" t="inlineStr">
        <is>
          <t>EXLS</t>
        </is>
      </c>
      <c r="C1422" t="inlineStr">
        <is>
          <t>EXLSERVICE HOLDINGS, INC.</t>
        </is>
      </c>
      <c r="D1422" t="n">
        <v>7389</v>
      </c>
    </row>
    <row r="1423">
      <c r="A1423" t="inlineStr">
        <is>
          <t>EXP WORLD HOLDINGS, INC.</t>
        </is>
      </c>
      <c r="B1423" t="inlineStr">
        <is>
          <t>EXPI</t>
        </is>
      </c>
      <c r="C1423" t="inlineStr">
        <is>
          <t>EXP WORLD HOLDINGS, INC.</t>
        </is>
      </c>
      <c r="D1423" t="n">
        <v>6531</v>
      </c>
    </row>
    <row r="1424">
      <c r="A1424" t="inlineStr">
        <is>
          <t>EXPEDIA GROUP, INC.</t>
        </is>
      </c>
      <c r="B1424" t="inlineStr">
        <is>
          <t>EXPE</t>
        </is>
      </c>
      <c r="C1424" t="inlineStr">
        <is>
          <t>EXPEDIA GROUP, INC.</t>
        </is>
      </c>
      <c r="D1424" t="n">
        <v>4700</v>
      </c>
    </row>
    <row r="1425">
      <c r="A1425" t="inlineStr">
        <is>
          <t>EXPEDITORS INTERNATIONAL OF WASHINGTON INC</t>
        </is>
      </c>
      <c r="B1425" t="inlineStr">
        <is>
          <t>EXPD</t>
        </is>
      </c>
      <c r="C1425" t="inlineStr">
        <is>
          <t>EXPEDITORS INTERNATIONAL OF WASHINGTON INC</t>
        </is>
      </c>
      <c r="D1425" t="n">
        <v>4731</v>
      </c>
    </row>
    <row r="1426">
      <c r="A1426" t="inlineStr">
        <is>
          <t>EXPENSIFY, INC.</t>
        </is>
      </c>
      <c r="B1426" t="inlineStr">
        <is>
          <t>EXFY</t>
        </is>
      </c>
      <c r="C1426" t="inlineStr">
        <is>
          <t>EXPENSIFY, INC.</t>
        </is>
      </c>
      <c r="D1426" t="n">
        <v>7372</v>
      </c>
    </row>
    <row r="1427">
      <c r="A1427" t="inlineStr">
        <is>
          <t>EXPONENT INC</t>
        </is>
      </c>
      <c r="B1427" t="inlineStr">
        <is>
          <t>EXPO</t>
        </is>
      </c>
      <c r="C1427" t="inlineStr">
        <is>
          <t>EXPONENT INC</t>
        </is>
      </c>
      <c r="D1427" t="n">
        <v>8742</v>
      </c>
    </row>
    <row r="1428">
      <c r="A1428" t="inlineStr">
        <is>
          <t>EXPRESS, INC.</t>
        </is>
      </c>
      <c r="B1428" t="inlineStr">
        <is>
          <t>EXPR</t>
        </is>
      </c>
      <c r="C1428" t="inlineStr">
        <is>
          <t>EXPRESS, INC.</t>
        </is>
      </c>
      <c r="D1428" t="n">
        <v>5600</v>
      </c>
    </row>
    <row r="1429">
      <c r="A1429" t="inlineStr">
        <is>
          <t>EXPRO GROUP HOLDINGS N.V.</t>
        </is>
      </c>
      <c r="B1429" t="inlineStr">
        <is>
          <t>XPRO</t>
        </is>
      </c>
      <c r="C1429" t="inlineStr">
        <is>
          <t>EXPRO GROUP HOLDINGS N.V.</t>
        </is>
      </c>
      <c r="D1429" t="n">
        <v>1389</v>
      </c>
    </row>
    <row r="1430">
      <c r="A1430" t="inlineStr">
        <is>
          <t>EXTERRAN CORP</t>
        </is>
      </c>
      <c r="B1430" t="inlineStr">
        <is>
          <t>EXTN</t>
        </is>
      </c>
      <c r="C1430" t="inlineStr">
        <is>
          <t>EXTERRAN CORP</t>
        </is>
      </c>
      <c r="D1430" t="n">
        <v>7359</v>
      </c>
    </row>
    <row r="1431">
      <c r="A1431" t="inlineStr">
        <is>
          <t>EXTRA SPACE STORAGE INC.</t>
        </is>
      </c>
      <c r="B1431" t="inlineStr">
        <is>
          <t>EXR</t>
        </is>
      </c>
      <c r="C1431" t="inlineStr">
        <is>
          <t>EXTRA SPACE STORAGE INC.</t>
        </is>
      </c>
      <c r="D1431" t="n">
        <v>6798</v>
      </c>
    </row>
    <row r="1432">
      <c r="A1432" t="inlineStr">
        <is>
          <t>EXTREME NETWORKS INC</t>
        </is>
      </c>
      <c r="B1432" t="inlineStr">
        <is>
          <t>EXTR</t>
        </is>
      </c>
      <c r="C1432" t="inlineStr">
        <is>
          <t>EXTREME NETWORKS INC</t>
        </is>
      </c>
      <c r="D1432" t="n">
        <v>3576</v>
      </c>
    </row>
    <row r="1433">
      <c r="A1433" t="inlineStr">
        <is>
          <t>EXXON MOBIL CORP</t>
        </is>
      </c>
      <c r="B1433" t="inlineStr">
        <is>
          <t>XOM</t>
        </is>
      </c>
      <c r="C1433" t="inlineStr">
        <is>
          <t>EXXON MOBIL CORP</t>
        </is>
      </c>
      <c r="D1433" t="n">
        <v>2911</v>
      </c>
    </row>
    <row r="1434">
      <c r="A1434" t="inlineStr">
        <is>
          <t>EYENOVIA, INC.</t>
        </is>
      </c>
      <c r="B1434" t="inlineStr">
        <is>
          <t>EYEN</t>
        </is>
      </c>
      <c r="C1434" t="inlineStr">
        <is>
          <t>EYENOVIA, INC.</t>
        </is>
      </c>
      <c r="D1434" t="n">
        <v>2834</v>
      </c>
    </row>
    <row r="1435">
      <c r="A1435" t="inlineStr">
        <is>
          <t>EYEPOINT PHARMACEUTICALS, INC.</t>
        </is>
      </c>
      <c r="B1435" t="inlineStr">
        <is>
          <t>EYPT</t>
        </is>
      </c>
      <c r="C1435" t="inlineStr">
        <is>
          <t>EYEPOINT PHARMACEUTICALS, INC.</t>
        </is>
      </c>
      <c r="D1435" t="n">
        <v>3826</v>
      </c>
    </row>
    <row r="1436">
      <c r="A1436" t="inlineStr">
        <is>
          <t>EZCORP INC</t>
        </is>
      </c>
      <c r="B1436" t="inlineStr">
        <is>
          <t>EZPW</t>
        </is>
      </c>
      <c r="C1436" t="inlineStr">
        <is>
          <t>EZCORP INC</t>
        </is>
      </c>
      <c r="D1436" t="n">
        <v>5900</v>
      </c>
    </row>
    <row r="1437">
      <c r="A1437" t="inlineStr">
        <is>
          <t>F&amp;M BANK CORP</t>
        </is>
      </c>
      <c r="B1437" t="inlineStr">
        <is>
          <t>FMBM</t>
        </is>
      </c>
      <c r="C1437" t="inlineStr">
        <is>
          <t>F&amp;M BANK CORP</t>
        </is>
      </c>
      <c r="D1437" t="n">
        <v>6022</v>
      </c>
    </row>
    <row r="1438">
      <c r="A1438" t="inlineStr">
        <is>
          <t>F-STAR THERAPEUTICS, INC.</t>
        </is>
      </c>
      <c r="B1438" t="inlineStr">
        <is>
          <t>FSTX</t>
        </is>
      </c>
      <c r="C1438" t="inlineStr">
        <is>
          <t>F-STAR THERAPEUTICS, INC.</t>
        </is>
      </c>
      <c r="D1438" t="n">
        <v>2834</v>
      </c>
    </row>
    <row r="1439">
      <c r="A1439" t="inlineStr">
        <is>
          <t>F45 TRAINING HOLDINGS INC.</t>
        </is>
      </c>
      <c r="B1439" t="inlineStr">
        <is>
          <t>FXLV</t>
        </is>
      </c>
      <c r="C1439" t="inlineStr">
        <is>
          <t>F45 TRAINING HOLDINGS INC.</t>
        </is>
      </c>
      <c r="D1439" t="n">
        <v>5040</v>
      </c>
    </row>
    <row r="1440">
      <c r="A1440" t="inlineStr">
        <is>
          <t>F5, INC.</t>
        </is>
      </c>
      <c r="B1440" t="inlineStr">
        <is>
          <t>FFIV</t>
        </is>
      </c>
      <c r="C1440" t="inlineStr">
        <is>
          <t>F5, INC.</t>
        </is>
      </c>
      <c r="D1440" t="n">
        <v>3576</v>
      </c>
    </row>
    <row r="1441">
      <c r="A1441" t="inlineStr">
        <is>
          <t>FABRINET</t>
        </is>
      </c>
      <c r="B1441" t="inlineStr">
        <is>
          <t>FN</t>
        </is>
      </c>
      <c r="C1441" t="inlineStr">
        <is>
          <t>FABRINET</t>
        </is>
      </c>
      <c r="D1441" t="n">
        <v>3661</v>
      </c>
    </row>
    <row r="1442">
      <c r="A1442" t="inlineStr">
        <is>
          <t>FACTSET RESEARCH SYSTEMS INC</t>
        </is>
      </c>
      <c r="B1442" t="inlineStr">
        <is>
          <t>FDS</t>
        </is>
      </c>
      <c r="C1442" t="inlineStr">
        <is>
          <t>FACTSET RESEARCH SYSTEMS INC</t>
        </is>
      </c>
      <c r="D1442" t="n">
        <v>7370</v>
      </c>
    </row>
    <row r="1443">
      <c r="A1443" t="inlineStr">
        <is>
          <t>FAIR ISAAC CORP</t>
        </is>
      </c>
      <c r="B1443" t="inlineStr">
        <is>
          <t>FICO</t>
        </is>
      </c>
      <c r="C1443" t="inlineStr">
        <is>
          <t>FAIR ISAAC CORP</t>
        </is>
      </c>
      <c r="D1443" t="n">
        <v>7389</v>
      </c>
    </row>
    <row r="1444">
      <c r="A1444" t="inlineStr">
        <is>
          <t>FANGDD NETWORK GROUP LTD.</t>
        </is>
      </c>
      <c r="B1444" t="inlineStr">
        <is>
          <t>DUO</t>
        </is>
      </c>
      <c r="C1444" t="inlineStr">
        <is>
          <t>FANGDD NETWORK GROUP LTD.</t>
        </is>
      </c>
      <c r="D1444" t="n">
        <v>6500</v>
      </c>
    </row>
    <row r="1445">
      <c r="A1445" t="inlineStr">
        <is>
          <t>FANHUA INC.</t>
        </is>
      </c>
      <c r="B1445" t="inlineStr">
        <is>
          <t>FANH</t>
        </is>
      </c>
      <c r="C1445" t="inlineStr">
        <is>
          <t>FANHUA INC.</t>
        </is>
      </c>
      <c r="D1445" t="n">
        <v>6411</v>
      </c>
    </row>
    <row r="1446">
      <c r="A1446" t="inlineStr">
        <is>
          <t>FARMER BROTHERS CO</t>
        </is>
      </c>
      <c r="B1446" t="inlineStr">
        <is>
          <t>FARM</t>
        </is>
      </c>
      <c r="C1446" t="inlineStr">
        <is>
          <t>FARMER BROTHERS CO</t>
        </is>
      </c>
      <c r="D1446" t="n">
        <v>2090</v>
      </c>
    </row>
    <row r="1447">
      <c r="A1447" t="inlineStr">
        <is>
          <t>FARMERS &amp; MERCHANTS BANCORP</t>
        </is>
      </c>
      <c r="B1447" t="inlineStr">
        <is>
          <t>FMCB</t>
        </is>
      </c>
      <c r="C1447" t="inlineStr">
        <is>
          <t>FARMERS &amp; MERCHANTS BANCORP</t>
        </is>
      </c>
      <c r="D1447" t="n">
        <v>6021</v>
      </c>
    </row>
    <row r="1448">
      <c r="A1448" t="inlineStr">
        <is>
          <t>FARMERS &amp; MERCHANTS BANCORP INC</t>
        </is>
      </c>
      <c r="B1448" t="inlineStr">
        <is>
          <t>FMAO</t>
        </is>
      </c>
      <c r="C1448" t="inlineStr">
        <is>
          <t>FARMERS &amp; MERCHANTS BANCORP INC</t>
        </is>
      </c>
      <c r="D1448" t="n">
        <v>6035</v>
      </c>
    </row>
    <row r="1449">
      <c r="A1449" t="inlineStr">
        <is>
          <t>FARMERS &amp; MERCHANTS BANCSHARES, INC.</t>
        </is>
      </c>
      <c r="B1449" t="inlineStr">
        <is>
          <t>FMFG</t>
        </is>
      </c>
      <c r="C1449" t="inlineStr">
        <is>
          <t>FARMERS &amp; MERCHANTS BANCSHARES, INC.</t>
        </is>
      </c>
      <c r="D1449" t="n">
        <v>6036</v>
      </c>
    </row>
    <row r="1450">
      <c r="A1450" t="inlineStr">
        <is>
          <t>FARMERS NATIONAL BANC CORP /OH/</t>
        </is>
      </c>
      <c r="B1450" t="inlineStr">
        <is>
          <t>FMNB</t>
        </is>
      </c>
      <c r="C1450" t="inlineStr">
        <is>
          <t>FARMERS NATIONAL BANC CORP /OH/</t>
        </is>
      </c>
      <c r="D1450" t="n">
        <v>6022</v>
      </c>
    </row>
    <row r="1451">
      <c r="A1451" t="inlineStr">
        <is>
          <t>FARMLAND PARTNERS INC.</t>
        </is>
      </c>
      <c r="B1451" t="inlineStr">
        <is>
          <t>FPI</t>
        </is>
      </c>
      <c r="C1451" t="inlineStr">
        <is>
          <t>FARMLAND PARTNERS INC.</t>
        </is>
      </c>
      <c r="D1451" t="n">
        <v>6798</v>
      </c>
    </row>
    <row r="1452">
      <c r="A1452" t="inlineStr">
        <is>
          <t>FARMMI, INC.</t>
        </is>
      </c>
      <c r="B1452" t="inlineStr">
        <is>
          <t>FAMI</t>
        </is>
      </c>
      <c r="C1452" t="inlineStr">
        <is>
          <t>FARMMI, INC.</t>
        </is>
      </c>
      <c r="D1452" t="n">
        <v>2033</v>
      </c>
    </row>
    <row r="1453">
      <c r="A1453" t="inlineStr">
        <is>
          <t>FARO TECHNOLOGIES INC</t>
        </is>
      </c>
      <c r="B1453" t="inlineStr">
        <is>
          <t>FARO</t>
        </is>
      </c>
      <c r="C1453" t="inlineStr">
        <is>
          <t>FARO TECHNOLOGIES INC</t>
        </is>
      </c>
      <c r="D1453" t="n">
        <v>3829</v>
      </c>
    </row>
    <row r="1454">
      <c r="A1454" t="inlineStr">
        <is>
          <t>FASTENAL CO</t>
        </is>
      </c>
      <c r="B1454" t="inlineStr">
        <is>
          <t>FAST</t>
        </is>
      </c>
      <c r="C1454" t="inlineStr">
        <is>
          <t>FASTENAL CO</t>
        </is>
      </c>
      <c r="D1454" t="n">
        <v>5200</v>
      </c>
    </row>
    <row r="1455">
      <c r="A1455" t="inlineStr">
        <is>
          <t>FASTLY, INC.</t>
        </is>
      </c>
      <c r="B1455" t="inlineStr">
        <is>
          <t>FSLY</t>
        </is>
      </c>
      <c r="C1455" t="inlineStr">
        <is>
          <t>FASTLY, INC.</t>
        </is>
      </c>
      <c r="D1455" t="n">
        <v>7372</v>
      </c>
    </row>
    <row r="1456">
      <c r="A1456" t="inlineStr">
        <is>
          <t>FAT BRANDS, INC</t>
        </is>
      </c>
      <c r="B1456" t="inlineStr">
        <is>
          <t>FAT</t>
        </is>
      </c>
      <c r="C1456" t="inlineStr">
        <is>
          <t>FAT BRANDS, INC</t>
        </is>
      </c>
      <c r="D1456" t="n">
        <v>5812</v>
      </c>
    </row>
    <row r="1457">
      <c r="A1457" t="inlineStr">
        <is>
          <t>FATE THERAPEUTICS INC</t>
        </is>
      </c>
      <c r="B1457" t="inlineStr">
        <is>
          <t>FATE</t>
        </is>
      </c>
      <c r="C1457" t="inlineStr">
        <is>
          <t>FATE THERAPEUTICS INC</t>
        </is>
      </c>
      <c r="D1457" t="n">
        <v>2836</v>
      </c>
    </row>
    <row r="1458">
      <c r="A1458" t="inlineStr">
        <is>
          <t>FATHOM DIGITAL MANUFACTURING CORP</t>
        </is>
      </c>
      <c r="B1458" t="inlineStr">
        <is>
          <t>FATH</t>
        </is>
      </c>
      <c r="C1458" t="inlineStr">
        <is>
          <t>FATHOM DIGITAL MANUFACTURING CORP</t>
        </is>
      </c>
      <c r="D1458" t="n">
        <v>3440</v>
      </c>
    </row>
    <row r="1459">
      <c r="A1459" t="inlineStr">
        <is>
          <t>FATHOM HOLDINGS INC.</t>
        </is>
      </c>
      <c r="B1459" t="inlineStr">
        <is>
          <t>FTHM</t>
        </is>
      </c>
      <c r="C1459" t="inlineStr">
        <is>
          <t>FATHOM HOLDINGS INC.</t>
        </is>
      </c>
      <c r="D1459" t="n">
        <v>6531</v>
      </c>
    </row>
    <row r="1460">
      <c r="A1460" t="inlineStr">
        <is>
          <t>FB FINANCIAL CORP</t>
        </is>
      </c>
      <c r="B1460" t="inlineStr">
        <is>
          <t>FBK</t>
        </is>
      </c>
      <c r="C1460" t="inlineStr">
        <is>
          <t>FB FINANCIAL CORP</t>
        </is>
      </c>
      <c r="D1460" t="n">
        <v>6022</v>
      </c>
    </row>
    <row r="1461">
      <c r="A1461" t="inlineStr">
        <is>
          <t>FEDERAL AGRICULTURAL MORTGAGE CORP</t>
        </is>
      </c>
      <c r="B1461" t="inlineStr">
        <is>
          <t>AGM</t>
        </is>
      </c>
      <c r="C1461" t="inlineStr">
        <is>
          <t>FEDERAL AGRICULTURAL MORTGAGE CORP</t>
        </is>
      </c>
      <c r="D1461" t="n">
        <v>6111</v>
      </c>
    </row>
    <row r="1462">
      <c r="A1462" t="inlineStr">
        <is>
          <t>FEDERAL HOME LOAN MORTGAGE CORP</t>
        </is>
      </c>
      <c r="B1462" t="inlineStr">
        <is>
          <t>FMCC</t>
        </is>
      </c>
      <c r="C1462" t="inlineStr">
        <is>
          <t>FEDERAL HOME LOAN MORTGAGE CORP</t>
        </is>
      </c>
      <c r="D1462" t="n">
        <v>6111</v>
      </c>
    </row>
    <row r="1463">
      <c r="A1463" t="inlineStr">
        <is>
          <t>FEDERAL NATIONAL MORTGAGE ASSOCIATION FANNIE MAE</t>
        </is>
      </c>
      <c r="B1463" t="inlineStr">
        <is>
          <t>FNMA</t>
        </is>
      </c>
      <c r="C1463" t="inlineStr">
        <is>
          <t>FEDERAL NATIONAL MORTGAGE ASSOCIATION FANNIE MAE</t>
        </is>
      </c>
      <c r="D1463" t="n">
        <v>6111</v>
      </c>
    </row>
    <row r="1464">
      <c r="A1464" t="inlineStr">
        <is>
          <t>FEDERAL REALTY INVESTMENT TRUST</t>
        </is>
      </c>
      <c r="B1464" t="inlineStr">
        <is>
          <t>FRT</t>
        </is>
      </c>
      <c r="C1464" t="inlineStr">
        <is>
          <t>FEDERAL REALTY INVESTMENT TRUST</t>
        </is>
      </c>
      <c r="D1464" t="n">
        <v>6798</v>
      </c>
    </row>
    <row r="1465">
      <c r="A1465" t="inlineStr">
        <is>
          <t>FEDERAL SIGNAL CORP /DE/</t>
        </is>
      </c>
      <c r="B1465" t="inlineStr">
        <is>
          <t>FSS</t>
        </is>
      </c>
      <c r="C1465" t="inlineStr">
        <is>
          <t>FEDERAL SIGNAL CORP /DE/</t>
        </is>
      </c>
      <c r="D1465" t="n">
        <v>3711</v>
      </c>
    </row>
    <row r="1466">
      <c r="A1466" t="inlineStr">
        <is>
          <t>FEDERATED HERMES, INC.</t>
        </is>
      </c>
      <c r="B1466" t="inlineStr">
        <is>
          <t>FHI</t>
        </is>
      </c>
      <c r="C1466" t="inlineStr">
        <is>
          <t>FEDERATED HERMES, INC.</t>
        </is>
      </c>
      <c r="D1466" t="n">
        <v>6282</v>
      </c>
    </row>
    <row r="1467">
      <c r="A1467" t="inlineStr">
        <is>
          <t>FEDEX CORP</t>
        </is>
      </c>
      <c r="B1467" t="inlineStr">
        <is>
          <t>FDX</t>
        </is>
      </c>
      <c r="C1467" t="inlineStr">
        <is>
          <t>FEDEX CORP</t>
        </is>
      </c>
      <c r="D1467" t="n">
        <v>4513</v>
      </c>
    </row>
    <row r="1468">
      <c r="A1468" t="inlineStr">
        <is>
          <t>FERRELLGAS PARTNERS L P</t>
        </is>
      </c>
      <c r="B1468" t="inlineStr">
        <is>
          <t>FGPR</t>
        </is>
      </c>
      <c r="C1468" t="inlineStr">
        <is>
          <t>FERRELLGAS PARTNERS L P</t>
        </is>
      </c>
      <c r="D1468" t="n">
        <v>5900</v>
      </c>
    </row>
    <row r="1469">
      <c r="A1469" t="inlineStr">
        <is>
          <t>FFBW, INC. /MD/</t>
        </is>
      </c>
      <c r="B1469" t="inlineStr">
        <is>
          <t>FFBW</t>
        </is>
      </c>
      <c r="C1469" t="inlineStr">
        <is>
          <t>FFBW, INC. /MD/</t>
        </is>
      </c>
      <c r="D1469" t="n">
        <v>6035</v>
      </c>
    </row>
    <row r="1470">
      <c r="A1470" t="inlineStr">
        <is>
          <t>FIBROGEN INC</t>
        </is>
      </c>
      <c r="B1470" t="inlineStr">
        <is>
          <t>FGEN</t>
        </is>
      </c>
      <c r="C1470" t="inlineStr">
        <is>
          <t>FIBROGEN INC</t>
        </is>
      </c>
      <c r="D1470" t="n">
        <v>2834</v>
      </c>
    </row>
    <row r="1471">
      <c r="A1471" t="inlineStr">
        <is>
          <t>FIDELITY D &amp; D BANCORP INC</t>
        </is>
      </c>
      <c r="B1471" t="inlineStr">
        <is>
          <t>FDBC</t>
        </is>
      </c>
      <c r="C1471" t="inlineStr">
        <is>
          <t>FIDELITY D &amp; D BANCORP INC</t>
        </is>
      </c>
      <c r="D1471" t="n">
        <v>6021</v>
      </c>
    </row>
    <row r="1472">
      <c r="A1472" t="inlineStr">
        <is>
          <t>FIDELITY NATIONAL FINANCIAL, INC.</t>
        </is>
      </c>
      <c r="B1472" t="inlineStr">
        <is>
          <t>FNF</t>
        </is>
      </c>
      <c r="C1472" t="inlineStr">
        <is>
          <t>FIDELITY NATIONAL FINANCIAL, INC.</t>
        </is>
      </c>
      <c r="D1472" t="n">
        <v>6361</v>
      </c>
    </row>
    <row r="1473">
      <c r="A1473" t="inlineStr">
        <is>
          <t>FIDELITY NATIONAL INFORMATION SERVICES, INC.</t>
        </is>
      </c>
      <c r="B1473" t="inlineStr">
        <is>
          <t>FIS</t>
        </is>
      </c>
      <c r="C1473" t="inlineStr">
        <is>
          <t>FIDELITY NATIONAL INFORMATION SERVICES, INC.</t>
        </is>
      </c>
      <c r="D1473" t="n">
        <v>7389</v>
      </c>
    </row>
    <row r="1474">
      <c r="A1474" t="inlineStr">
        <is>
          <t>FIESTA RESTAURANT GROUP, INC.</t>
        </is>
      </c>
      <c r="B1474" t="inlineStr">
        <is>
          <t>FRGI</t>
        </is>
      </c>
      <c r="C1474" t="inlineStr">
        <is>
          <t>FIESTA RESTAURANT GROUP, INC.</t>
        </is>
      </c>
      <c r="D1474" t="n">
        <v>5812</v>
      </c>
    </row>
    <row r="1475">
      <c r="A1475" t="inlineStr">
        <is>
          <t>FIFTH THIRD BANCORP</t>
        </is>
      </c>
      <c r="B1475" t="inlineStr">
        <is>
          <t>FITB</t>
        </is>
      </c>
      <c r="C1475" t="inlineStr">
        <is>
          <t>FIFTH THIRD BANCORP</t>
        </is>
      </c>
      <c r="D1475" t="n">
        <v>6022</v>
      </c>
    </row>
    <row r="1476">
      <c r="A1476" t="inlineStr">
        <is>
          <t>FIGS, INC.</t>
        </is>
      </c>
      <c r="B1476" t="inlineStr">
        <is>
          <t>FIGS</t>
        </is>
      </c>
      <c r="C1476" t="inlineStr">
        <is>
          <t>FIGS, INC.</t>
        </is>
      </c>
      <c r="D1476" t="n">
        <v>2300</v>
      </c>
    </row>
    <row r="1477">
      <c r="A1477" t="inlineStr">
        <is>
          <t>FINANCIAL INSTITUTIONS INC</t>
        </is>
      </c>
      <c r="B1477" t="inlineStr">
        <is>
          <t>FISI</t>
        </is>
      </c>
      <c r="C1477" t="inlineStr">
        <is>
          <t>FINANCIAL INSTITUTIONS INC</t>
        </is>
      </c>
      <c r="D1477" t="n">
        <v>6021</v>
      </c>
    </row>
    <row r="1478">
      <c r="A1478" t="inlineStr">
        <is>
          <t>FINCH THERAPEUTICS GROUP, INC.</t>
        </is>
      </c>
      <c r="B1478" t="inlineStr">
        <is>
          <t>FNCH</t>
        </is>
      </c>
      <c r="C1478" t="inlineStr">
        <is>
          <t>FINCH THERAPEUTICS GROUP, INC.</t>
        </is>
      </c>
      <c r="D1478" t="n">
        <v>2836</v>
      </c>
    </row>
    <row r="1479">
      <c r="A1479" t="inlineStr">
        <is>
          <t>FINWARD BANCORP</t>
        </is>
      </c>
      <c r="B1479" t="inlineStr">
        <is>
          <t>FNWD</t>
        </is>
      </c>
      <c r="C1479" t="inlineStr">
        <is>
          <t>FINWARD BANCORP</t>
        </is>
      </c>
      <c r="D1479" t="n">
        <v>6035</v>
      </c>
    </row>
    <row r="1480">
      <c r="A1480" t="inlineStr">
        <is>
          <t>FIRST ADVANTAGE CORP</t>
        </is>
      </c>
      <c r="B1480" t="inlineStr">
        <is>
          <t>FA</t>
        </is>
      </c>
      <c r="C1480" t="inlineStr">
        <is>
          <t>FIRST ADVANTAGE CORP</t>
        </is>
      </c>
      <c r="D1480" t="n">
        <v>7389</v>
      </c>
    </row>
    <row r="1481">
      <c r="A1481" t="inlineStr">
        <is>
          <t>FIRST AMERICAN FINANCIAL CORP</t>
        </is>
      </c>
      <c r="B1481" t="inlineStr">
        <is>
          <t>FAF</t>
        </is>
      </c>
      <c r="C1481" t="inlineStr">
        <is>
          <t>FIRST AMERICAN FINANCIAL CORP</t>
        </is>
      </c>
      <c r="D1481" t="n">
        <v>6361</v>
      </c>
    </row>
    <row r="1482">
      <c r="A1482" t="inlineStr">
        <is>
          <t>FIRST BANCORP /NC/</t>
        </is>
      </c>
      <c r="B1482" t="inlineStr">
        <is>
          <t>FBNC</t>
        </is>
      </c>
      <c r="C1482" t="inlineStr">
        <is>
          <t>FIRST BANCORP /NC/</t>
        </is>
      </c>
      <c r="D1482" t="n">
        <v>6022</v>
      </c>
    </row>
    <row r="1483">
      <c r="A1483" t="inlineStr">
        <is>
          <t>FIRST BANCORP /PR/</t>
        </is>
      </c>
      <c r="B1483" t="inlineStr">
        <is>
          <t>FBP</t>
        </is>
      </c>
      <c r="C1483" t="inlineStr">
        <is>
          <t>FIRST BANCORP /PR/</t>
        </is>
      </c>
      <c r="D1483" t="n">
        <v>6022</v>
      </c>
    </row>
    <row r="1484">
      <c r="A1484" t="inlineStr">
        <is>
          <t>FIRST BANCORP, INC /ME/</t>
        </is>
      </c>
      <c r="B1484" t="inlineStr">
        <is>
          <t>FNLC</t>
        </is>
      </c>
      <c r="C1484" t="inlineStr">
        <is>
          <t>FIRST BANCORP, INC /ME/</t>
        </is>
      </c>
      <c r="D1484" t="n">
        <v>6021</v>
      </c>
    </row>
    <row r="1485">
      <c r="A1485" t="inlineStr">
        <is>
          <t>FIRST BANCSHARES INC /MS/</t>
        </is>
      </c>
      <c r="B1485" t="inlineStr">
        <is>
          <t>FBMS</t>
        </is>
      </c>
      <c r="C1485" t="inlineStr">
        <is>
          <t>FIRST BANCSHARES INC /MS/</t>
        </is>
      </c>
      <c r="D1485" t="n">
        <v>6021</v>
      </c>
    </row>
    <row r="1486">
      <c r="A1486" t="inlineStr">
        <is>
          <t>FIRST BUSEY CORP /NV/</t>
        </is>
      </c>
      <c r="B1486" t="inlineStr">
        <is>
          <t>BUSE</t>
        </is>
      </c>
      <c r="C1486" t="inlineStr">
        <is>
          <t>FIRST BUSEY CORP /NV/</t>
        </is>
      </c>
      <c r="D1486" t="n">
        <v>6022</v>
      </c>
    </row>
    <row r="1487">
      <c r="A1487" t="inlineStr">
        <is>
          <t>FIRST BUSINESS FINANCIAL SERVICES, INC.</t>
        </is>
      </c>
      <c r="B1487" t="inlineStr">
        <is>
          <t>FBIZ</t>
        </is>
      </c>
      <c r="C1487" t="inlineStr">
        <is>
          <t>FIRST BUSINESS FINANCIAL SERVICES, INC.</t>
        </is>
      </c>
      <c r="D1487" t="n">
        <v>6022</v>
      </c>
    </row>
    <row r="1488">
      <c r="A1488" t="inlineStr">
        <is>
          <t>FIRST CAPITAL INC</t>
        </is>
      </c>
      <c r="B1488" t="inlineStr">
        <is>
          <t>FCAP</t>
        </is>
      </c>
      <c r="C1488" t="inlineStr">
        <is>
          <t>FIRST CAPITAL INC</t>
        </is>
      </c>
      <c r="D1488" t="n">
        <v>6035</v>
      </c>
    </row>
    <row r="1489">
      <c r="A1489" t="inlineStr">
        <is>
          <t>FIRST CITIZENS BANCSHARES INC /DE/</t>
        </is>
      </c>
      <c r="B1489" t="inlineStr">
        <is>
          <t>FCNCA</t>
        </is>
      </c>
      <c r="C1489" t="inlineStr">
        <is>
          <t>FIRST CITIZENS BANCSHARES INC /DE/</t>
        </is>
      </c>
      <c r="D1489" t="n">
        <v>6022</v>
      </c>
    </row>
    <row r="1490">
      <c r="A1490" t="inlineStr">
        <is>
          <t>FIRST COMMONWEALTH FINANCIAL CORP /PA/</t>
        </is>
      </c>
      <c r="B1490" t="inlineStr">
        <is>
          <t>FCF</t>
        </is>
      </c>
      <c r="C1490" t="inlineStr">
        <is>
          <t>FIRST COMMONWEALTH FINANCIAL CORP /PA/</t>
        </is>
      </c>
      <c r="D1490" t="n">
        <v>6021</v>
      </c>
    </row>
    <row r="1491">
      <c r="A1491" t="inlineStr">
        <is>
          <t>FIRST COMMUNITY BANKSHARES INC /VA/</t>
        </is>
      </c>
      <c r="B1491" t="inlineStr">
        <is>
          <t>FCBC</t>
        </is>
      </c>
      <c r="C1491" t="inlineStr">
        <is>
          <t>FIRST COMMUNITY BANKSHARES INC /VA/</t>
        </is>
      </c>
      <c r="D1491" t="n">
        <v>6022</v>
      </c>
    </row>
    <row r="1492">
      <c r="A1492" t="inlineStr">
        <is>
          <t>FIRST COMMUNITY CORP /SC/</t>
        </is>
      </c>
      <c r="B1492" t="inlineStr">
        <is>
          <t>FCCO</t>
        </is>
      </c>
      <c r="C1492" t="inlineStr">
        <is>
          <t>FIRST COMMUNITY CORP /SC/</t>
        </is>
      </c>
      <c r="D1492" t="n">
        <v>6022</v>
      </c>
    </row>
    <row r="1493">
      <c r="A1493" t="inlineStr">
        <is>
          <t>FIRST FINANCIAL BANCORP /OH/</t>
        </is>
      </c>
      <c r="B1493" t="inlineStr">
        <is>
          <t>FFBC</t>
        </is>
      </c>
      <c r="C1493" t="inlineStr">
        <is>
          <t>FIRST FINANCIAL BANCORP /OH/</t>
        </is>
      </c>
      <c r="D1493" t="n">
        <v>6021</v>
      </c>
    </row>
    <row r="1494">
      <c r="A1494" t="inlineStr">
        <is>
          <t>FIRST FINANCIAL BANKSHARES INC</t>
        </is>
      </c>
      <c r="B1494" t="inlineStr">
        <is>
          <t>FFIN</t>
        </is>
      </c>
      <c r="C1494" t="inlineStr">
        <is>
          <t>FIRST FINANCIAL BANKSHARES INC</t>
        </is>
      </c>
      <c r="D1494" t="n">
        <v>6022</v>
      </c>
    </row>
    <row r="1495">
      <c r="A1495" t="inlineStr">
        <is>
          <t>FIRST FINANCIAL CORP /IN/</t>
        </is>
      </c>
      <c r="B1495" t="inlineStr">
        <is>
          <t>THFF</t>
        </is>
      </c>
      <c r="C1495" t="inlineStr">
        <is>
          <t>FIRST FINANCIAL CORP /IN/</t>
        </is>
      </c>
      <c r="D1495" t="n">
        <v>6022</v>
      </c>
    </row>
    <row r="1496">
      <c r="A1496" t="inlineStr">
        <is>
          <t>FIRST FINANCIAL NORTHWEST, INC.</t>
        </is>
      </c>
      <c r="B1496" t="inlineStr">
        <is>
          <t>FFNW</t>
        </is>
      </c>
      <c r="C1496" t="inlineStr">
        <is>
          <t>FIRST FINANCIAL NORTHWEST, INC.</t>
        </is>
      </c>
      <c r="D1496" t="n">
        <v>6022</v>
      </c>
    </row>
    <row r="1497">
      <c r="A1497" t="inlineStr">
        <is>
          <t>FIRST FOUNDATION INC.</t>
        </is>
      </c>
      <c r="B1497" t="inlineStr">
        <is>
          <t>FFWM</t>
        </is>
      </c>
      <c r="C1497" t="inlineStr">
        <is>
          <t>FIRST FOUNDATION INC.</t>
        </is>
      </c>
      <c r="D1497" t="n">
        <v>6022</v>
      </c>
    </row>
    <row r="1498">
      <c r="A1498" t="inlineStr">
        <is>
          <t>FIRST GUARANTY BANCSHARES, INC.</t>
        </is>
      </c>
      <c r="B1498" t="inlineStr">
        <is>
          <t>FGBI</t>
        </is>
      </c>
      <c r="C1498" t="inlineStr">
        <is>
          <t>FIRST GUARANTY BANCSHARES, INC.</t>
        </is>
      </c>
      <c r="D1498" t="n">
        <v>6035</v>
      </c>
    </row>
    <row r="1499">
      <c r="A1499" t="inlineStr">
        <is>
          <t>FIRST HAWAIIAN, INC.</t>
        </is>
      </c>
      <c r="B1499" t="inlineStr">
        <is>
          <t>FHB</t>
        </is>
      </c>
      <c r="C1499" t="inlineStr">
        <is>
          <t>FIRST HAWAIIAN, INC.</t>
        </is>
      </c>
      <c r="D1499" t="n">
        <v>6022</v>
      </c>
    </row>
    <row r="1500">
      <c r="A1500" t="inlineStr">
        <is>
          <t>FIRST HORIZON CORP</t>
        </is>
      </c>
      <c r="B1500" t="inlineStr">
        <is>
          <t>FHN</t>
        </is>
      </c>
      <c r="C1500" t="inlineStr">
        <is>
          <t>FIRST HORIZON CORP</t>
        </is>
      </c>
      <c r="D1500" t="n">
        <v>6021</v>
      </c>
    </row>
    <row r="1501">
      <c r="A1501" t="inlineStr">
        <is>
          <t>FIRST INDUSTRIAL REALTY TRUST INC</t>
        </is>
      </c>
      <c r="B1501" t="inlineStr">
        <is>
          <t>FR</t>
        </is>
      </c>
      <c r="C1501" t="inlineStr">
        <is>
          <t>FIRST INDUSTRIAL REALTY TRUST INC</t>
        </is>
      </c>
      <c r="D1501" t="n">
        <v>6798</v>
      </c>
    </row>
    <row r="1502">
      <c r="A1502" t="inlineStr">
        <is>
          <t>FIRST INTERNET BANCORP</t>
        </is>
      </c>
      <c r="B1502" t="inlineStr">
        <is>
          <t>INBK</t>
        </is>
      </c>
      <c r="C1502" t="inlineStr">
        <is>
          <t>FIRST INTERNET BANCORP</t>
        </is>
      </c>
      <c r="D1502" t="n">
        <v>6022</v>
      </c>
    </row>
    <row r="1503">
      <c r="A1503" t="inlineStr">
        <is>
          <t>FIRST INTERSTATE BANCSYSTEM INC</t>
        </is>
      </c>
      <c r="B1503" t="inlineStr">
        <is>
          <t>FIBK</t>
        </is>
      </c>
      <c r="C1503" t="inlineStr">
        <is>
          <t>FIRST INTERSTATE BANCSYSTEM INC</t>
        </is>
      </c>
      <c r="D1503" t="n">
        <v>6022</v>
      </c>
    </row>
    <row r="1504">
      <c r="A1504" t="inlineStr">
        <is>
          <t>FIRST KEYSTONE CORP</t>
        </is>
      </c>
      <c r="B1504" t="inlineStr">
        <is>
          <t>FKYS</t>
        </is>
      </c>
      <c r="C1504" t="inlineStr">
        <is>
          <t>FIRST KEYSTONE CORP</t>
        </is>
      </c>
      <c r="D1504" t="n">
        <v>6022</v>
      </c>
    </row>
    <row r="1505">
      <c r="A1505" t="inlineStr">
        <is>
          <t>FIRST MERCHANTS CORP</t>
        </is>
      </c>
      <c r="B1505" t="inlineStr">
        <is>
          <t>FRME</t>
        </is>
      </c>
      <c r="C1505" t="inlineStr">
        <is>
          <t>FIRST MERCHANTS CORP</t>
        </is>
      </c>
      <c r="D1505" t="n">
        <v>6021</v>
      </c>
    </row>
    <row r="1506">
      <c r="A1506" t="inlineStr">
        <is>
          <t>FIRST MID BANCSHARES, INC.</t>
        </is>
      </c>
      <c r="B1506" t="inlineStr">
        <is>
          <t>FMBH</t>
        </is>
      </c>
      <c r="C1506" t="inlineStr">
        <is>
          <t>FIRST MID BANCSHARES, INC.</t>
        </is>
      </c>
      <c r="D1506" t="n">
        <v>6022</v>
      </c>
    </row>
    <row r="1507">
      <c r="A1507" t="inlineStr">
        <is>
          <t>FIRST NATIONAL CORP /VA/</t>
        </is>
      </c>
      <c r="B1507" t="inlineStr">
        <is>
          <t>FXNC</t>
        </is>
      </c>
      <c r="C1507" t="inlineStr">
        <is>
          <t>FIRST NATIONAL CORP /VA/</t>
        </is>
      </c>
      <c r="D1507" t="n">
        <v>6022</v>
      </c>
    </row>
    <row r="1508">
      <c r="A1508" t="inlineStr">
        <is>
          <t>FIRST NORTHERN COMMUNITY BANCORP</t>
        </is>
      </c>
      <c r="B1508" t="inlineStr">
        <is>
          <t>FNRN</t>
        </is>
      </c>
      <c r="C1508" t="inlineStr">
        <is>
          <t>FIRST NORTHERN COMMUNITY BANCORP</t>
        </is>
      </c>
      <c r="D1508" t="n">
        <v>6035</v>
      </c>
    </row>
    <row r="1509">
      <c r="A1509" t="inlineStr">
        <is>
          <t>FIRST NORTHWEST BANCORP</t>
        </is>
      </c>
      <c r="B1509" t="inlineStr">
        <is>
          <t>FNWB</t>
        </is>
      </c>
      <c r="C1509" t="inlineStr">
        <is>
          <t>FIRST NORTHWEST BANCORP</t>
        </is>
      </c>
      <c r="D1509" t="n">
        <v>6036</v>
      </c>
    </row>
    <row r="1510">
      <c r="A1510" t="inlineStr">
        <is>
          <t>FIRST OF LONG ISLAND CORP</t>
        </is>
      </c>
      <c r="B1510" t="inlineStr">
        <is>
          <t>FLIC</t>
        </is>
      </c>
      <c r="C1510" t="inlineStr">
        <is>
          <t>FIRST OF LONG ISLAND CORP</t>
        </is>
      </c>
      <c r="D1510" t="n">
        <v>6021</v>
      </c>
    </row>
    <row r="1511">
      <c r="A1511" t="inlineStr">
        <is>
          <t>FIRST REAL ESTATE INVESTMENT TRUST OF NEW JERSEY</t>
        </is>
      </c>
      <c r="B1511" t="inlineStr">
        <is>
          <t>FREVS</t>
        </is>
      </c>
      <c r="C1511" t="inlineStr">
        <is>
          <t>FIRST REAL ESTATE INVESTMENT TRUST OF NEW JERSEY</t>
        </is>
      </c>
      <c r="D1511" t="n">
        <v>6798</v>
      </c>
    </row>
    <row r="1512">
      <c r="A1512" t="inlineStr">
        <is>
          <t>FIRST SAVINGS FINANCIAL GROUP, INC.</t>
        </is>
      </c>
      <c r="B1512" t="inlineStr">
        <is>
          <t>FSFG</t>
        </is>
      </c>
      <c r="C1512" t="inlineStr">
        <is>
          <t>FIRST SAVINGS FINANCIAL GROUP, INC.</t>
        </is>
      </c>
      <c r="D1512" t="n">
        <v>6035</v>
      </c>
    </row>
    <row r="1513">
      <c r="A1513" t="inlineStr">
        <is>
          <t>FIRST SEACOAST BANCORP</t>
        </is>
      </c>
      <c r="B1513" t="inlineStr">
        <is>
          <t>FSEA</t>
        </is>
      </c>
      <c r="C1513" t="inlineStr">
        <is>
          <t>FIRST SEACOAST BANCORP</t>
        </is>
      </c>
      <c r="D1513" t="n">
        <v>6035</v>
      </c>
    </row>
    <row r="1514">
      <c r="A1514" t="inlineStr">
        <is>
          <t>FIRST SOLAR, INC.</t>
        </is>
      </c>
      <c r="B1514" t="inlineStr">
        <is>
          <t>FSLR</t>
        </is>
      </c>
      <c r="C1514" t="inlineStr">
        <is>
          <t>FIRST SOLAR, INC.</t>
        </is>
      </c>
      <c r="D1514" t="n">
        <v>3674</v>
      </c>
    </row>
    <row r="1515">
      <c r="A1515" t="inlineStr">
        <is>
          <t>FIRST UNITED CORP/MD/</t>
        </is>
      </c>
      <c r="B1515" t="inlineStr">
        <is>
          <t>FUNC</t>
        </is>
      </c>
      <c r="C1515" t="inlineStr">
        <is>
          <t>FIRST UNITED CORP/MD/</t>
        </is>
      </c>
      <c r="D1515" t="n">
        <v>6021</v>
      </c>
    </row>
    <row r="1516">
      <c r="A1516" t="inlineStr">
        <is>
          <t>FIRST US BANCSHARES, INC.</t>
        </is>
      </c>
      <c r="B1516" t="inlineStr">
        <is>
          <t>FUSB</t>
        </is>
      </c>
      <c r="C1516" t="inlineStr">
        <is>
          <t>FIRST US BANCSHARES, INC.</t>
        </is>
      </c>
      <c r="D1516" t="n">
        <v>6022</v>
      </c>
    </row>
    <row r="1517">
      <c r="A1517" t="inlineStr">
        <is>
          <t>FIRST WATCH RESTAURANT GROUP, INC.</t>
        </is>
      </c>
      <c r="B1517" t="inlineStr">
        <is>
          <t>FWRG</t>
        </is>
      </c>
      <c r="C1517" t="inlineStr">
        <is>
          <t>FIRST WATCH RESTAURANT GROUP, INC.</t>
        </is>
      </c>
      <c r="D1517" t="n">
        <v>5812</v>
      </c>
    </row>
    <row r="1518">
      <c r="A1518" t="inlineStr">
        <is>
          <t>FIRST WESTERN FINANCIAL INC</t>
        </is>
      </c>
      <c r="B1518" t="inlineStr">
        <is>
          <t>MYFW</t>
        </is>
      </c>
      <c r="C1518" t="inlineStr">
        <is>
          <t>FIRST WESTERN FINANCIAL INC</t>
        </is>
      </c>
      <c r="D1518" t="n">
        <v>6022</v>
      </c>
    </row>
    <row r="1519">
      <c r="A1519" t="inlineStr">
        <is>
          <t>FIRSTCASH HOLDINGS, INC.</t>
        </is>
      </c>
      <c r="B1519" t="inlineStr">
        <is>
          <t>FCFS</t>
        </is>
      </c>
      <c r="C1519" t="inlineStr">
        <is>
          <t>FIRSTCASH HOLDINGS, INC.</t>
        </is>
      </c>
      <c r="D1519" t="n">
        <v>5900</v>
      </c>
    </row>
    <row r="1520">
      <c r="A1520" t="inlineStr">
        <is>
          <t>FIRSTENERGY CORP</t>
        </is>
      </c>
      <c r="B1520" t="inlineStr">
        <is>
          <t>FE</t>
        </is>
      </c>
      <c r="C1520" t="inlineStr">
        <is>
          <t>FIRSTENERGY CORP</t>
        </is>
      </c>
      <c r="D1520" t="n">
        <v>4911</v>
      </c>
    </row>
    <row r="1521">
      <c r="A1521" t="inlineStr">
        <is>
          <t>FIRSTSERVICE CORP</t>
        </is>
      </c>
      <c r="B1521" t="inlineStr">
        <is>
          <t>FSV</t>
        </is>
      </c>
      <c r="C1521" t="inlineStr">
        <is>
          <t>FIRSTSERVICE CORP</t>
        </is>
      </c>
      <c r="D1521" t="n">
        <v>6500</v>
      </c>
    </row>
    <row r="1522">
      <c r="A1522" t="inlineStr">
        <is>
          <t>FISERV INC</t>
        </is>
      </c>
      <c r="B1522" t="inlineStr">
        <is>
          <t>FISV</t>
        </is>
      </c>
      <c r="C1522" t="inlineStr">
        <is>
          <t>FISERV INC</t>
        </is>
      </c>
      <c r="D1522" t="n">
        <v>7389</v>
      </c>
    </row>
    <row r="1523">
      <c r="A1523" t="inlineStr">
        <is>
          <t>FIVE BELOW, INC</t>
        </is>
      </c>
      <c r="B1523" t="inlineStr">
        <is>
          <t>FIVE</t>
        </is>
      </c>
      <c r="C1523" t="inlineStr">
        <is>
          <t>FIVE BELOW, INC</t>
        </is>
      </c>
      <c r="D1523" t="n">
        <v>5331</v>
      </c>
    </row>
    <row r="1524">
      <c r="A1524" t="inlineStr">
        <is>
          <t>FIVE POINT HOLDINGS, LLC</t>
        </is>
      </c>
      <c r="B1524" t="inlineStr">
        <is>
          <t>FPH</t>
        </is>
      </c>
      <c r="C1524" t="inlineStr">
        <is>
          <t>FIVE POINT HOLDINGS, LLC</t>
        </is>
      </c>
      <c r="D1524" t="n">
        <v>6500</v>
      </c>
    </row>
    <row r="1525">
      <c r="A1525" t="inlineStr">
        <is>
          <t>FIVE STAR BANCORP</t>
        </is>
      </c>
      <c r="B1525" t="inlineStr">
        <is>
          <t>FSBC</t>
        </is>
      </c>
      <c r="C1525" t="inlineStr">
        <is>
          <t>FIVE STAR BANCORP</t>
        </is>
      </c>
      <c r="D1525" t="n">
        <v>6022</v>
      </c>
    </row>
    <row r="1526">
      <c r="A1526" t="inlineStr">
        <is>
          <t>FIVE9, INC.</t>
        </is>
      </c>
      <c r="B1526" t="inlineStr">
        <is>
          <t>FIVN</t>
        </is>
      </c>
      <c r="C1526" t="inlineStr">
        <is>
          <t>FIVE9, INC.</t>
        </is>
      </c>
      <c r="D1526" t="n">
        <v>7374</v>
      </c>
    </row>
    <row r="1527">
      <c r="A1527" t="inlineStr">
        <is>
          <t>FIVERR INTERNATIONAL LTD.</t>
        </is>
      </c>
      <c r="B1527" t="inlineStr">
        <is>
          <t>FVRR</t>
        </is>
      </c>
      <c r="C1527" t="inlineStr">
        <is>
          <t>FIVERR INTERNATIONAL LTD.</t>
        </is>
      </c>
      <c r="D1527" t="n">
        <v>7389</v>
      </c>
    </row>
    <row r="1528">
      <c r="A1528" t="inlineStr">
        <is>
          <t>FLAGSTAR BANCORP INC</t>
        </is>
      </c>
      <c r="B1528" t="inlineStr">
        <is>
          <t>FBC</t>
        </is>
      </c>
      <c r="C1528" t="inlineStr">
        <is>
          <t>FLAGSTAR BANCORP INC</t>
        </is>
      </c>
      <c r="D1528" t="n">
        <v>6035</v>
      </c>
    </row>
    <row r="1529">
      <c r="A1529" t="inlineStr">
        <is>
          <t>FLANIGANS ENTERPRISES INC</t>
        </is>
      </c>
      <c r="B1529" t="inlineStr">
        <is>
          <t>BDL</t>
        </is>
      </c>
      <c r="C1529" t="inlineStr">
        <is>
          <t>FLANIGANS ENTERPRISES INC</t>
        </is>
      </c>
      <c r="D1529" t="n">
        <v>5812</v>
      </c>
    </row>
    <row r="1530">
      <c r="A1530" t="inlineStr">
        <is>
          <t>FLEETCOR TECHNOLOGIES INC</t>
        </is>
      </c>
      <c r="B1530" t="inlineStr">
        <is>
          <t>FLT</t>
        </is>
      </c>
      <c r="C1530" t="inlineStr">
        <is>
          <t>FLEETCOR TECHNOLOGIES INC</t>
        </is>
      </c>
      <c r="D1530" t="n">
        <v>7389</v>
      </c>
    </row>
    <row r="1531">
      <c r="A1531" t="inlineStr">
        <is>
          <t>FLEX LNG LTD.</t>
        </is>
      </c>
      <c r="B1531" t="inlineStr">
        <is>
          <t>FLNG</t>
        </is>
      </c>
      <c r="C1531" t="inlineStr">
        <is>
          <t>FLEX LNG LTD.</t>
        </is>
      </c>
      <c r="D1531" t="n">
        <v>4400</v>
      </c>
    </row>
    <row r="1532">
      <c r="A1532" t="inlineStr">
        <is>
          <t>FLEX LTD.</t>
        </is>
      </c>
      <c r="B1532" t="inlineStr">
        <is>
          <t>FLEX</t>
        </is>
      </c>
      <c r="C1532" t="inlineStr">
        <is>
          <t>FLEX LTD.</t>
        </is>
      </c>
      <c r="D1532" t="n">
        <v>3672</v>
      </c>
    </row>
    <row r="1533">
      <c r="A1533" t="inlineStr">
        <is>
          <t>FLEXIBLE SOLUTIONS INTERNATIONAL INC</t>
        </is>
      </c>
      <c r="B1533" t="inlineStr">
        <is>
          <t>FSI</t>
        </is>
      </c>
      <c r="C1533" t="inlineStr">
        <is>
          <t>FLEXIBLE SOLUTIONS INTERNATIONAL INC</t>
        </is>
      </c>
      <c r="D1533" t="n">
        <v>2890</v>
      </c>
    </row>
    <row r="1534">
      <c r="A1534" t="inlineStr">
        <is>
          <t>FLEXSHOPPER, INC.</t>
        </is>
      </c>
      <c r="B1534" t="inlineStr">
        <is>
          <t>FPAY</t>
        </is>
      </c>
      <c r="C1534" t="inlineStr">
        <is>
          <t>FLEXSHOPPER, INC.</t>
        </is>
      </c>
      <c r="D1534" t="n">
        <v>7359</v>
      </c>
    </row>
    <row r="1535">
      <c r="A1535" t="inlineStr">
        <is>
          <t>FLEXSTEEL INDUSTRIES INC</t>
        </is>
      </c>
      <c r="B1535" t="inlineStr">
        <is>
          <t>FLXS</t>
        </is>
      </c>
      <c r="C1535" t="inlineStr">
        <is>
          <t>FLEXSTEEL INDUSTRIES INC</t>
        </is>
      </c>
      <c r="D1535" t="n">
        <v>2510</v>
      </c>
    </row>
    <row r="1536">
      <c r="A1536" t="inlineStr">
        <is>
          <t>FLOOR &amp; DECOR HOLDINGS, INC.</t>
        </is>
      </c>
      <c r="B1536" t="inlineStr">
        <is>
          <t>FND</t>
        </is>
      </c>
      <c r="C1536" t="inlineStr">
        <is>
          <t>FLOOR &amp; DECOR HOLDINGS, INC.</t>
        </is>
      </c>
      <c r="D1536" t="n">
        <v>5211</v>
      </c>
    </row>
    <row r="1537">
      <c r="A1537" t="inlineStr">
        <is>
          <t>FLOTEK INDUSTRIES INC/CN/</t>
        </is>
      </c>
      <c r="B1537" t="inlineStr">
        <is>
          <t>FTK</t>
        </is>
      </c>
      <c r="C1537" t="inlineStr">
        <is>
          <t>FLOTEK INDUSTRIES INC/CN/</t>
        </is>
      </c>
      <c r="D1537" t="n">
        <v>2890</v>
      </c>
    </row>
    <row r="1538">
      <c r="A1538" t="inlineStr">
        <is>
          <t>FLOWERS FOODS INC</t>
        </is>
      </c>
      <c r="B1538" t="inlineStr">
        <is>
          <t>FLO</t>
        </is>
      </c>
      <c r="C1538" t="inlineStr">
        <is>
          <t>FLOWERS FOODS INC</t>
        </is>
      </c>
      <c r="D1538" t="n">
        <v>2000</v>
      </c>
    </row>
    <row r="1539">
      <c r="A1539" t="inlineStr">
        <is>
          <t>FLOWSERVE CORP</t>
        </is>
      </c>
      <c r="B1539" t="inlineStr">
        <is>
          <t>FLS</t>
        </is>
      </c>
      <c r="C1539" t="inlineStr">
        <is>
          <t>FLOWSERVE CORP</t>
        </is>
      </c>
      <c r="D1539" t="n">
        <v>3561</v>
      </c>
    </row>
    <row r="1540">
      <c r="A1540" t="inlineStr">
        <is>
          <t>FLUENT, INC.</t>
        </is>
      </c>
      <c r="B1540" t="inlineStr">
        <is>
          <t>FLNT</t>
        </is>
      </c>
      <c r="C1540" t="inlineStr">
        <is>
          <t>FLUENT, INC.</t>
        </is>
      </c>
      <c r="D1540" t="n">
        <v>7310</v>
      </c>
    </row>
    <row r="1541">
      <c r="A1541" t="inlineStr">
        <is>
          <t>FLUOR CORP</t>
        </is>
      </c>
      <c r="B1541" t="inlineStr">
        <is>
          <t>FLR</t>
        </is>
      </c>
      <c r="C1541" t="inlineStr">
        <is>
          <t>FLUOR CORP</t>
        </is>
      </c>
      <c r="D1541" t="n">
        <v>1600</v>
      </c>
    </row>
    <row r="1542">
      <c r="A1542" t="inlineStr">
        <is>
          <t>FLUSHING FINANCIAL CORP</t>
        </is>
      </c>
      <c r="B1542" t="inlineStr">
        <is>
          <t>FFIC</t>
        </is>
      </c>
      <c r="C1542" t="inlineStr">
        <is>
          <t>FLUSHING FINANCIAL CORP</t>
        </is>
      </c>
      <c r="D1542" t="n">
        <v>6022</v>
      </c>
    </row>
    <row r="1543">
      <c r="A1543" t="inlineStr">
        <is>
          <t>FLUX POWER HOLDINGS, INC.</t>
        </is>
      </c>
      <c r="B1543" t="inlineStr">
        <is>
          <t>FLUX</t>
        </is>
      </c>
      <c r="C1543" t="inlineStr">
        <is>
          <t>FLUX POWER HOLDINGS, INC.</t>
        </is>
      </c>
      <c r="D1543" t="n">
        <v>3690</v>
      </c>
    </row>
    <row r="1544">
      <c r="A1544" t="inlineStr">
        <is>
          <t>FLYWIRE CORP</t>
        </is>
      </c>
      <c r="B1544" t="inlineStr">
        <is>
          <t>FLYW</t>
        </is>
      </c>
      <c r="C1544" t="inlineStr">
        <is>
          <t>FLYWIRE CORP</t>
        </is>
      </c>
      <c r="D1544" t="n">
        <v>7389</v>
      </c>
    </row>
    <row r="1545">
      <c r="A1545" t="inlineStr">
        <is>
          <t>FMC CORP</t>
        </is>
      </c>
      <c r="B1545" t="inlineStr">
        <is>
          <t>FMC</t>
        </is>
      </c>
      <c r="C1545" t="inlineStr">
        <is>
          <t>FMC CORP</t>
        </is>
      </c>
      <c r="D1545" t="n">
        <v>2800</v>
      </c>
    </row>
    <row r="1546">
      <c r="A1546" t="inlineStr">
        <is>
          <t>FNB CORP/PA/</t>
        </is>
      </c>
      <c r="B1546" t="inlineStr">
        <is>
          <t>FNB</t>
        </is>
      </c>
      <c r="C1546" t="inlineStr">
        <is>
          <t>FNB CORP/PA/</t>
        </is>
      </c>
      <c r="D1546" t="n">
        <v>6021</v>
      </c>
    </row>
    <row r="1547">
      <c r="A1547" t="inlineStr">
        <is>
          <t>FNCB BANCORP, INC.</t>
        </is>
      </c>
      <c r="B1547" t="inlineStr">
        <is>
          <t>FNCB</t>
        </is>
      </c>
      <c r="C1547" t="inlineStr">
        <is>
          <t>FNCB BANCORP, INC.</t>
        </is>
      </c>
      <c r="D1547" t="n">
        <v>6021</v>
      </c>
    </row>
    <row r="1548">
      <c r="A1548" t="inlineStr">
        <is>
          <t>FOCUS FINANCIAL PARTNERS INC.</t>
        </is>
      </c>
      <c r="B1548" t="inlineStr">
        <is>
          <t>FOCS</t>
        </is>
      </c>
      <c r="C1548" t="inlineStr">
        <is>
          <t>FOCUS FINANCIAL PARTNERS INC.</t>
        </is>
      </c>
      <c r="D1548" t="n">
        <v>6282</v>
      </c>
    </row>
    <row r="1549">
      <c r="A1549" t="inlineStr">
        <is>
          <t>FOGHORN THERAPEUTICS INC.</t>
        </is>
      </c>
      <c r="B1549" t="inlineStr">
        <is>
          <t>FHTX</t>
        </is>
      </c>
      <c r="C1549" t="inlineStr">
        <is>
          <t>FOGHORN THERAPEUTICS INC.</t>
        </is>
      </c>
      <c r="D1549" t="n">
        <v>2834</v>
      </c>
    </row>
    <row r="1550">
      <c r="A1550" t="inlineStr">
        <is>
          <t>FONAR CORP</t>
        </is>
      </c>
      <c r="B1550" t="inlineStr">
        <is>
          <t>FONR</t>
        </is>
      </c>
      <c r="C1550" t="inlineStr">
        <is>
          <t>FONAR CORP</t>
        </is>
      </c>
      <c r="D1550" t="n">
        <v>3845</v>
      </c>
    </row>
    <row r="1551">
      <c r="A1551" t="inlineStr">
        <is>
          <t>FOOT LOCKER, INC.</t>
        </is>
      </c>
      <c r="B1551" t="inlineStr">
        <is>
          <t>FL</t>
        </is>
      </c>
      <c r="C1551" t="inlineStr">
        <is>
          <t>FOOT LOCKER, INC.</t>
        </is>
      </c>
      <c r="D1551" t="n">
        <v>5661</v>
      </c>
    </row>
    <row r="1552">
      <c r="A1552" t="inlineStr">
        <is>
          <t>FORD MOTOR CO</t>
        </is>
      </c>
      <c r="B1552" t="inlineStr">
        <is>
          <t>F</t>
        </is>
      </c>
      <c r="C1552" t="inlineStr">
        <is>
          <t>FORD MOTOR CO</t>
        </is>
      </c>
      <c r="D1552" t="n">
        <v>3711</v>
      </c>
    </row>
    <row r="1553">
      <c r="A1553" t="inlineStr">
        <is>
          <t>FORESTAR GROUP INC.</t>
        </is>
      </c>
      <c r="B1553" t="inlineStr">
        <is>
          <t>FOR</t>
        </is>
      </c>
      <c r="C1553" t="inlineStr">
        <is>
          <t>FORESTAR GROUP INC.</t>
        </is>
      </c>
      <c r="D1553" t="n">
        <v>6500</v>
      </c>
    </row>
    <row r="1554">
      <c r="A1554" t="inlineStr">
        <is>
          <t>FORGEROCK, INC.</t>
        </is>
      </c>
      <c r="B1554" t="inlineStr">
        <is>
          <t>FORG</t>
        </is>
      </c>
      <c r="C1554" t="inlineStr">
        <is>
          <t>FORGEROCK, INC.</t>
        </is>
      </c>
      <c r="D1554" t="n">
        <v>7372</v>
      </c>
    </row>
    <row r="1555">
      <c r="A1555" t="inlineStr">
        <is>
          <t>FORIAN INC.</t>
        </is>
      </c>
      <c r="B1555" t="inlineStr">
        <is>
          <t>FORA</t>
        </is>
      </c>
      <c r="C1555" t="inlineStr">
        <is>
          <t>FORIAN INC.</t>
        </is>
      </c>
      <c r="D1555" t="n">
        <v>7374</v>
      </c>
    </row>
    <row r="1556">
      <c r="A1556" t="inlineStr">
        <is>
          <t>FORMFACTOR INC</t>
        </is>
      </c>
      <c r="B1556" t="inlineStr">
        <is>
          <t>FORM</t>
        </is>
      </c>
      <c r="C1556" t="inlineStr">
        <is>
          <t>FORMFACTOR INC</t>
        </is>
      </c>
      <c r="D1556" t="n">
        <v>3674</v>
      </c>
    </row>
    <row r="1557">
      <c r="A1557" t="inlineStr">
        <is>
          <t>FORRESTER RESEARCH, INC.</t>
        </is>
      </c>
      <c r="B1557" t="inlineStr">
        <is>
          <t>FORR</t>
        </is>
      </c>
      <c r="C1557" t="inlineStr">
        <is>
          <t>FORRESTER RESEARCH, INC.</t>
        </is>
      </c>
      <c r="D1557" t="n">
        <v>8700</v>
      </c>
    </row>
    <row r="1558">
      <c r="A1558" t="inlineStr">
        <is>
          <t>FORTINET, INC.</t>
        </is>
      </c>
      <c r="B1558" t="inlineStr">
        <is>
          <t>FTNT</t>
        </is>
      </c>
      <c r="C1558" t="inlineStr">
        <is>
          <t>FORTINET, INC.</t>
        </is>
      </c>
      <c r="D1558" t="n">
        <v>3577</v>
      </c>
    </row>
    <row r="1559">
      <c r="A1559" t="inlineStr">
        <is>
          <t>FORTITUDE GOLD CORP</t>
        </is>
      </c>
      <c r="B1559" t="inlineStr">
        <is>
          <t>FTCO</t>
        </is>
      </c>
      <c r="C1559" t="inlineStr">
        <is>
          <t>FORTITUDE GOLD CORP</t>
        </is>
      </c>
      <c r="D1559" t="n">
        <v>1040</v>
      </c>
    </row>
    <row r="1560">
      <c r="A1560" t="inlineStr">
        <is>
          <t>FORTIVE CORP</t>
        </is>
      </c>
      <c r="B1560" t="inlineStr">
        <is>
          <t>FTV</t>
        </is>
      </c>
      <c r="C1560" t="inlineStr">
        <is>
          <t>FORTIVE CORP</t>
        </is>
      </c>
      <c r="D1560" t="n">
        <v>3823</v>
      </c>
    </row>
    <row r="1561">
      <c r="A1561" t="inlineStr">
        <is>
          <t>FORTRESS BIOTECH, INC.</t>
        </is>
      </c>
      <c r="B1561" t="inlineStr">
        <is>
          <t>FBIO</t>
        </is>
      </c>
      <c r="C1561" t="inlineStr">
        <is>
          <t>FORTRESS BIOTECH, INC.</t>
        </is>
      </c>
      <c r="D1561" t="n">
        <v>2834</v>
      </c>
    </row>
    <row r="1562">
      <c r="A1562" t="inlineStr">
        <is>
          <t>FORTRESS TRANSPORTATION &amp; INFRASTRUCTURE INVESTORS LLC</t>
        </is>
      </c>
      <c r="B1562" t="inlineStr">
        <is>
          <t>FTAI</t>
        </is>
      </c>
      <c r="C1562" t="inlineStr">
        <is>
          <t>FORTRESS TRANSPORTATION &amp; INFRASTRUCTURE INVESTORS LLC</t>
        </is>
      </c>
      <c r="D1562" t="n">
        <v>7350</v>
      </c>
    </row>
    <row r="1563">
      <c r="A1563" t="inlineStr">
        <is>
          <t>FORTUNE BRANDS HOME &amp; SECURITY, INC.</t>
        </is>
      </c>
      <c r="B1563" t="inlineStr">
        <is>
          <t>FBHS</t>
        </is>
      </c>
      <c r="C1563" t="inlineStr">
        <is>
          <t>FORTUNE BRANDS HOME &amp; SECURITY, INC.</t>
        </is>
      </c>
      <c r="D1563" t="n">
        <v>2430</v>
      </c>
    </row>
    <row r="1564">
      <c r="A1564" t="inlineStr">
        <is>
          <t>FORUM ENERGY TECHNOLOGIES, INC.</t>
        </is>
      </c>
      <c r="B1564" t="inlineStr">
        <is>
          <t>FET</t>
        </is>
      </c>
      <c r="C1564" t="inlineStr">
        <is>
          <t>FORUM ENERGY TECHNOLOGIES, INC.</t>
        </is>
      </c>
      <c r="D1564" t="n">
        <v>3533</v>
      </c>
    </row>
    <row r="1565">
      <c r="A1565" t="inlineStr">
        <is>
          <t>FORWARD AIR CORP</t>
        </is>
      </c>
      <c r="B1565" t="inlineStr">
        <is>
          <t>FWRD</t>
        </is>
      </c>
      <c r="C1565" t="inlineStr">
        <is>
          <t>FORWARD AIR CORP</t>
        </is>
      </c>
      <c r="D1565" t="n">
        <v>4731</v>
      </c>
    </row>
    <row r="1566">
      <c r="A1566" t="inlineStr">
        <is>
          <t>FORWARD INDUSTRIES, INC.</t>
        </is>
      </c>
      <c r="B1566" t="inlineStr">
        <is>
          <t>FORD</t>
        </is>
      </c>
      <c r="C1566" t="inlineStr">
        <is>
          <t>FORWARD INDUSTRIES, INC.</t>
        </is>
      </c>
      <c r="D1566" t="n">
        <v>3089</v>
      </c>
    </row>
    <row r="1567">
      <c r="A1567" t="inlineStr">
        <is>
          <t>FOSSIL GROUP, INC.</t>
        </is>
      </c>
      <c r="B1567" t="inlineStr">
        <is>
          <t>FOSL</t>
        </is>
      </c>
      <c r="C1567" t="inlineStr">
        <is>
          <t>FOSSIL GROUP, INC.</t>
        </is>
      </c>
      <c r="D1567" t="n">
        <v>3873</v>
      </c>
    </row>
    <row r="1568">
      <c r="A1568" t="inlineStr">
        <is>
          <t>FOSTER L B CO</t>
        </is>
      </c>
      <c r="B1568" t="inlineStr">
        <is>
          <t>FSTR</t>
        </is>
      </c>
      <c r="C1568" t="inlineStr">
        <is>
          <t>FOSTER L B CO</t>
        </is>
      </c>
      <c r="D1568" t="n">
        <v>5051</v>
      </c>
    </row>
    <row r="1569">
      <c r="A1569" t="inlineStr">
        <is>
          <t>FOUR CORNERS PROPERTY TRUST, INC.</t>
        </is>
      </c>
      <c r="B1569" t="inlineStr">
        <is>
          <t>FCPT</t>
        </is>
      </c>
      <c r="C1569" t="inlineStr">
        <is>
          <t>FOUR CORNERS PROPERTY TRUST, INC.</t>
        </is>
      </c>
      <c r="D1569" t="n">
        <v>6798</v>
      </c>
    </row>
    <row r="1570">
      <c r="A1570" t="inlineStr">
        <is>
          <t>FOUR SEASONS EDUCATION (CAYMAN) INC.</t>
        </is>
      </c>
      <c r="B1570" t="inlineStr">
        <is>
          <t>FEDU</t>
        </is>
      </c>
      <c r="C1570" t="inlineStr">
        <is>
          <t>FOUR SEASONS EDUCATION (CAYMAN) INC.</t>
        </is>
      </c>
      <c r="D1570" t="n">
        <v>8200</v>
      </c>
    </row>
    <row r="1571">
      <c r="A1571" t="inlineStr">
        <is>
          <t>FOX CORP</t>
        </is>
      </c>
      <c r="B1571" t="inlineStr">
        <is>
          <t>FOXA</t>
        </is>
      </c>
      <c r="C1571" t="inlineStr">
        <is>
          <t>FOX CORP</t>
        </is>
      </c>
      <c r="D1571" t="n">
        <v>4833</v>
      </c>
    </row>
    <row r="1572">
      <c r="A1572" t="inlineStr">
        <is>
          <t>FOX FACTORY HOLDING CORP</t>
        </is>
      </c>
      <c r="B1572" t="inlineStr">
        <is>
          <t>FOXF</t>
        </is>
      </c>
      <c r="C1572" t="inlineStr">
        <is>
          <t>FOX FACTORY HOLDING CORP</t>
        </is>
      </c>
      <c r="D1572" t="n">
        <v>3751</v>
      </c>
    </row>
    <row r="1573">
      <c r="A1573" t="inlineStr">
        <is>
          <t>FRANCHISE GROUP, INC.</t>
        </is>
      </c>
      <c r="B1573" t="inlineStr">
        <is>
          <t>FRG</t>
        </is>
      </c>
      <c r="C1573" t="inlineStr">
        <is>
          <t>FRANCHISE GROUP, INC.</t>
        </is>
      </c>
      <c r="D1573" t="n">
        <v>6794</v>
      </c>
    </row>
    <row r="1574">
      <c r="A1574" t="inlineStr">
        <is>
          <t>FRANKLIN BSP REALTY TRUST, INC.</t>
        </is>
      </c>
      <c r="B1574" t="inlineStr">
        <is>
          <t>FBRT</t>
        </is>
      </c>
      <c r="C1574" t="inlineStr">
        <is>
          <t>FRANKLIN BSP REALTY TRUST, INC.</t>
        </is>
      </c>
      <c r="D1574" t="n">
        <v>6798</v>
      </c>
    </row>
    <row r="1575">
      <c r="A1575" t="inlineStr">
        <is>
          <t>FRANKLIN COVEY CO</t>
        </is>
      </c>
      <c r="B1575" t="inlineStr">
        <is>
          <t>FC</t>
        </is>
      </c>
      <c r="C1575" t="inlineStr">
        <is>
          <t>FRANKLIN COVEY CO</t>
        </is>
      </c>
      <c r="D1575" t="n">
        <v>8741</v>
      </c>
    </row>
    <row r="1576">
      <c r="A1576" t="inlineStr">
        <is>
          <t>FRANKLIN ELECTRIC CO INC</t>
        </is>
      </c>
      <c r="B1576" t="inlineStr">
        <is>
          <t>FELE</t>
        </is>
      </c>
      <c r="C1576" t="inlineStr">
        <is>
          <t>FRANKLIN ELECTRIC CO INC</t>
        </is>
      </c>
      <c r="D1576" t="n">
        <v>3621</v>
      </c>
    </row>
    <row r="1577">
      <c r="A1577" t="inlineStr">
        <is>
          <t>FRANKLIN FINANCIAL SERVICES CORP /PA/</t>
        </is>
      </c>
      <c r="B1577" t="inlineStr">
        <is>
          <t>FRAF</t>
        </is>
      </c>
      <c r="C1577" t="inlineStr">
        <is>
          <t>FRANKLIN FINANCIAL SERVICES CORP /PA/</t>
        </is>
      </c>
      <c r="D1577" t="n">
        <v>6022</v>
      </c>
    </row>
    <row r="1578">
      <c r="A1578" t="inlineStr">
        <is>
          <t>FRANKLIN RESOURCES INC</t>
        </is>
      </c>
      <c r="B1578" t="inlineStr">
        <is>
          <t>BEN</t>
        </is>
      </c>
      <c r="C1578" t="inlineStr">
        <is>
          <t>FRANKLIN RESOURCES INC</t>
        </is>
      </c>
      <c r="D1578" t="n">
        <v>6282</v>
      </c>
    </row>
    <row r="1579">
      <c r="A1579" t="inlineStr">
        <is>
          <t>FRANKLIN STREET PROPERTIES CORP /MA/</t>
        </is>
      </c>
      <c r="B1579" t="inlineStr">
        <is>
          <t>FSP</t>
        </is>
      </c>
      <c r="C1579" t="inlineStr">
        <is>
          <t>FRANKLIN STREET PROPERTIES CORP /MA/</t>
        </is>
      </c>
      <c r="D1579" t="n">
        <v>6798</v>
      </c>
    </row>
    <row r="1580">
      <c r="A1580" t="inlineStr">
        <is>
          <t>FRANKLIN WIRELESS CORP</t>
        </is>
      </c>
      <c r="B1580" t="inlineStr">
        <is>
          <t>FKWL</t>
        </is>
      </c>
      <c r="C1580" t="inlineStr">
        <is>
          <t>FRANKLIN WIRELESS CORP</t>
        </is>
      </c>
      <c r="D1580" t="n">
        <v>3661</v>
      </c>
    </row>
    <row r="1581">
      <c r="A1581" t="inlineStr">
        <is>
          <t>FREEDOM HOLDING CORP.</t>
        </is>
      </c>
      <c r="B1581" t="inlineStr">
        <is>
          <t>FRHC</t>
        </is>
      </c>
      <c r="C1581" t="inlineStr">
        <is>
          <t>FREEDOM HOLDING CORP.</t>
        </is>
      </c>
      <c r="D1581" t="n">
        <v>6211</v>
      </c>
    </row>
    <row r="1582">
      <c r="A1582" t="inlineStr">
        <is>
          <t>FREEPORT-MCMORAN INC</t>
        </is>
      </c>
      <c r="B1582" t="inlineStr">
        <is>
          <t>FCX</t>
        </is>
      </c>
      <c r="C1582" t="inlineStr">
        <is>
          <t>FREEPORT-MCMORAN INC</t>
        </is>
      </c>
      <c r="D1582" t="n">
        <v>1000</v>
      </c>
    </row>
    <row r="1583">
      <c r="A1583" t="inlineStr">
        <is>
          <t>FREIGHTCAR AMERICA, INC.</t>
        </is>
      </c>
      <c r="B1583" t="inlineStr">
        <is>
          <t>RAIL</t>
        </is>
      </c>
      <c r="C1583" t="inlineStr">
        <is>
          <t>FREIGHTCAR AMERICA, INC.</t>
        </is>
      </c>
      <c r="D1583" t="n">
        <v>3743</v>
      </c>
    </row>
    <row r="1584">
      <c r="A1584" t="inlineStr">
        <is>
          <t>FREQUENCY ELECTRONICS INC</t>
        </is>
      </c>
      <c r="B1584" t="inlineStr">
        <is>
          <t>FEIM</t>
        </is>
      </c>
      <c r="C1584" t="inlineStr">
        <is>
          <t>FREQUENCY ELECTRONICS INC</t>
        </is>
      </c>
      <c r="D1584" t="n">
        <v>3825</v>
      </c>
    </row>
    <row r="1585">
      <c r="A1585" t="inlineStr">
        <is>
          <t>FREQUENCY THERAPEUTICS, INC.</t>
        </is>
      </c>
      <c r="B1585" t="inlineStr">
        <is>
          <t>FREQ</t>
        </is>
      </c>
      <c r="C1585" t="inlineStr">
        <is>
          <t>FREQUENCY THERAPEUTICS, INC.</t>
        </is>
      </c>
      <c r="D1585" t="n">
        <v>2834</v>
      </c>
    </row>
    <row r="1586">
      <c r="A1586" t="inlineStr">
        <is>
          <t>FRESH DEL MONTE PRODUCE INC</t>
        </is>
      </c>
      <c r="B1586" t="inlineStr">
        <is>
          <t>FDP</t>
        </is>
      </c>
      <c r="C1586" t="inlineStr">
        <is>
          <t>FRESH DEL MONTE PRODUCE INC</t>
        </is>
      </c>
      <c r="D1586" t="n">
        <v>100</v>
      </c>
    </row>
    <row r="1587">
      <c r="A1587" t="inlineStr">
        <is>
          <t>FRESHPET, INC.</t>
        </is>
      </c>
      <c r="B1587" t="inlineStr">
        <is>
          <t>FRPT</t>
        </is>
      </c>
      <c r="C1587" t="inlineStr">
        <is>
          <t>FRESHPET, INC.</t>
        </is>
      </c>
      <c r="D1587" t="n">
        <v>2040</v>
      </c>
    </row>
    <row r="1588">
      <c r="A1588" t="inlineStr">
        <is>
          <t>FRESHWORKS INC.</t>
        </is>
      </c>
      <c r="B1588" t="inlineStr">
        <is>
          <t>FRSH</t>
        </is>
      </c>
      <c r="C1588" t="inlineStr">
        <is>
          <t>FRESHWORKS INC.</t>
        </is>
      </c>
      <c r="D1588" t="n">
        <v>7372</v>
      </c>
    </row>
    <row r="1589">
      <c r="A1589" t="inlineStr">
        <is>
          <t>FRIEDMAN INDUSTRIES INC</t>
        </is>
      </c>
      <c r="B1589" t="inlineStr">
        <is>
          <t>FRD</t>
        </is>
      </c>
      <c r="C1589" t="inlineStr">
        <is>
          <t>FRIEDMAN INDUSTRIES INC</t>
        </is>
      </c>
      <c r="D1589" t="n">
        <v>3310</v>
      </c>
    </row>
    <row r="1590">
      <c r="A1590" t="inlineStr">
        <is>
          <t>FRONTDOOR, INC.</t>
        </is>
      </c>
      <c r="B1590" t="inlineStr">
        <is>
          <t>FTDR</t>
        </is>
      </c>
      <c r="C1590" t="inlineStr">
        <is>
          <t>FRONTDOOR, INC.</t>
        </is>
      </c>
      <c r="D1590" t="n">
        <v>7340</v>
      </c>
    </row>
    <row r="1591">
      <c r="A1591" t="inlineStr">
        <is>
          <t>FRONTIER COMMUNICATIONS CORP</t>
        </is>
      </c>
      <c r="B1591" t="inlineStr">
        <is>
          <t>FYBR</t>
        </is>
      </c>
      <c r="C1591" t="inlineStr">
        <is>
          <t>FRONTIER COMMUNICATIONS CORP</t>
        </is>
      </c>
      <c r="D1591" t="n">
        <v>4813</v>
      </c>
    </row>
    <row r="1592">
      <c r="A1592" t="inlineStr">
        <is>
          <t>FRONTIER GROUP HOLDINGS, INC.</t>
        </is>
      </c>
      <c r="B1592" t="inlineStr">
        <is>
          <t>ULCC</t>
        </is>
      </c>
      <c r="C1592" t="inlineStr">
        <is>
          <t>FRONTIER GROUP HOLDINGS, INC.</t>
        </is>
      </c>
      <c r="D1592" t="n">
        <v>4512</v>
      </c>
    </row>
    <row r="1593">
      <c r="A1593" t="inlineStr">
        <is>
          <t>FRONTLINE LTD /</t>
        </is>
      </c>
      <c r="B1593" t="inlineStr">
        <is>
          <t>FRO</t>
        </is>
      </c>
      <c r="C1593" t="inlineStr">
        <is>
          <t>FRONTLINE LTD /</t>
        </is>
      </c>
      <c r="D1593" t="n">
        <v>4412</v>
      </c>
    </row>
    <row r="1594">
      <c r="A1594" t="inlineStr">
        <is>
          <t>FRP HOLDINGS, INC.</t>
        </is>
      </c>
      <c r="B1594" t="inlineStr">
        <is>
          <t>FRPH</t>
        </is>
      </c>
      <c r="C1594" t="inlineStr">
        <is>
          <t>FRP HOLDINGS, INC.</t>
        </is>
      </c>
      <c r="D1594" t="n">
        <v>6500</v>
      </c>
    </row>
    <row r="1595">
      <c r="A1595" t="inlineStr">
        <is>
          <t>FS BANCORP, INC.</t>
        </is>
      </c>
      <c r="B1595" t="inlineStr">
        <is>
          <t>FSBW</t>
        </is>
      </c>
      <c r="C1595" t="inlineStr">
        <is>
          <t>FS BANCORP, INC.</t>
        </is>
      </c>
      <c r="D1595" t="n">
        <v>6036</v>
      </c>
    </row>
    <row r="1596">
      <c r="A1596" t="inlineStr">
        <is>
          <t>FTC SOLAR, INC.</t>
        </is>
      </c>
      <c r="B1596" t="inlineStr">
        <is>
          <t>FTCI</t>
        </is>
      </c>
      <c r="C1596" t="inlineStr">
        <is>
          <t>FTC SOLAR, INC.</t>
        </is>
      </c>
      <c r="D1596" t="n">
        <v>3674</v>
      </c>
    </row>
    <row r="1597">
      <c r="A1597" t="inlineStr">
        <is>
          <t>FTI CONSULTING, INC</t>
        </is>
      </c>
      <c r="B1597" t="inlineStr">
        <is>
          <t>FCN</t>
        </is>
      </c>
      <c r="C1597" t="inlineStr">
        <is>
          <t>FTI CONSULTING, INC</t>
        </is>
      </c>
      <c r="D1597" t="n">
        <v>8742</v>
      </c>
    </row>
    <row r="1598">
      <c r="A1598" t="inlineStr">
        <is>
          <t>FUBOTV INC. /FL</t>
        </is>
      </c>
      <c r="B1598" t="inlineStr">
        <is>
          <t>FUBO</t>
        </is>
      </c>
      <c r="C1598" t="inlineStr">
        <is>
          <t>FUBOTV INC. /FL</t>
        </is>
      </c>
      <c r="D1598" t="n">
        <v>7812</v>
      </c>
    </row>
    <row r="1599">
      <c r="A1599" t="inlineStr">
        <is>
          <t>FUEL TECH, INC.</t>
        </is>
      </c>
      <c r="B1599" t="inlineStr">
        <is>
          <t>FTEK</t>
        </is>
      </c>
      <c r="C1599" t="inlineStr">
        <is>
          <t>FUEL TECH, INC.</t>
        </is>
      </c>
      <c r="D1599" t="n">
        <v>3564</v>
      </c>
    </row>
    <row r="1600">
      <c r="A1600" t="inlineStr">
        <is>
          <t>FUELCELL ENERGY INC</t>
        </is>
      </c>
      <c r="B1600" t="inlineStr">
        <is>
          <t>FCEL</t>
        </is>
      </c>
      <c r="C1600" t="inlineStr">
        <is>
          <t>FUELCELL ENERGY INC</t>
        </is>
      </c>
      <c r="D1600" t="n">
        <v>3620</v>
      </c>
    </row>
    <row r="1601">
      <c r="A1601" t="inlineStr">
        <is>
          <t>FULCRUM THERAPEUTICS, INC.</t>
        </is>
      </c>
      <c r="B1601" t="inlineStr">
        <is>
          <t>FULC</t>
        </is>
      </c>
      <c r="C1601" t="inlineStr">
        <is>
          <t>FULCRUM THERAPEUTICS, INC.</t>
        </is>
      </c>
      <c r="D1601" t="n">
        <v>2834</v>
      </c>
    </row>
    <row r="1602">
      <c r="A1602" t="inlineStr">
        <is>
          <t>FULGENT GENETICS, INC.</t>
        </is>
      </c>
      <c r="B1602" t="inlineStr">
        <is>
          <t>FLGT</t>
        </is>
      </c>
      <c r="C1602" t="inlineStr">
        <is>
          <t>FULGENT GENETICS, INC.</t>
        </is>
      </c>
      <c r="D1602" t="n">
        <v>8071</v>
      </c>
    </row>
    <row r="1603">
      <c r="A1603" t="inlineStr">
        <is>
          <t>FULL HOUSE RESORTS INC</t>
        </is>
      </c>
      <c r="B1603" t="inlineStr">
        <is>
          <t>FLL</t>
        </is>
      </c>
      <c r="C1603" t="inlineStr">
        <is>
          <t>FULL HOUSE RESORTS INC</t>
        </is>
      </c>
      <c r="D1603" t="n">
        <v>7011</v>
      </c>
    </row>
    <row r="1604">
      <c r="A1604" t="inlineStr">
        <is>
          <t>FULLER H B CO</t>
        </is>
      </c>
      <c r="B1604" t="inlineStr">
        <is>
          <t>FUL</t>
        </is>
      </c>
      <c r="C1604" t="inlineStr">
        <is>
          <t>FULLER H B CO</t>
        </is>
      </c>
      <c r="D1604" t="n">
        <v>2891</v>
      </c>
    </row>
    <row r="1605">
      <c r="A1605" t="inlineStr">
        <is>
          <t>FULTON FINANCIAL CORP</t>
        </is>
      </c>
      <c r="B1605" t="inlineStr">
        <is>
          <t>FULT</t>
        </is>
      </c>
      <c r="C1605" t="inlineStr">
        <is>
          <t>FULTON FINANCIAL CORP</t>
        </is>
      </c>
      <c r="D1605" t="n">
        <v>6021</v>
      </c>
    </row>
    <row r="1606">
      <c r="A1606" t="inlineStr">
        <is>
          <t>FUNKO, INC.</t>
        </is>
      </c>
      <c r="B1606" t="inlineStr">
        <is>
          <t>FNKO</t>
        </is>
      </c>
      <c r="C1606" t="inlineStr">
        <is>
          <t>FUNKO, INC.</t>
        </is>
      </c>
      <c r="D1606" t="n">
        <v>3944</v>
      </c>
    </row>
    <row r="1607">
      <c r="A1607" t="inlineStr">
        <is>
          <t>FUSE MEDICAL, INC.</t>
        </is>
      </c>
      <c r="B1607" t="inlineStr">
        <is>
          <t>FZMD</t>
        </is>
      </c>
      <c r="C1607" t="inlineStr">
        <is>
          <t>FUSE MEDICAL, INC.</t>
        </is>
      </c>
      <c r="D1607" t="n">
        <v>5047</v>
      </c>
    </row>
    <row r="1608">
      <c r="A1608" t="inlineStr">
        <is>
          <t>FUSION PHARMACEUTICALS INC.</t>
        </is>
      </c>
      <c r="B1608" t="inlineStr">
        <is>
          <t>FUSN</t>
        </is>
      </c>
      <c r="C1608" t="inlineStr">
        <is>
          <t>FUSION PHARMACEUTICALS INC.</t>
        </is>
      </c>
      <c r="D1608" t="n">
        <v>2836</v>
      </c>
    </row>
    <row r="1609">
      <c r="A1609" t="inlineStr">
        <is>
          <t>FUTU HOLDINGS LTD</t>
        </is>
      </c>
      <c r="B1609" t="inlineStr">
        <is>
          <t>FUTU</t>
        </is>
      </c>
      <c r="C1609" t="inlineStr">
        <is>
          <t>FUTU HOLDINGS LTD</t>
        </is>
      </c>
      <c r="D1609" t="n">
        <v>6211</v>
      </c>
    </row>
    <row r="1610">
      <c r="A1610" t="inlineStr">
        <is>
          <t>FUTURE FINTECH GROUP INC.</t>
        </is>
      </c>
      <c r="B1610" t="inlineStr">
        <is>
          <t>FTFT</t>
        </is>
      </c>
      <c r="C1610" t="inlineStr">
        <is>
          <t>FUTURE FINTECH GROUP INC.</t>
        </is>
      </c>
      <c r="D1610" t="n">
        <v>7389</v>
      </c>
    </row>
    <row r="1611">
      <c r="A1611" t="inlineStr">
        <is>
          <t>FUTUREFUEL CORP.</t>
        </is>
      </c>
      <c r="B1611" t="inlineStr">
        <is>
          <t>FF</t>
        </is>
      </c>
      <c r="C1611" t="inlineStr">
        <is>
          <t>FUTUREFUEL CORP.</t>
        </is>
      </c>
      <c r="D1611" t="n">
        <v>2860</v>
      </c>
    </row>
    <row r="1612">
      <c r="A1612" t="inlineStr">
        <is>
          <t>FUWEI FILMS (HOLDINGS), CO. LTD.</t>
        </is>
      </c>
      <c r="B1612" t="inlineStr">
        <is>
          <t>FFHL</t>
        </is>
      </c>
      <c r="C1612" t="inlineStr">
        <is>
          <t>FUWEI FILMS (HOLDINGS), CO. LTD.</t>
        </is>
      </c>
      <c r="D1612" t="n">
        <v>3081</v>
      </c>
    </row>
    <row r="1613">
      <c r="A1613" t="inlineStr">
        <is>
          <t>FVCBANKCORP, INC.</t>
        </is>
      </c>
      <c r="B1613" t="inlineStr">
        <is>
          <t>FVCB</t>
        </is>
      </c>
      <c r="C1613" t="inlineStr">
        <is>
          <t>FVCBANKCORP, INC.</t>
        </is>
      </c>
      <c r="D1613" t="n">
        <v>6022</v>
      </c>
    </row>
    <row r="1614">
      <c r="A1614" t="inlineStr">
        <is>
          <t>G III APPAREL GROUP LTD /DE/</t>
        </is>
      </c>
      <c r="B1614" t="inlineStr">
        <is>
          <t>GIII</t>
        </is>
      </c>
      <c r="C1614" t="inlineStr">
        <is>
          <t>G III APPAREL GROUP LTD /DE/</t>
        </is>
      </c>
      <c r="D1614" t="n">
        <v>2300</v>
      </c>
    </row>
    <row r="1615">
      <c r="A1615" t="inlineStr">
        <is>
          <t>G1 THERAPEUTICS, INC.</t>
        </is>
      </c>
      <c r="B1615" t="inlineStr">
        <is>
          <t>GTHX</t>
        </is>
      </c>
      <c r="C1615" t="inlineStr">
        <is>
          <t>G1 THERAPEUTICS, INC.</t>
        </is>
      </c>
      <c r="D1615" t="n">
        <v>2834</v>
      </c>
    </row>
    <row r="1616">
      <c r="A1616" t="inlineStr">
        <is>
          <t>GAIA, INC</t>
        </is>
      </c>
      <c r="B1616" t="inlineStr">
        <is>
          <t>GAIA</t>
        </is>
      </c>
      <c r="C1616" t="inlineStr">
        <is>
          <t>GAIA, INC</t>
        </is>
      </c>
      <c r="D1616" t="n">
        <v>7812</v>
      </c>
    </row>
    <row r="1617">
      <c r="A1617" t="inlineStr">
        <is>
          <t>GALAXY GAMING, INC.</t>
        </is>
      </c>
      <c r="B1617" t="inlineStr">
        <is>
          <t>GLXZ</t>
        </is>
      </c>
      <c r="C1617" t="inlineStr">
        <is>
          <t>GALAXY GAMING, INC.</t>
        </is>
      </c>
      <c r="D1617" t="n">
        <v>7900</v>
      </c>
    </row>
    <row r="1618">
      <c r="A1618" t="inlineStr">
        <is>
          <t>GAMCO INVESTORS, INC. ET AL</t>
        </is>
      </c>
      <c r="B1618" t="inlineStr">
        <is>
          <t>GBL</t>
        </is>
      </c>
      <c r="C1618" t="inlineStr">
        <is>
          <t>GAMCO INVESTORS, INC. ET AL</t>
        </is>
      </c>
      <c r="D1618" t="n">
        <v>6211</v>
      </c>
    </row>
    <row r="1619">
      <c r="A1619" t="inlineStr">
        <is>
          <t>GAMESTOP CORP.</t>
        </is>
      </c>
      <c r="B1619" t="inlineStr">
        <is>
          <t>GME</t>
        </is>
      </c>
      <c r="C1619" t="inlineStr">
        <is>
          <t>GAMESTOP CORP.</t>
        </is>
      </c>
      <c r="D1619" t="n">
        <v>5734</v>
      </c>
    </row>
    <row r="1620">
      <c r="A1620" t="inlineStr">
        <is>
          <t>GAMING &amp; LEISURE PROPERTIES, INC.</t>
        </is>
      </c>
      <c r="B1620" t="inlineStr">
        <is>
          <t>GLPI</t>
        </is>
      </c>
      <c r="C1620" t="inlineStr">
        <is>
          <t>GAMING &amp; LEISURE PROPERTIES, INC.</t>
        </is>
      </c>
      <c r="D1620" t="n">
        <v>6798</v>
      </c>
    </row>
    <row r="1621">
      <c r="A1621" t="inlineStr">
        <is>
          <t>GAN LTD</t>
        </is>
      </c>
      <c r="B1621" t="inlineStr">
        <is>
          <t>GAN</t>
        </is>
      </c>
      <c r="C1621" t="inlineStr">
        <is>
          <t>GAN LTD</t>
        </is>
      </c>
      <c r="D1621" t="n">
        <v>7370</v>
      </c>
    </row>
    <row r="1622">
      <c r="A1622" t="inlineStr">
        <is>
          <t>GANNETT CO., INC.</t>
        </is>
      </c>
      <c r="B1622" t="inlineStr">
        <is>
          <t>GCI</t>
        </is>
      </c>
      <c r="C1622" t="inlineStr">
        <is>
          <t>GANNETT CO., INC.</t>
        </is>
      </c>
      <c r="D1622" t="n">
        <v>2711</v>
      </c>
    </row>
    <row r="1623">
      <c r="A1623" t="inlineStr">
        <is>
          <t>GAOTU TECHEDU INC.</t>
        </is>
      </c>
      <c r="B1623" t="inlineStr">
        <is>
          <t>GOTU</t>
        </is>
      </c>
      <c r="C1623" t="inlineStr">
        <is>
          <t>GAOTU TECHEDU INC.</t>
        </is>
      </c>
      <c r="D1623" t="n">
        <v>8200</v>
      </c>
    </row>
    <row r="1624">
      <c r="A1624" t="inlineStr">
        <is>
          <t>GAP INC</t>
        </is>
      </c>
      <c r="B1624" t="inlineStr">
        <is>
          <t>GPS</t>
        </is>
      </c>
      <c r="C1624" t="inlineStr">
        <is>
          <t>GAP INC</t>
        </is>
      </c>
      <c r="D1624" t="n">
        <v>5651</v>
      </c>
    </row>
    <row r="1625">
      <c r="A1625" t="inlineStr">
        <is>
          <t>GARMIN LTD</t>
        </is>
      </c>
      <c r="B1625" t="inlineStr">
        <is>
          <t>GRMN</t>
        </is>
      </c>
      <c r="C1625" t="inlineStr">
        <is>
          <t>GARMIN LTD</t>
        </is>
      </c>
      <c r="D1625" t="n">
        <v>3812</v>
      </c>
    </row>
    <row r="1626">
      <c r="A1626" t="inlineStr">
        <is>
          <t>GARRETT MOTION INC.</t>
        </is>
      </c>
      <c r="B1626" t="inlineStr">
        <is>
          <t>GTX</t>
        </is>
      </c>
      <c r="C1626" t="inlineStr">
        <is>
          <t>GARRETT MOTION INC.</t>
        </is>
      </c>
      <c r="D1626" t="n">
        <v>3714</v>
      </c>
    </row>
    <row r="1627">
      <c r="A1627" t="inlineStr">
        <is>
          <t>GARTNER INC</t>
        </is>
      </c>
      <c r="B1627" t="inlineStr">
        <is>
          <t>IT</t>
        </is>
      </c>
      <c r="C1627" t="inlineStr">
        <is>
          <t>GARTNER INC</t>
        </is>
      </c>
      <c r="D1627" t="n">
        <v>8741</v>
      </c>
    </row>
    <row r="1628">
      <c r="A1628" t="inlineStr">
        <is>
          <t>GATES INDUSTRIAL CORP PLC</t>
        </is>
      </c>
      <c r="B1628" t="inlineStr">
        <is>
          <t>GTES</t>
        </is>
      </c>
      <c r="C1628" t="inlineStr">
        <is>
          <t>GATES INDUSTRIAL CORP PLC</t>
        </is>
      </c>
      <c r="D1628" t="n">
        <v>3560</v>
      </c>
    </row>
    <row r="1629">
      <c r="A1629" t="inlineStr">
        <is>
          <t>GATX CORP</t>
        </is>
      </c>
      <c r="B1629" t="inlineStr">
        <is>
          <t>GATX</t>
        </is>
      </c>
      <c r="C1629" t="inlineStr">
        <is>
          <t>GATX CORP</t>
        </is>
      </c>
      <c r="D1629" t="n">
        <v>4700</v>
      </c>
    </row>
    <row r="1630">
      <c r="A1630" t="inlineStr">
        <is>
          <t>GCM GROSVENOR INC.</t>
        </is>
      </c>
      <c r="B1630" t="inlineStr">
        <is>
          <t>GCMG</t>
        </is>
      </c>
      <c r="C1630" t="inlineStr">
        <is>
          <t>GCM GROSVENOR INC.</t>
        </is>
      </c>
      <c r="D1630" t="n">
        <v>6282</v>
      </c>
    </row>
    <row r="1631">
      <c r="A1631" t="inlineStr">
        <is>
          <t>GCP APPLIED TECHNOLOGIES INC.</t>
        </is>
      </c>
      <c r="B1631" t="inlineStr">
        <is>
          <t>GCP</t>
        </is>
      </c>
      <c r="C1631" t="inlineStr">
        <is>
          <t>GCP APPLIED TECHNOLOGIES INC.</t>
        </is>
      </c>
      <c r="D1631" t="n">
        <v>2800</v>
      </c>
    </row>
    <row r="1632">
      <c r="A1632" t="inlineStr">
        <is>
          <t>GEE GROUP INC.</t>
        </is>
      </c>
      <c r="B1632" t="inlineStr">
        <is>
          <t>JOB</t>
        </is>
      </c>
      <c r="C1632" t="inlineStr">
        <is>
          <t>GEE GROUP INC.</t>
        </is>
      </c>
      <c r="D1632" t="n">
        <v>7361</v>
      </c>
    </row>
    <row r="1633">
      <c r="A1633" t="inlineStr">
        <is>
          <t>GENASYS INC.</t>
        </is>
      </c>
      <c r="B1633" t="inlineStr">
        <is>
          <t>GNSS</t>
        </is>
      </c>
      <c r="C1633" t="inlineStr">
        <is>
          <t>GENASYS INC.</t>
        </is>
      </c>
      <c r="D1633" t="n">
        <v>3651</v>
      </c>
    </row>
    <row r="1634">
      <c r="A1634" t="inlineStr">
        <is>
          <t>GENCO SHIPPING &amp; TRADING LTD</t>
        </is>
      </c>
      <c r="B1634" t="inlineStr">
        <is>
          <t>GNK</t>
        </is>
      </c>
      <c r="C1634" t="inlineStr">
        <is>
          <t>GENCO SHIPPING &amp; TRADING LTD</t>
        </is>
      </c>
      <c r="D1634" t="n">
        <v>4412</v>
      </c>
    </row>
    <row r="1635">
      <c r="A1635" t="inlineStr">
        <is>
          <t>GENCOR INDUSTRIES INC</t>
        </is>
      </c>
      <c r="B1635" t="inlineStr">
        <is>
          <t>GENC</t>
        </is>
      </c>
      <c r="C1635" t="inlineStr">
        <is>
          <t>GENCOR INDUSTRIES INC</t>
        </is>
      </c>
      <c r="D1635" t="n">
        <v>3531</v>
      </c>
    </row>
    <row r="1636">
      <c r="A1636" t="inlineStr">
        <is>
          <t>GENERAC HOLDINGS INC.</t>
        </is>
      </c>
      <c r="B1636" t="inlineStr">
        <is>
          <t>GNRC</t>
        </is>
      </c>
      <c r="C1636" t="inlineStr">
        <is>
          <t>GENERAC HOLDINGS INC.</t>
        </is>
      </c>
      <c r="D1636" t="n">
        <v>3621</v>
      </c>
    </row>
    <row r="1637">
      <c r="A1637" t="inlineStr">
        <is>
          <t>GENERAL DYNAMICS CORP</t>
        </is>
      </c>
      <c r="B1637" t="inlineStr">
        <is>
          <t>GD</t>
        </is>
      </c>
      <c r="C1637" t="inlineStr">
        <is>
          <t>GENERAL DYNAMICS CORP</t>
        </is>
      </c>
      <c r="D1637" t="n">
        <v>3730</v>
      </c>
    </row>
    <row r="1638">
      <c r="A1638" t="inlineStr">
        <is>
          <t>GENERAL ELECTRIC CO</t>
        </is>
      </c>
      <c r="B1638" t="inlineStr">
        <is>
          <t>GE</t>
        </is>
      </c>
      <c r="C1638" t="inlineStr">
        <is>
          <t>GENERAL ELECTRIC CO</t>
        </is>
      </c>
      <c r="D1638" t="n">
        <v>3600</v>
      </c>
    </row>
    <row r="1639">
      <c r="A1639" t="inlineStr">
        <is>
          <t>GENERAL MILLS INC</t>
        </is>
      </c>
      <c r="B1639" t="inlineStr">
        <is>
          <t>GIS</t>
        </is>
      </c>
      <c r="C1639" t="inlineStr">
        <is>
          <t>GENERAL MILLS INC</t>
        </is>
      </c>
      <c r="D1639" t="n">
        <v>2040</v>
      </c>
    </row>
    <row r="1640">
      <c r="A1640" t="inlineStr">
        <is>
          <t>GENERAL MOTORS CO</t>
        </is>
      </c>
      <c r="B1640" t="inlineStr">
        <is>
          <t>GM</t>
        </is>
      </c>
      <c r="C1640" t="inlineStr">
        <is>
          <t>GENERAL MOTORS CO</t>
        </is>
      </c>
      <c r="D1640" t="n">
        <v>3711</v>
      </c>
    </row>
    <row r="1641">
      <c r="A1641" t="inlineStr">
        <is>
          <t>GENERATION INCOME PROPERTIES, INC.</t>
        </is>
      </c>
      <c r="B1641" t="inlineStr">
        <is>
          <t>GIPR</t>
        </is>
      </c>
      <c r="C1641" t="inlineStr">
        <is>
          <t>GENERATION INCOME PROPERTIES, INC.</t>
        </is>
      </c>
      <c r="D1641" t="n">
        <v>6798</v>
      </c>
    </row>
    <row r="1642">
      <c r="A1642" t="inlineStr">
        <is>
          <t>GENERATIONS BANCORP NY, INC.</t>
        </is>
      </c>
      <c r="B1642" t="inlineStr">
        <is>
          <t>GBNY</t>
        </is>
      </c>
      <c r="C1642" t="inlineStr">
        <is>
          <t>GENERATIONS BANCORP NY, INC.</t>
        </is>
      </c>
      <c r="D1642" t="n">
        <v>6035</v>
      </c>
    </row>
    <row r="1643">
      <c r="A1643" t="inlineStr">
        <is>
          <t>GENESCO INC</t>
        </is>
      </c>
      <c r="B1643" t="inlineStr">
        <is>
          <t>GCO</t>
        </is>
      </c>
      <c r="C1643" t="inlineStr">
        <is>
          <t>GENESCO INC</t>
        </is>
      </c>
      <c r="D1643" t="n">
        <v>5661</v>
      </c>
    </row>
    <row r="1644">
      <c r="A1644" t="inlineStr">
        <is>
          <t>GENESIS ENERGY LP</t>
        </is>
      </c>
      <c r="B1644" t="inlineStr">
        <is>
          <t>GEL</t>
        </is>
      </c>
      <c r="C1644" t="inlineStr">
        <is>
          <t>GENESIS ENERGY LP</t>
        </is>
      </c>
      <c r="D1644" t="n">
        <v>4610</v>
      </c>
    </row>
    <row r="1645">
      <c r="A1645" t="inlineStr">
        <is>
          <t>GENIE ENERGY LTD.</t>
        </is>
      </c>
      <c r="B1645" t="inlineStr">
        <is>
          <t>GNE</t>
        </is>
      </c>
      <c r="C1645" t="inlineStr">
        <is>
          <t>GENIE ENERGY LTD.</t>
        </is>
      </c>
      <c r="D1645" t="n">
        <v>4931</v>
      </c>
    </row>
    <row r="1646">
      <c r="A1646" t="inlineStr">
        <is>
          <t>GENIUS BRANDS INTERNATIONAL, INC.</t>
        </is>
      </c>
      <c r="B1646" t="inlineStr">
        <is>
          <t>GNUS</t>
        </is>
      </c>
      <c r="C1646" t="inlineStr">
        <is>
          <t>GENIUS BRANDS INTERNATIONAL, INC.</t>
        </is>
      </c>
      <c r="D1646" t="n">
        <v>7812</v>
      </c>
    </row>
    <row r="1647">
      <c r="A1647" t="inlineStr">
        <is>
          <t>GENIUS SPORTS LTD</t>
        </is>
      </c>
      <c r="B1647" t="inlineStr">
        <is>
          <t>GENI</t>
        </is>
      </c>
      <c r="C1647" t="inlineStr">
        <is>
          <t>GENIUS SPORTS LTD</t>
        </is>
      </c>
      <c r="D1647" t="n">
        <v>7990</v>
      </c>
    </row>
    <row r="1648">
      <c r="A1648" t="inlineStr">
        <is>
          <t>GENPACT LTD</t>
        </is>
      </c>
      <c r="B1648" t="inlineStr">
        <is>
          <t>G</t>
        </is>
      </c>
      <c r="C1648" t="inlineStr">
        <is>
          <t>GENPACT LTD</t>
        </is>
      </c>
      <c r="D1648" t="n">
        <v>8742</v>
      </c>
    </row>
    <row r="1649">
      <c r="A1649" t="inlineStr">
        <is>
          <t>GENTEX CORP</t>
        </is>
      </c>
      <c r="B1649" t="inlineStr">
        <is>
          <t>GNTX</t>
        </is>
      </c>
      <c r="C1649" t="inlineStr">
        <is>
          <t>GENTEX CORP</t>
        </is>
      </c>
      <c r="D1649" t="n">
        <v>3714</v>
      </c>
    </row>
    <row r="1650">
      <c r="A1650" t="inlineStr">
        <is>
          <t>GENTHERM INC</t>
        </is>
      </c>
      <c r="B1650" t="inlineStr">
        <is>
          <t>THRM</t>
        </is>
      </c>
      <c r="C1650" t="inlineStr">
        <is>
          <t>GENTHERM INC</t>
        </is>
      </c>
      <c r="D1650" t="n">
        <v>3714</v>
      </c>
    </row>
    <row r="1651">
      <c r="A1651" t="inlineStr">
        <is>
          <t>GENUINE PARTS CO</t>
        </is>
      </c>
      <c r="B1651" t="inlineStr">
        <is>
          <t>GPC</t>
        </is>
      </c>
      <c r="C1651" t="inlineStr">
        <is>
          <t>GENUINE PARTS CO</t>
        </is>
      </c>
      <c r="D1651" t="n">
        <v>5013</v>
      </c>
    </row>
    <row r="1652">
      <c r="A1652" t="inlineStr">
        <is>
          <t>GENWORTH FINANCIAL INC</t>
        </is>
      </c>
      <c r="B1652" t="inlineStr">
        <is>
          <t>GNW</t>
        </is>
      </c>
      <c r="C1652" t="inlineStr">
        <is>
          <t>GENWORTH FINANCIAL INC</t>
        </is>
      </c>
      <c r="D1652" t="n">
        <v>6311</v>
      </c>
    </row>
    <row r="1653">
      <c r="A1653" t="inlineStr">
        <is>
          <t>GEO GROUP INC</t>
        </is>
      </c>
      <c r="B1653" t="inlineStr">
        <is>
          <t>GEO</t>
        </is>
      </c>
      <c r="C1653" t="inlineStr">
        <is>
          <t>GEO GROUP INC</t>
        </is>
      </c>
      <c r="D1653" t="n">
        <v>6798</v>
      </c>
    </row>
    <row r="1654">
      <c r="A1654" t="inlineStr">
        <is>
          <t>GEORGE RISK INDUSTRIES, INC.</t>
        </is>
      </c>
      <c r="B1654" t="inlineStr">
        <is>
          <t>RSKIA</t>
        </is>
      </c>
      <c r="C1654" t="inlineStr">
        <is>
          <t>GEORGE RISK INDUSTRIES, INC.</t>
        </is>
      </c>
      <c r="D1654" t="n">
        <v>3669</v>
      </c>
    </row>
    <row r="1655">
      <c r="A1655" t="inlineStr">
        <is>
          <t>GEOSPACE TECHNOLOGIES CORP</t>
        </is>
      </c>
      <c r="B1655" t="inlineStr">
        <is>
          <t>GEOS</t>
        </is>
      </c>
      <c r="C1655" t="inlineStr">
        <is>
          <t>GEOSPACE TECHNOLOGIES CORP</t>
        </is>
      </c>
      <c r="D1655" t="n">
        <v>3829</v>
      </c>
    </row>
    <row r="1656">
      <c r="A1656" t="inlineStr">
        <is>
          <t>GERON CORP</t>
        </is>
      </c>
      <c r="B1656" t="inlineStr">
        <is>
          <t>GERN</t>
        </is>
      </c>
      <c r="C1656" t="inlineStr">
        <is>
          <t>GERON CORP</t>
        </is>
      </c>
      <c r="D1656" t="n">
        <v>2834</v>
      </c>
    </row>
    <row r="1657">
      <c r="A1657" t="inlineStr">
        <is>
          <t>GETTY REALTY CORP /MD/</t>
        </is>
      </c>
      <c r="B1657" t="inlineStr">
        <is>
          <t>GTY</t>
        </is>
      </c>
      <c r="C1657" t="inlineStr">
        <is>
          <t>GETTY REALTY CORP /MD/</t>
        </is>
      </c>
      <c r="D1657" t="n">
        <v>6500</v>
      </c>
    </row>
    <row r="1658">
      <c r="A1658" t="inlineStr">
        <is>
          <t>GEVO, INC.</t>
        </is>
      </c>
      <c r="B1658" t="inlineStr">
        <is>
          <t>GEVO</t>
        </is>
      </c>
      <c r="C1658" t="inlineStr">
        <is>
          <t>GEVO, INC.</t>
        </is>
      </c>
      <c r="D1658" t="n">
        <v>2860</v>
      </c>
    </row>
    <row r="1659">
      <c r="A1659" t="inlineStr">
        <is>
          <t>GIBRALTAR INDUSTRIES, INC.</t>
        </is>
      </c>
      <c r="B1659" t="inlineStr">
        <is>
          <t>ROCK</t>
        </is>
      </c>
      <c r="C1659" t="inlineStr">
        <is>
          <t>GIBRALTAR INDUSTRIES, INC.</t>
        </is>
      </c>
      <c r="D1659" t="n">
        <v>3310</v>
      </c>
    </row>
    <row r="1660">
      <c r="A1660" t="inlineStr">
        <is>
          <t>GIGAMEDIA LTD</t>
        </is>
      </c>
      <c r="B1660" t="inlineStr">
        <is>
          <t>GIGM</t>
        </is>
      </c>
      <c r="C1660" t="inlineStr">
        <is>
          <t>GIGAMEDIA LTD</t>
        </is>
      </c>
      <c r="D1660" t="n">
        <v>7370</v>
      </c>
    </row>
    <row r="1661">
      <c r="A1661" t="inlineStr">
        <is>
          <t>GILAT SATELLITE NETWORKS LTD</t>
        </is>
      </c>
      <c r="B1661" t="inlineStr">
        <is>
          <t>GILT</t>
        </is>
      </c>
      <c r="C1661" t="inlineStr">
        <is>
          <t>GILAT SATELLITE NETWORKS LTD</t>
        </is>
      </c>
      <c r="D1661" t="n">
        <v>3663</v>
      </c>
    </row>
    <row r="1662">
      <c r="A1662" t="inlineStr">
        <is>
          <t>GILEAD SCIENCES, INC.</t>
        </is>
      </c>
      <c r="B1662" t="inlineStr">
        <is>
          <t>GILD</t>
        </is>
      </c>
      <c r="C1662" t="inlineStr">
        <is>
          <t>GILEAD SCIENCES, INC.</t>
        </is>
      </c>
      <c r="D1662" t="n">
        <v>2836</v>
      </c>
    </row>
    <row r="1663">
      <c r="A1663" t="inlineStr">
        <is>
          <t>GINKGO BIOWORKS HOLDINGS, INC.</t>
        </is>
      </c>
      <c r="B1663" t="inlineStr">
        <is>
          <t>DNA</t>
        </is>
      </c>
      <c r="C1663" t="inlineStr">
        <is>
          <t>GINKGO BIOWORKS HOLDINGS, INC.</t>
        </is>
      </c>
      <c r="D1663" t="n">
        <v>2836</v>
      </c>
    </row>
    <row r="1664">
      <c r="A1664" t="inlineStr">
        <is>
          <t>GITLAB INC.</t>
        </is>
      </c>
      <c r="B1664" t="inlineStr">
        <is>
          <t>GTLB</t>
        </is>
      </c>
      <c r="C1664" t="inlineStr">
        <is>
          <t>GITLAB INC.</t>
        </is>
      </c>
      <c r="D1664" t="n">
        <v>7372</v>
      </c>
    </row>
    <row r="1665">
      <c r="A1665" t="inlineStr">
        <is>
          <t>GLACIER BANCORP, INC.</t>
        </is>
      </c>
      <c r="B1665" t="inlineStr">
        <is>
          <t>GBCI</t>
        </is>
      </c>
      <c r="C1665" t="inlineStr">
        <is>
          <t>GLACIER BANCORP, INC.</t>
        </is>
      </c>
      <c r="D1665" t="n">
        <v>6022</v>
      </c>
    </row>
    <row r="1666">
      <c r="A1666" t="inlineStr">
        <is>
          <t>GLADSTONE COMMERCIAL CORP</t>
        </is>
      </c>
      <c r="B1666" t="inlineStr">
        <is>
          <t>GOOD</t>
        </is>
      </c>
      <c r="C1666" t="inlineStr">
        <is>
          <t>GLADSTONE COMMERCIAL CORP</t>
        </is>
      </c>
      <c r="D1666" t="n">
        <v>6519</v>
      </c>
    </row>
    <row r="1667">
      <c r="A1667" t="inlineStr">
        <is>
          <t>GLADSTONE LAND CORP</t>
        </is>
      </c>
      <c r="B1667" t="inlineStr">
        <is>
          <t>LAND</t>
        </is>
      </c>
      <c r="C1667" t="inlineStr">
        <is>
          <t>GLADSTONE LAND CORP</t>
        </is>
      </c>
      <c r="D1667" t="n">
        <v>6798</v>
      </c>
    </row>
    <row r="1668">
      <c r="A1668" t="inlineStr">
        <is>
          <t>GLATFELTER CORP</t>
        </is>
      </c>
      <c r="B1668" t="inlineStr">
        <is>
          <t>GLT</t>
        </is>
      </c>
      <c r="C1668" t="inlineStr">
        <is>
          <t>GLATFELTER CORP</t>
        </is>
      </c>
      <c r="D1668" t="n">
        <v>2621</v>
      </c>
    </row>
    <row r="1669">
      <c r="A1669" t="inlineStr">
        <is>
          <t>GLAUKOS CORP</t>
        </is>
      </c>
      <c r="B1669" t="inlineStr">
        <is>
          <t>GKOS</t>
        </is>
      </c>
      <c r="C1669" t="inlineStr">
        <is>
          <t>GLAUKOS CORP</t>
        </is>
      </c>
      <c r="D1669" t="n">
        <v>3841</v>
      </c>
    </row>
    <row r="1670">
      <c r="A1670" t="inlineStr">
        <is>
          <t>GLEN BURNIE BANCORP</t>
        </is>
      </c>
      <c r="B1670" t="inlineStr">
        <is>
          <t>GLBZ</t>
        </is>
      </c>
      <c r="C1670" t="inlineStr">
        <is>
          <t>GLEN BURNIE BANCORP</t>
        </is>
      </c>
      <c r="D1670" t="n">
        <v>6022</v>
      </c>
    </row>
    <row r="1671">
      <c r="A1671" t="inlineStr">
        <is>
          <t>GLOBAL BLOOD THERAPEUTICS, INC.</t>
        </is>
      </c>
      <c r="B1671" t="inlineStr">
        <is>
          <t>GBT</t>
        </is>
      </c>
      <c r="C1671" t="inlineStr">
        <is>
          <t>GLOBAL BLOOD THERAPEUTICS, INC.</t>
        </is>
      </c>
      <c r="D1671" t="n">
        <v>2834</v>
      </c>
    </row>
    <row r="1672">
      <c r="A1672" t="inlineStr">
        <is>
          <t>GLOBAL CORD BLOOD CORP</t>
        </is>
      </c>
      <c r="B1672" t="inlineStr">
        <is>
          <t>CO</t>
        </is>
      </c>
      <c r="C1672" t="inlineStr">
        <is>
          <t>GLOBAL CORD BLOOD CORP</t>
        </is>
      </c>
      <c r="D1672" t="n">
        <v>8090</v>
      </c>
    </row>
    <row r="1673">
      <c r="A1673" t="inlineStr">
        <is>
          <t>GLOBAL HEALTHCARE REIT, INC.</t>
        </is>
      </c>
      <c r="B1673" t="inlineStr">
        <is>
          <t>GBCS</t>
        </is>
      </c>
      <c r="C1673" t="inlineStr">
        <is>
          <t>GLOBAL HEALTHCARE REIT, INC.</t>
        </is>
      </c>
      <c r="D1673" t="n">
        <v>6798</v>
      </c>
    </row>
    <row r="1674">
      <c r="A1674" t="inlineStr">
        <is>
          <t>GLOBAL INDEMNITY GROUP, LLC</t>
        </is>
      </c>
      <c r="B1674" t="inlineStr">
        <is>
          <t>GBLI</t>
        </is>
      </c>
      <c r="C1674" t="inlineStr">
        <is>
          <t>GLOBAL INDEMNITY GROUP, LLC</t>
        </is>
      </c>
      <c r="D1674" t="n">
        <v>6331</v>
      </c>
    </row>
    <row r="1675">
      <c r="A1675" t="inlineStr">
        <is>
          <t>GLOBAL INDUSTRIAL CO</t>
        </is>
      </c>
      <c r="B1675" t="inlineStr">
        <is>
          <t>GIC</t>
        </is>
      </c>
      <c r="C1675" t="inlineStr">
        <is>
          <t>GLOBAL INDUSTRIAL CO</t>
        </is>
      </c>
      <c r="D1675" t="n">
        <v>5084</v>
      </c>
    </row>
    <row r="1676">
      <c r="A1676" t="inlineStr">
        <is>
          <t>GLOBAL INTERNET OF PEOPLE, INC.</t>
        </is>
      </c>
      <c r="B1676" t="inlineStr">
        <is>
          <t>SDH</t>
        </is>
      </c>
      <c r="C1676" t="inlineStr">
        <is>
          <t>GLOBAL INTERNET OF PEOPLE, INC.</t>
        </is>
      </c>
      <c r="D1676" t="n">
        <v>7389</v>
      </c>
    </row>
    <row r="1677">
      <c r="A1677" t="inlineStr">
        <is>
          <t>GLOBAL MEDICAL REIT INC.</t>
        </is>
      </c>
      <c r="B1677" t="inlineStr">
        <is>
          <t>GMRE</t>
        </is>
      </c>
      <c r="C1677" t="inlineStr">
        <is>
          <t>GLOBAL MEDICAL REIT INC.</t>
        </is>
      </c>
      <c r="D1677" t="n">
        <v>6798</v>
      </c>
    </row>
    <row r="1678">
      <c r="A1678" t="inlineStr">
        <is>
          <t>GLOBAL NET LEASE, INC.</t>
        </is>
      </c>
      <c r="B1678" t="inlineStr">
        <is>
          <t>GNL</t>
        </is>
      </c>
      <c r="C1678" t="inlineStr">
        <is>
          <t>GLOBAL NET LEASE, INC.</t>
        </is>
      </c>
      <c r="D1678" t="n">
        <v>6798</v>
      </c>
    </row>
    <row r="1679">
      <c r="A1679" t="inlineStr">
        <is>
          <t>GLOBAL PARTNERS LP</t>
        </is>
      </c>
      <c r="B1679" t="inlineStr">
        <is>
          <t>GLP</t>
        </is>
      </c>
      <c r="C1679" t="inlineStr">
        <is>
          <t>GLOBAL PARTNERS LP</t>
        </is>
      </c>
      <c r="D1679" t="n">
        <v>5171</v>
      </c>
    </row>
    <row r="1680">
      <c r="A1680" t="inlineStr">
        <is>
          <t>GLOBAL PAYMENTS INC</t>
        </is>
      </c>
      <c r="B1680" t="inlineStr">
        <is>
          <t>GPN</t>
        </is>
      </c>
      <c r="C1680" t="inlineStr">
        <is>
          <t>GLOBAL PAYMENTS INC</t>
        </is>
      </c>
      <c r="D1680" t="n">
        <v>7389</v>
      </c>
    </row>
    <row r="1681">
      <c r="A1681" t="inlineStr">
        <is>
          <t>GLOBAL SELF STORAGE, INC.</t>
        </is>
      </c>
      <c r="B1681" t="inlineStr">
        <is>
          <t>SELF</t>
        </is>
      </c>
      <c r="C1681" t="inlineStr">
        <is>
          <t>GLOBAL SELF STORAGE, INC.</t>
        </is>
      </c>
      <c r="D1681" t="n">
        <v>6798</v>
      </c>
    </row>
    <row r="1682">
      <c r="A1682" t="inlineStr">
        <is>
          <t>GLOBAL SHIP LEASE, INC.</t>
        </is>
      </c>
      <c r="B1682" t="inlineStr">
        <is>
          <t>GSL</t>
        </is>
      </c>
      <c r="C1682" t="inlineStr">
        <is>
          <t>GLOBAL SHIP LEASE, INC.</t>
        </is>
      </c>
      <c r="D1682" t="n">
        <v>4412</v>
      </c>
    </row>
    <row r="1683">
      <c r="A1683" t="inlineStr">
        <is>
          <t>GLOBAL WATER RESOURCES, INC.</t>
        </is>
      </c>
      <c r="B1683" t="inlineStr">
        <is>
          <t>GWRS</t>
        </is>
      </c>
      <c r="C1683" t="inlineStr">
        <is>
          <t>GLOBAL WATER RESOURCES, INC.</t>
        </is>
      </c>
      <c r="D1683" t="n">
        <v>4941</v>
      </c>
    </row>
    <row r="1684">
      <c r="A1684" t="inlineStr">
        <is>
          <t>GLOBAL-E ONLINE LTD.</t>
        </is>
      </c>
      <c r="B1684" t="inlineStr">
        <is>
          <t>GLBE</t>
        </is>
      </c>
      <c r="C1684" t="inlineStr">
        <is>
          <t>GLOBAL-E ONLINE LTD.</t>
        </is>
      </c>
      <c r="D1684" t="n">
        <v>7372</v>
      </c>
    </row>
    <row r="1685">
      <c r="A1685" t="inlineStr">
        <is>
          <t>GLOBALSTAR, INC.</t>
        </is>
      </c>
      <c r="B1685" t="inlineStr">
        <is>
          <t>GSAT</t>
        </is>
      </c>
      <c r="C1685" t="inlineStr">
        <is>
          <t>GLOBALSTAR, INC.</t>
        </is>
      </c>
      <c r="D1685" t="n">
        <v>4899</v>
      </c>
    </row>
    <row r="1686">
      <c r="A1686" t="inlineStr">
        <is>
          <t>GLOBE LIFE INC.</t>
        </is>
      </c>
      <c r="B1686" t="inlineStr">
        <is>
          <t>GL</t>
        </is>
      </c>
      <c r="C1686" t="inlineStr">
        <is>
          <t>GLOBE LIFE INC.</t>
        </is>
      </c>
      <c r="D1686" t="n">
        <v>6311</v>
      </c>
    </row>
    <row r="1687">
      <c r="A1687" t="inlineStr">
        <is>
          <t>GLOBUS MEDICAL INC</t>
        </is>
      </c>
      <c r="B1687" t="inlineStr">
        <is>
          <t>GMED</t>
        </is>
      </c>
      <c r="C1687" t="inlineStr">
        <is>
          <t>GLOBUS MEDICAL INC</t>
        </is>
      </c>
      <c r="D1687" t="n">
        <v>3841</v>
      </c>
    </row>
    <row r="1688">
      <c r="A1688" t="inlineStr">
        <is>
          <t>GLORY STAR NEW MEDIA GROUP HOLDINGS LTD</t>
        </is>
      </c>
      <c r="B1688" t="inlineStr">
        <is>
          <t>GSMG</t>
        </is>
      </c>
      <c r="C1688" t="inlineStr">
        <is>
          <t>GLORY STAR NEW MEDIA GROUP HOLDINGS LTD</t>
        </is>
      </c>
      <c r="D1688" t="n">
        <v>7374</v>
      </c>
    </row>
    <row r="1689">
      <c r="A1689" t="inlineStr">
        <is>
          <t>GLYCOMIMETICS INC</t>
        </is>
      </c>
      <c r="B1689" t="inlineStr">
        <is>
          <t>GLYC</t>
        </is>
      </c>
      <c r="C1689" t="inlineStr">
        <is>
          <t>GLYCOMIMETICS INC</t>
        </is>
      </c>
      <c r="D1689" t="n">
        <v>2834</v>
      </c>
    </row>
    <row r="1690">
      <c r="A1690" t="inlineStr">
        <is>
          <t>GMS INC.</t>
        </is>
      </c>
      <c r="B1690" t="inlineStr">
        <is>
          <t>GMS</t>
        </is>
      </c>
      <c r="C1690" t="inlineStr">
        <is>
          <t>GMS INC.</t>
        </is>
      </c>
      <c r="D1690" t="n">
        <v>5030</v>
      </c>
    </row>
    <row r="1691">
      <c r="A1691" t="inlineStr">
        <is>
          <t>GODADDY INC.</t>
        </is>
      </c>
      <c r="B1691" t="inlineStr">
        <is>
          <t>GDDY</t>
        </is>
      </c>
      <c r="C1691" t="inlineStr">
        <is>
          <t>GODADDY INC.</t>
        </is>
      </c>
      <c r="D1691" t="n">
        <v>7373</v>
      </c>
    </row>
    <row r="1692">
      <c r="A1692" t="inlineStr">
        <is>
          <t>GOGO INC.</t>
        </is>
      </c>
      <c r="B1692" t="inlineStr">
        <is>
          <t>GOGO</t>
        </is>
      </c>
      <c r="C1692" t="inlineStr">
        <is>
          <t>GOGO INC.</t>
        </is>
      </c>
      <c r="D1692" t="n">
        <v>4899</v>
      </c>
    </row>
    <row r="1693">
      <c r="A1693" t="inlineStr">
        <is>
          <t>GOHEALTH, INC.</t>
        </is>
      </c>
      <c r="B1693" t="inlineStr">
        <is>
          <t>GOCO</t>
        </is>
      </c>
      <c r="C1693" t="inlineStr">
        <is>
          <t>GOHEALTH, INC.</t>
        </is>
      </c>
      <c r="D1693" t="n">
        <v>6411</v>
      </c>
    </row>
    <row r="1694">
      <c r="A1694" t="inlineStr">
        <is>
          <t>GOLAR LNG LTD</t>
        </is>
      </c>
      <c r="B1694" t="inlineStr">
        <is>
          <t>GLNG</t>
        </is>
      </c>
      <c r="C1694" t="inlineStr">
        <is>
          <t>GOLAR LNG LTD</t>
        </is>
      </c>
      <c r="D1694" t="n">
        <v>4400</v>
      </c>
    </row>
    <row r="1695">
      <c r="A1695" t="inlineStr">
        <is>
          <t>GOLD RESOURCE CORP</t>
        </is>
      </c>
      <c r="B1695" t="inlineStr">
        <is>
          <t>GORO</t>
        </is>
      </c>
      <c r="C1695" t="inlineStr">
        <is>
          <t>GOLD RESOURCE CORP</t>
        </is>
      </c>
      <c r="D1695" t="n">
        <v>1040</v>
      </c>
    </row>
    <row r="1696">
      <c r="A1696" t="inlineStr">
        <is>
          <t>GOLDEN ENTERTAINMENT, INC.</t>
        </is>
      </c>
      <c r="B1696" t="inlineStr">
        <is>
          <t>GDEN</t>
        </is>
      </c>
      <c r="C1696" t="inlineStr">
        <is>
          <t>GOLDEN ENTERTAINMENT, INC.</t>
        </is>
      </c>
      <c r="D1696" t="n">
        <v>7990</v>
      </c>
    </row>
    <row r="1697">
      <c r="A1697" t="inlineStr">
        <is>
          <t>GOLDEN GROWERS COOPERATIVE</t>
        </is>
      </c>
      <c r="B1697" t="inlineStr">
        <is>
          <t>GGROU</t>
        </is>
      </c>
      <c r="C1697" t="inlineStr">
        <is>
          <t>GOLDEN GROWERS COOPERATIVE</t>
        </is>
      </c>
      <c r="D1697" t="n">
        <v>700</v>
      </c>
    </row>
    <row r="1698">
      <c r="A1698" t="inlineStr">
        <is>
          <t>GOLDEN MINERALS CO</t>
        </is>
      </c>
      <c r="B1698" t="inlineStr">
        <is>
          <t>AUMN</t>
        </is>
      </c>
      <c r="C1698" t="inlineStr">
        <is>
          <t>GOLDEN MINERALS CO</t>
        </is>
      </c>
      <c r="D1698" t="n">
        <v>1040</v>
      </c>
    </row>
    <row r="1699">
      <c r="A1699" t="inlineStr">
        <is>
          <t>GOLDEN OCEAN GROUP LTD</t>
        </is>
      </c>
      <c r="B1699" t="inlineStr">
        <is>
          <t>GOGL</t>
        </is>
      </c>
      <c r="C1699" t="inlineStr">
        <is>
          <t>GOLDEN OCEAN GROUP LTD</t>
        </is>
      </c>
      <c r="D1699" t="n">
        <v>4400</v>
      </c>
    </row>
    <row r="1700">
      <c r="A1700" t="inlineStr">
        <is>
          <t>GOLDMAN SACHS GROUP INC</t>
        </is>
      </c>
      <c r="B1700" t="inlineStr">
        <is>
          <t>GS</t>
        </is>
      </c>
      <c r="C1700" t="inlineStr">
        <is>
          <t>GOLDMAN SACHS GROUP INC</t>
        </is>
      </c>
      <c r="D1700" t="n">
        <v>6211</v>
      </c>
    </row>
    <row r="1701">
      <c r="A1701" t="inlineStr">
        <is>
          <t>GOOD TIMES RESTAURANTS INC.</t>
        </is>
      </c>
      <c r="B1701" t="inlineStr">
        <is>
          <t>GTIM</t>
        </is>
      </c>
      <c r="C1701" t="inlineStr">
        <is>
          <t>GOOD TIMES RESTAURANTS INC.</t>
        </is>
      </c>
      <c r="D1701" t="n">
        <v>5812</v>
      </c>
    </row>
    <row r="1702">
      <c r="A1702" t="inlineStr">
        <is>
          <t>GOODNESS GROWTH HOLDINGS, INC.</t>
        </is>
      </c>
      <c r="B1702" t="inlineStr">
        <is>
          <t>GDNSF</t>
        </is>
      </c>
      <c r="C1702" t="inlineStr">
        <is>
          <t>GOODNESS GROWTH HOLDINGS, INC.</t>
        </is>
      </c>
      <c r="D1702" t="n">
        <v>2834</v>
      </c>
    </row>
    <row r="1703">
      <c r="A1703" t="inlineStr">
        <is>
          <t>GOODRX HOLDINGS, INC.</t>
        </is>
      </c>
      <c r="B1703" t="inlineStr">
        <is>
          <t>GDRX</t>
        </is>
      </c>
      <c r="C1703" t="inlineStr">
        <is>
          <t>GOODRX HOLDINGS, INC.</t>
        </is>
      </c>
      <c r="D1703" t="n">
        <v>7374</v>
      </c>
    </row>
    <row r="1704">
      <c r="A1704" t="inlineStr">
        <is>
          <t>GOODYEAR TIRE &amp; RUBBER CO /OH/</t>
        </is>
      </c>
      <c r="B1704" t="inlineStr">
        <is>
          <t>GT</t>
        </is>
      </c>
      <c r="C1704" t="inlineStr">
        <is>
          <t>GOODYEAR TIRE &amp; RUBBER CO /OH/</t>
        </is>
      </c>
      <c r="D1704" t="n">
        <v>3011</v>
      </c>
    </row>
    <row r="1705">
      <c r="A1705" t="inlineStr">
        <is>
          <t>GOOSEHEAD INSURANCE, INC.</t>
        </is>
      </c>
      <c r="B1705" t="inlineStr">
        <is>
          <t>GSHD</t>
        </is>
      </c>
      <c r="C1705" t="inlineStr">
        <is>
          <t>GOOSEHEAD INSURANCE, INC.</t>
        </is>
      </c>
      <c r="D1705" t="n">
        <v>6411</v>
      </c>
    </row>
    <row r="1706">
      <c r="A1706" t="inlineStr">
        <is>
          <t>GOPRO, INC.</t>
        </is>
      </c>
      <c r="B1706" t="inlineStr">
        <is>
          <t>GPRO</t>
        </is>
      </c>
      <c r="C1706" t="inlineStr">
        <is>
          <t>GOPRO, INC.</t>
        </is>
      </c>
      <c r="D1706" t="n">
        <v>3861</v>
      </c>
    </row>
    <row r="1707">
      <c r="A1707" t="inlineStr">
        <is>
          <t>GORMAN RUPP CO</t>
        </is>
      </c>
      <c r="B1707" t="inlineStr">
        <is>
          <t>GRC</t>
        </is>
      </c>
      <c r="C1707" t="inlineStr">
        <is>
          <t>GORMAN RUPP CO</t>
        </is>
      </c>
      <c r="D1707" t="n">
        <v>3561</v>
      </c>
    </row>
    <row r="1708">
      <c r="A1708" t="inlineStr">
        <is>
          <t>GRACO INC</t>
        </is>
      </c>
      <c r="B1708" t="inlineStr">
        <is>
          <t>GGG</t>
        </is>
      </c>
      <c r="C1708" t="inlineStr">
        <is>
          <t>GRACO INC</t>
        </is>
      </c>
      <c r="D1708" t="n">
        <v>3561</v>
      </c>
    </row>
    <row r="1709">
      <c r="A1709" t="inlineStr">
        <is>
          <t>GRAFTECH INTERNATIONAL LTD</t>
        </is>
      </c>
      <c r="B1709" t="inlineStr">
        <is>
          <t>EAF</t>
        </is>
      </c>
      <c r="C1709" t="inlineStr">
        <is>
          <t>GRAFTECH INTERNATIONAL LTD</t>
        </is>
      </c>
      <c r="D1709" t="n">
        <v>3620</v>
      </c>
    </row>
    <row r="1710">
      <c r="A1710" t="inlineStr">
        <is>
          <t>GRAHAM CORP</t>
        </is>
      </c>
      <c r="B1710" t="inlineStr">
        <is>
          <t>GHM</t>
        </is>
      </c>
      <c r="C1710" t="inlineStr">
        <is>
          <t>GRAHAM CORP</t>
        </is>
      </c>
      <c r="D1710" t="n">
        <v>3560</v>
      </c>
    </row>
    <row r="1711">
      <c r="A1711" t="inlineStr">
        <is>
          <t>GRAHAM HOLDINGS CO</t>
        </is>
      </c>
      <c r="B1711" t="inlineStr">
        <is>
          <t>GHC</t>
        </is>
      </c>
      <c r="C1711" t="inlineStr">
        <is>
          <t>GRAHAM HOLDINGS CO</t>
        </is>
      </c>
      <c r="D1711" t="n">
        <v>8200</v>
      </c>
    </row>
    <row r="1712">
      <c r="A1712" t="inlineStr">
        <is>
          <t>GRAN TIERRA ENERGY INC.</t>
        </is>
      </c>
      <c r="B1712" t="inlineStr">
        <is>
          <t>GTE</t>
        </is>
      </c>
      <c r="C1712" t="inlineStr">
        <is>
          <t>GRAN TIERRA ENERGY INC.</t>
        </is>
      </c>
      <c r="D1712" t="n">
        <v>1311</v>
      </c>
    </row>
    <row r="1713">
      <c r="A1713" t="inlineStr">
        <is>
          <t>GRAND CANYON EDUCATION, INC.</t>
        </is>
      </c>
      <c r="B1713" t="inlineStr">
        <is>
          <t>LOPE</t>
        </is>
      </c>
      <c r="C1713" t="inlineStr">
        <is>
          <t>GRAND CANYON EDUCATION, INC.</t>
        </is>
      </c>
      <c r="D1713" t="n">
        <v>8200</v>
      </c>
    </row>
    <row r="1714">
      <c r="A1714" t="inlineStr">
        <is>
          <t>GRANDSOUTH BANCORPORATION</t>
        </is>
      </c>
      <c r="B1714" t="inlineStr">
        <is>
          <t>GRRB</t>
        </is>
      </c>
      <c r="C1714" t="inlineStr">
        <is>
          <t>GRANDSOUTH BANCORPORATION</t>
        </is>
      </c>
      <c r="D1714" t="n">
        <v>6036</v>
      </c>
    </row>
    <row r="1715">
      <c r="A1715" t="inlineStr">
        <is>
          <t>GRANITE CONSTRUCTION INC</t>
        </is>
      </c>
      <c r="B1715" t="inlineStr">
        <is>
          <t>GVA</t>
        </is>
      </c>
      <c r="C1715" t="inlineStr">
        <is>
          <t>GRANITE CONSTRUCTION INC</t>
        </is>
      </c>
      <c r="D1715" t="n">
        <v>1600</v>
      </c>
    </row>
    <row r="1716">
      <c r="A1716" t="inlineStr">
        <is>
          <t>GRANITE FALLS ENERGY, LLC</t>
        </is>
      </c>
      <c r="B1716" t="inlineStr">
        <is>
          <t>GFGY</t>
        </is>
      </c>
      <c r="C1716" t="inlineStr">
        <is>
          <t>GRANITE FALLS ENERGY, LLC</t>
        </is>
      </c>
      <c r="D1716" t="n">
        <v>2860</v>
      </c>
    </row>
    <row r="1717">
      <c r="A1717" t="inlineStr">
        <is>
          <t>GRANITE POINT MORTGAGE TRUST INC.</t>
        </is>
      </c>
      <c r="B1717" t="inlineStr">
        <is>
          <t>GPMT</t>
        </is>
      </c>
      <c r="C1717" t="inlineStr">
        <is>
          <t>GRANITE POINT MORTGAGE TRUST INC.</t>
        </is>
      </c>
      <c r="D1717" t="n">
        <v>6798</v>
      </c>
    </row>
    <row r="1718">
      <c r="A1718" t="inlineStr">
        <is>
          <t>GRAPHIC PACKAGING HOLDING CO</t>
        </is>
      </c>
      <c r="B1718" t="inlineStr">
        <is>
          <t>GPK</t>
        </is>
      </c>
      <c r="C1718" t="inlineStr">
        <is>
          <t>GRAPHIC PACKAGING HOLDING CO</t>
        </is>
      </c>
      <c r="D1718" t="n">
        <v>2650</v>
      </c>
    </row>
    <row r="1719">
      <c r="A1719" t="inlineStr">
        <is>
          <t>GRAY TELEVISION INC</t>
        </is>
      </c>
      <c r="B1719" t="inlineStr">
        <is>
          <t>GTN</t>
        </is>
      </c>
      <c r="C1719" t="inlineStr">
        <is>
          <t>GRAY TELEVISION INC</t>
        </is>
      </c>
      <c r="D1719" t="n">
        <v>4833</v>
      </c>
    </row>
    <row r="1720">
      <c r="A1720" t="inlineStr">
        <is>
          <t>GREAT AJAX CORP.</t>
        </is>
      </c>
      <c r="B1720" t="inlineStr">
        <is>
          <t>AJX</t>
        </is>
      </c>
      <c r="C1720" t="inlineStr">
        <is>
          <t>GREAT AJAX CORP.</t>
        </is>
      </c>
      <c r="D1720" t="n">
        <v>6798</v>
      </c>
    </row>
    <row r="1721">
      <c r="A1721" t="inlineStr">
        <is>
          <t>GREAT ELM GROUP, INC.</t>
        </is>
      </c>
      <c r="B1721" t="inlineStr">
        <is>
          <t>GEG</t>
        </is>
      </c>
      <c r="C1721" t="inlineStr">
        <is>
          <t>GREAT ELM GROUP, INC.</t>
        </is>
      </c>
      <c r="D1721" t="n">
        <v>7372</v>
      </c>
    </row>
    <row r="1722">
      <c r="A1722" t="inlineStr">
        <is>
          <t>GREAT LAKES DREDGE &amp; DOCK CORP</t>
        </is>
      </c>
      <c r="B1722" t="inlineStr">
        <is>
          <t>GLDD</t>
        </is>
      </c>
      <c r="C1722" t="inlineStr">
        <is>
          <t>GREAT LAKES DREDGE &amp; DOCK CORP</t>
        </is>
      </c>
      <c r="D1722" t="n">
        <v>1600</v>
      </c>
    </row>
    <row r="1723">
      <c r="A1723" t="inlineStr">
        <is>
          <t>GREAT SOUTHERN BANCORP, INC.</t>
        </is>
      </c>
      <c r="B1723" t="inlineStr">
        <is>
          <t>GSBC</t>
        </is>
      </c>
      <c r="C1723" t="inlineStr">
        <is>
          <t>GREAT SOUTHERN BANCORP, INC.</t>
        </is>
      </c>
      <c r="D1723" t="n">
        <v>6022</v>
      </c>
    </row>
    <row r="1724">
      <c r="A1724" t="inlineStr">
        <is>
          <t>GREEN BRICK PARTNERS, INC.</t>
        </is>
      </c>
      <c r="B1724" t="inlineStr">
        <is>
          <t>GRBK</t>
        </is>
      </c>
      <c r="C1724" t="inlineStr">
        <is>
          <t>GREEN BRICK PARTNERS, INC.</t>
        </is>
      </c>
      <c r="D1724" t="n">
        <v>1531</v>
      </c>
    </row>
    <row r="1725">
      <c r="A1725" t="inlineStr">
        <is>
          <t>GREEN DOT CORP</t>
        </is>
      </c>
      <c r="B1725" t="inlineStr">
        <is>
          <t>GDOT</t>
        </is>
      </c>
      <c r="C1725" t="inlineStr">
        <is>
          <t>GREEN DOT CORP</t>
        </is>
      </c>
      <c r="D1725" t="n">
        <v>6199</v>
      </c>
    </row>
    <row r="1726">
      <c r="A1726" t="inlineStr">
        <is>
          <t>GREEN PLAINS INC.</t>
        </is>
      </c>
      <c r="B1726" t="inlineStr">
        <is>
          <t>GPRE</t>
        </is>
      </c>
      <c r="C1726" t="inlineStr">
        <is>
          <t>GREEN PLAINS INC.</t>
        </is>
      </c>
      <c r="D1726" t="n">
        <v>2860</v>
      </c>
    </row>
    <row r="1727">
      <c r="A1727" t="inlineStr">
        <is>
          <t>GREEN PLAINS PARTNERS LP</t>
        </is>
      </c>
      <c r="B1727" t="inlineStr">
        <is>
          <t>GPP</t>
        </is>
      </c>
      <c r="C1727" t="inlineStr">
        <is>
          <t>GREEN PLAINS PARTNERS LP</t>
        </is>
      </c>
      <c r="D1727" t="n">
        <v>2860</v>
      </c>
    </row>
    <row r="1728">
      <c r="A1728" t="inlineStr">
        <is>
          <t>GREEN THUMB INDUSTRIES INC.</t>
        </is>
      </c>
      <c r="B1728" t="inlineStr">
        <is>
          <t>GTBIF</t>
        </is>
      </c>
      <c r="C1728" t="inlineStr">
        <is>
          <t>GREEN THUMB INDUSTRIES INC.</t>
        </is>
      </c>
      <c r="D1728" t="n">
        <v>100</v>
      </c>
    </row>
    <row r="1729">
      <c r="A1729" t="inlineStr">
        <is>
          <t>GREENBOX POS</t>
        </is>
      </c>
      <c r="B1729" t="inlineStr">
        <is>
          <t>GBOX</t>
        </is>
      </c>
      <c r="C1729" t="inlineStr">
        <is>
          <t>GREENBOX POS</t>
        </is>
      </c>
      <c r="D1729" t="n">
        <v>8742</v>
      </c>
    </row>
    <row r="1730">
      <c r="A1730" t="inlineStr">
        <is>
          <t>GREENBRIER COMPANIES INC</t>
        </is>
      </c>
      <c r="B1730" t="inlineStr">
        <is>
          <t>GBX</t>
        </is>
      </c>
      <c r="C1730" t="inlineStr">
        <is>
          <t>GREENBRIER COMPANIES INC</t>
        </is>
      </c>
      <c r="D1730" t="n">
        <v>3743</v>
      </c>
    </row>
    <row r="1731">
      <c r="A1731" t="inlineStr">
        <is>
          <t>GREENE COUNTY BANCORP INC</t>
        </is>
      </c>
      <c r="B1731" t="inlineStr">
        <is>
          <t>GCBC</t>
        </is>
      </c>
      <c r="C1731" t="inlineStr">
        <is>
          <t>GREENE COUNTY BANCORP INC</t>
        </is>
      </c>
      <c r="D1731" t="n">
        <v>6036</v>
      </c>
    </row>
    <row r="1732">
      <c r="A1732" t="inlineStr">
        <is>
          <t>GREENHILL &amp; CO INC</t>
        </is>
      </c>
      <c r="B1732" t="inlineStr">
        <is>
          <t>GHL</t>
        </is>
      </c>
      <c r="C1732" t="inlineStr">
        <is>
          <t>GREENHILL &amp; CO INC</t>
        </is>
      </c>
      <c r="D1732" t="n">
        <v>6211</v>
      </c>
    </row>
    <row r="1733">
      <c r="A1733" t="inlineStr">
        <is>
          <t>GREENIDGE GENERATION HOLDINGS INC.</t>
        </is>
      </c>
      <c r="B1733" t="inlineStr">
        <is>
          <t>GREE</t>
        </is>
      </c>
      <c r="C1733" t="inlineStr">
        <is>
          <t>GREENIDGE GENERATION HOLDINGS INC.</t>
        </is>
      </c>
      <c r="D1733" t="n">
        <v>7374</v>
      </c>
    </row>
    <row r="1734">
      <c r="A1734" t="inlineStr">
        <is>
          <t>GREENLAND TECHNOLOGIES HOLDING CORP.</t>
        </is>
      </c>
      <c r="B1734" t="inlineStr">
        <is>
          <t>GTEC</t>
        </is>
      </c>
      <c r="C1734" t="inlineStr">
        <is>
          <t>GREENLAND TECHNOLOGIES HOLDING CORP.</t>
        </is>
      </c>
      <c r="D1734" t="n">
        <v>3560</v>
      </c>
    </row>
    <row r="1735">
      <c r="A1735" t="inlineStr">
        <is>
          <t>GREENLANE HOLDINGS, INC.</t>
        </is>
      </c>
      <c r="B1735" t="inlineStr">
        <is>
          <t>GNLN</t>
        </is>
      </c>
      <c r="C1735" t="inlineStr">
        <is>
          <t>GREENLANE HOLDINGS, INC.</t>
        </is>
      </c>
      <c r="D1735" t="n">
        <v>5099</v>
      </c>
    </row>
    <row r="1736">
      <c r="A1736" t="inlineStr">
        <is>
          <t>GREENLIGHT CAPITAL RE, LTD.</t>
        </is>
      </c>
      <c r="B1736" t="inlineStr">
        <is>
          <t>GLRE</t>
        </is>
      </c>
      <c r="C1736" t="inlineStr">
        <is>
          <t>GREENLIGHT CAPITAL RE, LTD.</t>
        </is>
      </c>
      <c r="D1736" t="n">
        <v>6331</v>
      </c>
    </row>
    <row r="1737">
      <c r="A1737" t="inlineStr">
        <is>
          <t>GREENPRO CAPITAL CORP.</t>
        </is>
      </c>
      <c r="B1737" t="inlineStr">
        <is>
          <t>GRNQ</t>
        </is>
      </c>
      <c r="C1737" t="inlineStr">
        <is>
          <t>GREENPRO CAPITAL CORP.</t>
        </is>
      </c>
      <c r="D1737" t="n">
        <v>7374</v>
      </c>
    </row>
    <row r="1738">
      <c r="A1738" t="inlineStr">
        <is>
          <t>GREENTREE HOSPITALITY GROUP LTD.</t>
        </is>
      </c>
      <c r="B1738" t="inlineStr">
        <is>
          <t>GHG</t>
        </is>
      </c>
      <c r="C1738" t="inlineStr">
        <is>
          <t>GREENTREE HOSPITALITY GROUP LTD.</t>
        </is>
      </c>
      <c r="D1738" t="n">
        <v>7011</v>
      </c>
    </row>
    <row r="1739">
      <c r="A1739" t="inlineStr">
        <is>
          <t>GREIF, INC</t>
        </is>
      </c>
      <c r="B1739" t="inlineStr">
        <is>
          <t>GEF</t>
        </is>
      </c>
      <c r="C1739" t="inlineStr">
        <is>
          <t>GREIF, INC</t>
        </is>
      </c>
      <c r="D1739" t="n">
        <v>3412</v>
      </c>
    </row>
    <row r="1740">
      <c r="A1740" t="inlineStr">
        <is>
          <t>GREYSTONE LOGISTICS, INC.</t>
        </is>
      </c>
      <c r="B1740" t="inlineStr">
        <is>
          <t>GLGI</t>
        </is>
      </c>
      <c r="C1740" t="inlineStr">
        <is>
          <t>GREYSTONE LOGISTICS, INC.</t>
        </is>
      </c>
      <c r="D1740" t="n">
        <v>3559</v>
      </c>
    </row>
    <row r="1741">
      <c r="A1741" t="inlineStr">
        <is>
          <t>GRID DYNAMICS HOLDINGS, INC.</t>
        </is>
      </c>
      <c r="B1741" t="inlineStr">
        <is>
          <t>GDYN</t>
        </is>
      </c>
      <c r="C1741" t="inlineStr">
        <is>
          <t>GRID DYNAMICS HOLDINGS, INC.</t>
        </is>
      </c>
      <c r="D1741" t="n">
        <v>7372</v>
      </c>
    </row>
    <row r="1742">
      <c r="A1742" t="inlineStr">
        <is>
          <t>GRIFFON CORP</t>
        </is>
      </c>
      <c r="B1742" t="inlineStr">
        <is>
          <t>GFF</t>
        </is>
      </c>
      <c r="C1742" t="inlineStr">
        <is>
          <t>GRIFFON CORP</t>
        </is>
      </c>
      <c r="D1742" t="n">
        <v>3442</v>
      </c>
    </row>
    <row r="1743">
      <c r="A1743" t="inlineStr">
        <is>
          <t>GRITSTONE BIO, INC.</t>
        </is>
      </c>
      <c r="B1743" t="inlineStr">
        <is>
          <t>GRTS</t>
        </is>
      </c>
      <c r="C1743" t="inlineStr">
        <is>
          <t>GRITSTONE BIO, INC.</t>
        </is>
      </c>
      <c r="D1743" t="n">
        <v>2836</v>
      </c>
    </row>
    <row r="1744">
      <c r="A1744" t="inlineStr">
        <is>
          <t>GROCERY OUTLET HOLDING CORP.</t>
        </is>
      </c>
      <c r="B1744" t="inlineStr">
        <is>
          <t>GO</t>
        </is>
      </c>
      <c r="C1744" t="inlineStr">
        <is>
          <t>GROCERY OUTLET HOLDING CORP.</t>
        </is>
      </c>
      <c r="D1744" t="n">
        <v>5411</v>
      </c>
    </row>
    <row r="1745">
      <c r="A1745" t="inlineStr">
        <is>
          <t>GROUP 1 AUTOMOTIVE INC</t>
        </is>
      </c>
      <c r="B1745" t="inlineStr">
        <is>
          <t>GPI</t>
        </is>
      </c>
      <c r="C1745" t="inlineStr">
        <is>
          <t>GROUP 1 AUTOMOTIVE INC</t>
        </is>
      </c>
      <c r="D1745" t="n">
        <v>5500</v>
      </c>
    </row>
    <row r="1746">
      <c r="A1746" t="inlineStr">
        <is>
          <t>GROUPON, INC.</t>
        </is>
      </c>
      <c r="B1746" t="inlineStr">
        <is>
          <t>GRPN</t>
        </is>
      </c>
      <c r="C1746" t="inlineStr">
        <is>
          <t>GROUPON, INC.</t>
        </is>
      </c>
      <c r="D1746" t="n">
        <v>7311</v>
      </c>
    </row>
    <row r="1747">
      <c r="A1747" t="inlineStr">
        <is>
          <t>GROWGENERATION CORP.</t>
        </is>
      </c>
      <c r="B1747" t="inlineStr">
        <is>
          <t>GRWG</t>
        </is>
      </c>
      <c r="C1747" t="inlineStr">
        <is>
          <t>GROWGENERATION CORP.</t>
        </is>
      </c>
      <c r="D1747" t="n">
        <v>5200</v>
      </c>
    </row>
    <row r="1748">
      <c r="A1748" t="inlineStr">
        <is>
          <t>GSE SYSTEMS INC</t>
        </is>
      </c>
      <c r="B1748" t="inlineStr">
        <is>
          <t>GVP</t>
        </is>
      </c>
      <c r="C1748" t="inlineStr">
        <is>
          <t>GSE SYSTEMS INC</t>
        </is>
      </c>
      <c r="D1748" t="n">
        <v>7372</v>
      </c>
    </row>
    <row r="1749">
      <c r="A1749" t="inlineStr">
        <is>
          <t>GSI TECHNOLOGY INC</t>
        </is>
      </c>
      <c r="B1749" t="inlineStr">
        <is>
          <t>GSIT</t>
        </is>
      </c>
      <c r="C1749" t="inlineStr">
        <is>
          <t>GSI TECHNOLOGY INC</t>
        </is>
      </c>
      <c r="D1749" t="n">
        <v>3674</v>
      </c>
    </row>
    <row r="1750">
      <c r="A1750" t="inlineStr">
        <is>
          <t>GTY TECHNOLOGY HOLDINGS INC.</t>
        </is>
      </c>
      <c r="B1750" t="inlineStr">
        <is>
          <t>GTYH</t>
        </is>
      </c>
      <c r="C1750" t="inlineStr">
        <is>
          <t>GTY TECHNOLOGY HOLDINGS INC.</t>
        </is>
      </c>
      <c r="D1750" t="n">
        <v>7374</v>
      </c>
    </row>
    <row r="1751">
      <c r="A1751" t="inlineStr">
        <is>
          <t>GUARANTY BANCSHARES INC /TX/</t>
        </is>
      </c>
      <c r="B1751" t="inlineStr">
        <is>
          <t>GNTY</t>
        </is>
      </c>
      <c r="C1751" t="inlineStr">
        <is>
          <t>GUARANTY BANCSHARES INC /TX/</t>
        </is>
      </c>
      <c r="D1751" t="n">
        <v>6021</v>
      </c>
    </row>
    <row r="1752">
      <c r="A1752" t="inlineStr">
        <is>
          <t>GUARDANT HEALTH, INC.</t>
        </is>
      </c>
      <c r="B1752" t="inlineStr">
        <is>
          <t>GH</t>
        </is>
      </c>
      <c r="C1752" t="inlineStr">
        <is>
          <t>GUARDANT HEALTH, INC.</t>
        </is>
      </c>
      <c r="D1752" t="n">
        <v>8071</v>
      </c>
    </row>
    <row r="1753">
      <c r="A1753" t="inlineStr">
        <is>
          <t>GUESS INC</t>
        </is>
      </c>
      <c r="B1753" t="inlineStr">
        <is>
          <t>GES</t>
        </is>
      </c>
      <c r="C1753" t="inlineStr">
        <is>
          <t>GUESS INC</t>
        </is>
      </c>
      <c r="D1753" t="n">
        <v>2340</v>
      </c>
    </row>
    <row r="1754">
      <c r="A1754" t="inlineStr">
        <is>
          <t>GUIDEWIRE SOFTWARE, INC.</t>
        </is>
      </c>
      <c r="B1754" t="inlineStr">
        <is>
          <t>GWRE</t>
        </is>
      </c>
      <c r="C1754" t="inlineStr">
        <is>
          <t>GUIDEWIRE SOFTWARE, INC.</t>
        </is>
      </c>
      <c r="D1754" t="n">
        <v>7372</v>
      </c>
    </row>
    <row r="1755">
      <c r="A1755" t="inlineStr">
        <is>
          <t>GULF ISLAND FABRICATION INC</t>
        </is>
      </c>
      <c r="B1755" t="inlineStr">
        <is>
          <t>GIFI</t>
        </is>
      </c>
      <c r="C1755" t="inlineStr">
        <is>
          <t>GULF ISLAND FABRICATION INC</t>
        </is>
      </c>
      <c r="D1755" t="n">
        <v>3440</v>
      </c>
    </row>
    <row r="1756">
      <c r="A1756" t="inlineStr">
        <is>
          <t>GULF RESOURCES, INC.</t>
        </is>
      </c>
      <c r="B1756" t="inlineStr">
        <is>
          <t>GURE</t>
        </is>
      </c>
      <c r="C1756" t="inlineStr">
        <is>
          <t>GULF RESOURCES, INC.</t>
        </is>
      </c>
      <c r="D1756" t="n">
        <v>2800</v>
      </c>
    </row>
    <row r="1757">
      <c r="A1757" t="inlineStr">
        <is>
          <t>GULFPORT ENERGY CORP</t>
        </is>
      </c>
      <c r="B1757" t="inlineStr">
        <is>
          <t>GPOR</t>
        </is>
      </c>
      <c r="C1757" t="inlineStr">
        <is>
          <t>GULFPORT ENERGY CORP</t>
        </is>
      </c>
      <c r="D1757" t="n">
        <v>1311</v>
      </c>
    </row>
    <row r="1758">
      <c r="A1758" t="inlineStr">
        <is>
          <t>GXO LOGISTICS, INC.</t>
        </is>
      </c>
      <c r="B1758" t="inlineStr">
        <is>
          <t>GXO</t>
        </is>
      </c>
      <c r="C1758" t="inlineStr">
        <is>
          <t>GXO LOGISTICS, INC.</t>
        </is>
      </c>
      <c r="D1758" t="n">
        <v>4700</v>
      </c>
    </row>
    <row r="1759">
      <c r="A1759" t="inlineStr">
        <is>
          <t>H&amp;E EQUIPMENT SERVICES, INC.</t>
        </is>
      </c>
      <c r="B1759" t="inlineStr">
        <is>
          <t>HEES</t>
        </is>
      </c>
      <c r="C1759" t="inlineStr">
        <is>
          <t>H&amp;E EQUIPMENT SERVICES, INC.</t>
        </is>
      </c>
      <c r="D1759" t="n">
        <v>7350</v>
      </c>
    </row>
    <row r="1760">
      <c r="A1760" t="inlineStr">
        <is>
          <t>H&amp;R BLOCK INC</t>
        </is>
      </c>
      <c r="B1760" t="inlineStr">
        <is>
          <t>HRB</t>
        </is>
      </c>
      <c r="C1760" t="inlineStr">
        <is>
          <t>H&amp;R BLOCK INC</t>
        </is>
      </c>
      <c r="D1760" t="n">
        <v>7200</v>
      </c>
    </row>
    <row r="1761">
      <c r="A1761" t="inlineStr">
        <is>
          <t>HACKETT GROUP, INC.</t>
        </is>
      </c>
      <c r="B1761" t="inlineStr">
        <is>
          <t>HCKT</t>
        </is>
      </c>
      <c r="C1761" t="inlineStr">
        <is>
          <t>HACKETT GROUP, INC.</t>
        </is>
      </c>
      <c r="D1761" t="n">
        <v>8742</v>
      </c>
    </row>
    <row r="1762">
      <c r="A1762" t="inlineStr">
        <is>
          <t>HAEMONETICS CORP</t>
        </is>
      </c>
      <c r="B1762" t="inlineStr">
        <is>
          <t>HAE</t>
        </is>
      </c>
      <c r="C1762" t="inlineStr">
        <is>
          <t>HAEMONETICS CORP</t>
        </is>
      </c>
      <c r="D1762" t="n">
        <v>3841</v>
      </c>
    </row>
    <row r="1763">
      <c r="A1763" t="inlineStr">
        <is>
          <t>HAGERTY, INC.</t>
        </is>
      </c>
      <c r="B1763" t="inlineStr">
        <is>
          <t>HGTY</t>
        </is>
      </c>
      <c r="C1763" t="inlineStr">
        <is>
          <t>HAGERTY, INC.</t>
        </is>
      </c>
      <c r="D1763" t="n">
        <v>6411</v>
      </c>
    </row>
    <row r="1764">
      <c r="A1764" t="inlineStr">
        <is>
          <t>HAIN CELESTIAL GROUP INC</t>
        </is>
      </c>
      <c r="B1764" t="inlineStr">
        <is>
          <t>HAIN</t>
        </is>
      </c>
      <c r="C1764" t="inlineStr">
        <is>
          <t>HAIN CELESTIAL GROUP INC</t>
        </is>
      </c>
      <c r="D1764" t="n">
        <v>2000</v>
      </c>
    </row>
    <row r="1765">
      <c r="A1765" t="inlineStr">
        <is>
          <t>HALL OF FAME RESORT &amp; ENTERTAINMENT CO</t>
        </is>
      </c>
      <c r="B1765" t="inlineStr">
        <is>
          <t>HOFV</t>
        </is>
      </c>
      <c r="C1765" t="inlineStr">
        <is>
          <t>HALL OF FAME RESORT &amp; ENTERTAINMENT CO</t>
        </is>
      </c>
      <c r="D1765" t="n">
        <v>7990</v>
      </c>
    </row>
    <row r="1766">
      <c r="A1766" t="inlineStr">
        <is>
          <t>HALLADOR ENERGY CO</t>
        </is>
      </c>
      <c r="B1766" t="inlineStr">
        <is>
          <t>HNRG</t>
        </is>
      </c>
      <c r="C1766" t="inlineStr">
        <is>
          <t>HALLADOR ENERGY CO</t>
        </is>
      </c>
      <c r="D1766" t="n">
        <v>1220</v>
      </c>
    </row>
    <row r="1767">
      <c r="A1767" t="inlineStr">
        <is>
          <t>HALLIBURTON CO</t>
        </is>
      </c>
      <c r="B1767" t="inlineStr">
        <is>
          <t>HAL</t>
        </is>
      </c>
      <c r="C1767" t="inlineStr">
        <is>
          <t>HALLIBURTON CO</t>
        </is>
      </c>
      <c r="D1767" t="n">
        <v>1389</v>
      </c>
    </row>
    <row r="1768">
      <c r="A1768" t="inlineStr">
        <is>
          <t>HALLMARK FINANCIAL SERVICES INC</t>
        </is>
      </c>
      <c r="B1768" t="inlineStr">
        <is>
          <t>HALL</t>
        </is>
      </c>
      <c r="C1768" t="inlineStr">
        <is>
          <t>HALLMARK FINANCIAL SERVICES INC</t>
        </is>
      </c>
      <c r="D1768" t="n">
        <v>6399</v>
      </c>
    </row>
    <row r="1769">
      <c r="A1769" t="inlineStr">
        <is>
          <t>HALOZYME THERAPEUTICS, INC.</t>
        </is>
      </c>
      <c r="B1769" t="inlineStr">
        <is>
          <t>HALO</t>
        </is>
      </c>
      <c r="C1769" t="inlineStr">
        <is>
          <t>HALOZYME THERAPEUTICS, INC.</t>
        </is>
      </c>
      <c r="D1769" t="n">
        <v>2836</v>
      </c>
    </row>
    <row r="1770">
      <c r="A1770" t="inlineStr">
        <is>
          <t>HAMILTON BEACH BRANDS HOLDING CO</t>
        </is>
      </c>
      <c r="B1770" t="inlineStr">
        <is>
          <t>HBB</t>
        </is>
      </c>
      <c r="C1770" t="inlineStr">
        <is>
          <t>HAMILTON BEACH BRANDS HOLDING CO</t>
        </is>
      </c>
      <c r="D1770" t="n">
        <v>3634</v>
      </c>
    </row>
    <row r="1771">
      <c r="A1771" t="inlineStr">
        <is>
          <t>HAMILTON LANE INC</t>
        </is>
      </c>
      <c r="B1771" t="inlineStr">
        <is>
          <t>HLNE</t>
        </is>
      </c>
      <c r="C1771" t="inlineStr">
        <is>
          <t>HAMILTON LANE INC</t>
        </is>
      </c>
      <c r="D1771" t="n">
        <v>6282</v>
      </c>
    </row>
    <row r="1772">
      <c r="A1772" t="inlineStr">
        <is>
          <t>HANCOCK WHITNEY CORP</t>
        </is>
      </c>
      <c r="B1772" t="inlineStr">
        <is>
          <t>HWC</t>
        </is>
      </c>
      <c r="C1772" t="inlineStr">
        <is>
          <t>HANCOCK WHITNEY CORP</t>
        </is>
      </c>
      <c r="D1772" t="n">
        <v>6022</v>
      </c>
    </row>
    <row r="1773">
      <c r="A1773" t="inlineStr">
        <is>
          <t>HANESBRANDS INC.</t>
        </is>
      </c>
      <c r="B1773" t="inlineStr">
        <is>
          <t>HBI</t>
        </is>
      </c>
      <c r="C1773" t="inlineStr">
        <is>
          <t>HANESBRANDS INC.</t>
        </is>
      </c>
      <c r="D1773" t="n">
        <v>5600</v>
      </c>
    </row>
    <row r="1774">
      <c r="A1774" t="inlineStr">
        <is>
          <t>HANGER, INC.</t>
        </is>
      </c>
      <c r="B1774" t="inlineStr">
        <is>
          <t>HNGR</t>
        </is>
      </c>
      <c r="C1774" t="inlineStr">
        <is>
          <t>HANGER, INC.</t>
        </is>
      </c>
      <c r="D1774" t="n">
        <v>8093</v>
      </c>
    </row>
    <row r="1775">
      <c r="A1775" t="inlineStr">
        <is>
          <t>HANJIAO GROUP, INC.</t>
        </is>
      </c>
      <c r="B1775" t="inlineStr">
        <is>
          <t>HJGP</t>
        </is>
      </c>
      <c r="C1775" t="inlineStr">
        <is>
          <t>HANJIAO GROUP, INC.</t>
        </is>
      </c>
      <c r="D1775" t="n">
        <v>2833</v>
      </c>
    </row>
    <row r="1776">
      <c r="A1776" t="inlineStr">
        <is>
          <t>HANMI FINANCIAL CORP</t>
        </is>
      </c>
      <c r="B1776" t="inlineStr">
        <is>
          <t>HAFC</t>
        </is>
      </c>
      <c r="C1776" t="inlineStr">
        <is>
          <t>HANMI FINANCIAL CORP</t>
        </is>
      </c>
      <c r="D1776" t="n">
        <v>6021</v>
      </c>
    </row>
    <row r="1777">
      <c r="A1777" t="inlineStr">
        <is>
          <t>HANNON ARMSTRONG SUSTAINABLE INFRASTRUCTURE CAPITAL, INC.</t>
        </is>
      </c>
      <c r="B1777" t="inlineStr">
        <is>
          <t>HASI</t>
        </is>
      </c>
      <c r="C1777" t="inlineStr">
        <is>
          <t>HANNON ARMSTRONG SUSTAINABLE INFRASTRUCTURE CAPITAL, INC.</t>
        </is>
      </c>
      <c r="D1777" t="n">
        <v>6798</v>
      </c>
    </row>
    <row r="1778">
      <c r="A1778" t="inlineStr">
        <is>
          <t>HANOVER INSURANCE GROUP, INC.</t>
        </is>
      </c>
      <c r="B1778" t="inlineStr">
        <is>
          <t>THG</t>
        </is>
      </c>
      <c r="C1778" t="inlineStr">
        <is>
          <t>HANOVER INSURANCE GROUP, INC.</t>
        </is>
      </c>
      <c r="D1778" t="n">
        <v>6331</v>
      </c>
    </row>
    <row r="1779">
      <c r="A1779" t="inlineStr">
        <is>
          <t>HARBOR CUSTOM DEVELOPMENT, INC.</t>
        </is>
      </c>
      <c r="B1779" t="inlineStr">
        <is>
          <t>HCDI</t>
        </is>
      </c>
      <c r="C1779" t="inlineStr">
        <is>
          <t>HARBOR CUSTOM DEVELOPMENT, INC.</t>
        </is>
      </c>
      <c r="D1779" t="n">
        <v>1531</v>
      </c>
    </row>
    <row r="1780">
      <c r="A1780" t="inlineStr">
        <is>
          <t>HARBOR DIVERSIFIED, INC.</t>
        </is>
      </c>
      <c r="B1780" t="inlineStr">
        <is>
          <t>HRBR</t>
        </is>
      </c>
      <c r="C1780" t="inlineStr">
        <is>
          <t>HARBOR DIVERSIFIED, INC.</t>
        </is>
      </c>
      <c r="D1780" t="n">
        <v>4512</v>
      </c>
    </row>
    <row r="1781">
      <c r="A1781" t="inlineStr">
        <is>
          <t>HARBORONE BANCORP, INC.</t>
        </is>
      </c>
      <c r="B1781" t="inlineStr">
        <is>
          <t>HONE</t>
        </is>
      </c>
      <c r="C1781" t="inlineStr">
        <is>
          <t>HARBORONE BANCORP, INC.</t>
        </is>
      </c>
      <c r="D1781" t="n">
        <v>6022</v>
      </c>
    </row>
    <row r="1782">
      <c r="A1782" t="inlineStr">
        <is>
          <t>HARLEY-DAVIDSON, INC.</t>
        </is>
      </c>
      <c r="B1782" t="inlineStr">
        <is>
          <t>HOG</t>
        </is>
      </c>
      <c r="C1782" t="inlineStr">
        <is>
          <t>HARLEY-DAVIDSON, INC.</t>
        </is>
      </c>
      <c r="D1782" t="n">
        <v>3751</v>
      </c>
    </row>
    <row r="1783">
      <c r="A1783" t="inlineStr">
        <is>
          <t>HARMONIC INC</t>
        </is>
      </c>
      <c r="B1783" t="inlineStr">
        <is>
          <t>HLIT</t>
        </is>
      </c>
      <c r="C1783" t="inlineStr">
        <is>
          <t>HARMONIC INC</t>
        </is>
      </c>
      <c r="D1783" t="n">
        <v>3663</v>
      </c>
    </row>
    <row r="1784">
      <c r="A1784" t="inlineStr">
        <is>
          <t>HARMONY BIOSCIENCES HOLDINGS, INC.</t>
        </is>
      </c>
      <c r="B1784" t="inlineStr">
        <is>
          <t>HRMY</t>
        </is>
      </c>
      <c r="C1784" t="inlineStr">
        <is>
          <t>HARMONY BIOSCIENCES HOLDINGS, INC.</t>
        </is>
      </c>
      <c r="D1784" t="n">
        <v>2834</v>
      </c>
    </row>
    <row r="1785">
      <c r="A1785" t="inlineStr">
        <is>
          <t>HARPOON THERAPEUTICS, INC.</t>
        </is>
      </c>
      <c r="B1785" t="inlineStr">
        <is>
          <t>HARP</t>
        </is>
      </c>
      <c r="C1785" t="inlineStr">
        <is>
          <t>HARPOON THERAPEUTICS, INC.</t>
        </is>
      </c>
      <c r="D1785" t="n">
        <v>2836</v>
      </c>
    </row>
    <row r="1786">
      <c r="A1786" t="inlineStr">
        <is>
          <t>HARROW HEALTH, INC.</t>
        </is>
      </c>
      <c r="B1786" t="inlineStr">
        <is>
          <t>HROW</t>
        </is>
      </c>
      <c r="C1786" t="inlineStr">
        <is>
          <t>HARROW HEALTH, INC.</t>
        </is>
      </c>
      <c r="D1786" t="n">
        <v>2834</v>
      </c>
    </row>
    <row r="1787">
      <c r="A1787" t="inlineStr">
        <is>
          <t>HARSCO CORP</t>
        </is>
      </c>
      <c r="B1787" t="inlineStr">
        <is>
          <t>HSC</t>
        </is>
      </c>
      <c r="C1787" t="inlineStr">
        <is>
          <t>HARSCO CORP</t>
        </is>
      </c>
      <c r="D1787" t="n">
        <v>8900</v>
      </c>
    </row>
    <row r="1788">
      <c r="A1788" t="inlineStr">
        <is>
          <t>HARTE HANKS INC</t>
        </is>
      </c>
      <c r="B1788" t="inlineStr">
        <is>
          <t>HHS</t>
        </is>
      </c>
      <c r="C1788" t="inlineStr">
        <is>
          <t>HARTE HANKS INC</t>
        </is>
      </c>
      <c r="D1788" t="n">
        <v>7331</v>
      </c>
    </row>
    <row r="1789">
      <c r="A1789" t="inlineStr">
        <is>
          <t>HARTFORD FINANCIAL SERVICES GROUP, INC.</t>
        </is>
      </c>
      <c r="B1789" t="inlineStr">
        <is>
          <t>HIG</t>
        </is>
      </c>
      <c r="C1789" t="inlineStr">
        <is>
          <t>HARTFORD FINANCIAL SERVICES GROUP, INC.</t>
        </is>
      </c>
      <c r="D1789" t="n">
        <v>6331</v>
      </c>
    </row>
    <row r="1790">
      <c r="A1790" t="inlineStr">
        <is>
          <t>HARVARD BIOSCIENCE INC</t>
        </is>
      </c>
      <c r="B1790" t="inlineStr">
        <is>
          <t>HBIO</t>
        </is>
      </c>
      <c r="C1790" t="inlineStr">
        <is>
          <t>HARVARD BIOSCIENCE INC</t>
        </is>
      </c>
      <c r="D1790" t="n">
        <v>3826</v>
      </c>
    </row>
    <row r="1791">
      <c r="A1791" t="inlineStr">
        <is>
          <t>HASBRO, INC.</t>
        </is>
      </c>
      <c r="B1791" t="inlineStr">
        <is>
          <t>HAS</t>
        </is>
      </c>
      <c r="C1791" t="inlineStr">
        <is>
          <t>HASBRO, INC.</t>
        </is>
      </c>
      <c r="D1791" t="n">
        <v>3944</v>
      </c>
    </row>
    <row r="1792">
      <c r="A1792" t="inlineStr">
        <is>
          <t>HASHICORP, INC.</t>
        </is>
      </c>
      <c r="B1792" t="inlineStr">
        <is>
          <t>HCP</t>
        </is>
      </c>
      <c r="C1792" t="inlineStr">
        <is>
          <t>HASHICORP, INC.</t>
        </is>
      </c>
      <c r="D1792" t="n">
        <v>7371</v>
      </c>
    </row>
    <row r="1793">
      <c r="A1793" t="inlineStr">
        <is>
          <t>HAVERTY FURNITURE COMPANIES INC</t>
        </is>
      </c>
      <c r="B1793" t="inlineStr">
        <is>
          <t>HVT</t>
        </is>
      </c>
      <c r="C1793" t="inlineStr">
        <is>
          <t>HAVERTY FURNITURE COMPANIES INC</t>
        </is>
      </c>
      <c r="D1793" t="n">
        <v>5712</v>
      </c>
    </row>
    <row r="1794">
      <c r="A1794" t="inlineStr">
        <is>
          <t>HAWAIIAN ELECTRIC INDUSTRIES INC</t>
        </is>
      </c>
      <c r="B1794" t="inlineStr">
        <is>
          <t>HE</t>
        </is>
      </c>
      <c r="C1794" t="inlineStr">
        <is>
          <t>HAWAIIAN ELECTRIC INDUSTRIES INC</t>
        </is>
      </c>
      <c r="D1794" t="n">
        <v>4911</v>
      </c>
    </row>
    <row r="1795">
      <c r="A1795" t="inlineStr">
        <is>
          <t>HAWAIIAN HOLDINGS INC</t>
        </is>
      </c>
      <c r="B1795" t="inlineStr">
        <is>
          <t>HA</t>
        </is>
      </c>
      <c r="C1795" t="inlineStr">
        <is>
          <t>HAWAIIAN HOLDINGS INC</t>
        </is>
      </c>
      <c r="D1795" t="n">
        <v>4512</v>
      </c>
    </row>
    <row r="1796">
      <c r="A1796" t="inlineStr">
        <is>
          <t>HAWKINS INC</t>
        </is>
      </c>
      <c r="B1796" t="inlineStr">
        <is>
          <t>HWKN</t>
        </is>
      </c>
      <c r="C1796" t="inlineStr">
        <is>
          <t>HAWKINS INC</t>
        </is>
      </c>
      <c r="D1796" t="n">
        <v>5160</v>
      </c>
    </row>
    <row r="1797">
      <c r="A1797" t="inlineStr">
        <is>
          <t>HAWTHORN BANCSHARES, INC.</t>
        </is>
      </c>
      <c r="B1797" t="inlineStr">
        <is>
          <t>HWBK</t>
        </is>
      </c>
      <c r="C1797" t="inlineStr">
        <is>
          <t>HAWTHORN BANCSHARES, INC.</t>
        </is>
      </c>
      <c r="D1797" t="n">
        <v>6021</v>
      </c>
    </row>
    <row r="1798">
      <c r="A1798" t="inlineStr">
        <is>
          <t>HAYNES INTERNATIONAL INC</t>
        </is>
      </c>
      <c r="B1798" t="inlineStr">
        <is>
          <t>HAYN</t>
        </is>
      </c>
      <c r="C1798" t="inlineStr">
        <is>
          <t>HAYNES INTERNATIONAL INC</t>
        </is>
      </c>
      <c r="D1798" t="n">
        <v>3310</v>
      </c>
    </row>
    <row r="1799">
      <c r="A1799" t="inlineStr">
        <is>
          <t>HAYWARD HOLDINGS, INC.</t>
        </is>
      </c>
      <c r="B1799" t="inlineStr">
        <is>
          <t>HAYW</t>
        </is>
      </c>
      <c r="C1799" t="inlineStr">
        <is>
          <t>HAYWARD HOLDINGS, INC.</t>
        </is>
      </c>
      <c r="D1799" t="n">
        <v>3580</v>
      </c>
    </row>
    <row r="1800">
      <c r="A1800" t="inlineStr">
        <is>
          <t>HBT FINANCIAL, INC.</t>
        </is>
      </c>
      <c r="B1800" t="inlineStr">
        <is>
          <t>HBT</t>
        </is>
      </c>
      <c r="C1800" t="inlineStr">
        <is>
          <t>HBT FINANCIAL, INC.</t>
        </is>
      </c>
      <c r="D1800" t="n">
        <v>6022</v>
      </c>
    </row>
    <row r="1801">
      <c r="A1801" t="inlineStr">
        <is>
          <t>HCA HEALTHCARE, INC.</t>
        </is>
      </c>
      <c r="B1801" t="inlineStr">
        <is>
          <t>HCA</t>
        </is>
      </c>
      <c r="C1801" t="inlineStr">
        <is>
          <t>HCA HEALTHCARE, INC.</t>
        </is>
      </c>
      <c r="D1801" t="n">
        <v>8062</v>
      </c>
    </row>
    <row r="1802">
      <c r="A1802" t="inlineStr">
        <is>
          <t>HCI GROUP, INC.</t>
        </is>
      </c>
      <c r="B1802" t="inlineStr">
        <is>
          <t>HCI</t>
        </is>
      </c>
      <c r="C1802" t="inlineStr">
        <is>
          <t>HCI GROUP, INC.</t>
        </is>
      </c>
      <c r="D1802" t="n">
        <v>6331</v>
      </c>
    </row>
    <row r="1803">
      <c r="A1803" t="inlineStr">
        <is>
          <t>HDFC BANK LTD</t>
        </is>
      </c>
      <c r="B1803" t="inlineStr">
        <is>
          <t>HDB</t>
        </is>
      </c>
      <c r="C1803" t="inlineStr">
        <is>
          <t>HDFC BANK LTD</t>
        </is>
      </c>
      <c r="D1803" t="n">
        <v>6029</v>
      </c>
    </row>
    <row r="1804">
      <c r="A1804" t="inlineStr">
        <is>
          <t>HEALTH CATALYST, INC.</t>
        </is>
      </c>
      <c r="B1804" t="inlineStr">
        <is>
          <t>HCAT</t>
        </is>
      </c>
      <c r="C1804" t="inlineStr">
        <is>
          <t>HEALTH CATALYST, INC.</t>
        </is>
      </c>
      <c r="D1804" t="n">
        <v>7370</v>
      </c>
    </row>
    <row r="1805">
      <c r="A1805" t="inlineStr">
        <is>
          <t>HEALTHCARE REALTY TRUST INC</t>
        </is>
      </c>
      <c r="B1805" t="inlineStr">
        <is>
          <t>HR</t>
        </is>
      </c>
      <c r="C1805" t="inlineStr">
        <is>
          <t>HEALTHCARE REALTY TRUST INC</t>
        </is>
      </c>
      <c r="D1805" t="n">
        <v>6798</v>
      </c>
    </row>
    <row r="1806">
      <c r="A1806" t="inlineStr">
        <is>
          <t>HEALTHCARE SERVICES GROUP INC</t>
        </is>
      </c>
      <c r="B1806" t="inlineStr">
        <is>
          <t>HCSG</t>
        </is>
      </c>
      <c r="C1806" t="inlineStr">
        <is>
          <t>HEALTHCARE SERVICES GROUP INC</t>
        </is>
      </c>
      <c r="D1806" t="n">
        <v>8050</v>
      </c>
    </row>
    <row r="1807">
      <c r="A1807" t="inlineStr">
        <is>
          <t>HEALTHCARE TRIANGLE, INC.</t>
        </is>
      </c>
      <c r="B1807" t="inlineStr">
        <is>
          <t>HCTI</t>
        </is>
      </c>
      <c r="C1807" t="inlineStr">
        <is>
          <t>HEALTHCARE TRIANGLE, INC.</t>
        </is>
      </c>
      <c r="D1807" t="n">
        <v>7373</v>
      </c>
    </row>
    <row r="1808">
      <c r="A1808" t="inlineStr">
        <is>
          <t>HEALTHCARE TRUST OF AMERICA, INC.</t>
        </is>
      </c>
      <c r="B1808" t="inlineStr">
        <is>
          <t>HTA</t>
        </is>
      </c>
      <c r="C1808" t="inlineStr">
        <is>
          <t>HEALTHCARE TRUST OF AMERICA, INC.</t>
        </is>
      </c>
      <c r="D1808" t="n">
        <v>6798</v>
      </c>
    </row>
    <row r="1809">
      <c r="A1809" t="inlineStr">
        <is>
          <t>HEALTHEQUITY, INC.</t>
        </is>
      </c>
      <c r="B1809" t="inlineStr">
        <is>
          <t>HQY</t>
        </is>
      </c>
      <c r="C1809" t="inlineStr">
        <is>
          <t>HEALTHEQUITY, INC.</t>
        </is>
      </c>
      <c r="D1809" t="n">
        <v>7389</v>
      </c>
    </row>
    <row r="1810">
      <c r="A1810" t="inlineStr">
        <is>
          <t>HEALTHIER CHOICES MANAGEMENT CORP.</t>
        </is>
      </c>
      <c r="B1810" t="inlineStr">
        <is>
          <t>HCMC</t>
        </is>
      </c>
      <c r="C1810" t="inlineStr">
        <is>
          <t>HEALTHIER CHOICES MANAGEMENT CORP.</t>
        </is>
      </c>
      <c r="D1810" t="n">
        <v>2100</v>
      </c>
    </row>
    <row r="1811">
      <c r="A1811" t="inlineStr">
        <is>
          <t>HEALTHPEAK PROPERTIES, INC.</t>
        </is>
      </c>
      <c r="B1811" t="inlineStr">
        <is>
          <t>PEAK</t>
        </is>
      </c>
      <c r="C1811" t="inlineStr">
        <is>
          <t>HEALTHPEAK PROPERTIES, INC.</t>
        </is>
      </c>
      <c r="D1811" t="n">
        <v>6798</v>
      </c>
    </row>
    <row r="1812">
      <c r="A1812" t="inlineStr">
        <is>
          <t>HEALTHSTREAM INC</t>
        </is>
      </c>
      <c r="B1812" t="inlineStr">
        <is>
          <t>HSTM</t>
        </is>
      </c>
      <c r="C1812" t="inlineStr">
        <is>
          <t>HEALTHSTREAM INC</t>
        </is>
      </c>
      <c r="D1812" t="n">
        <v>7370</v>
      </c>
    </row>
    <row r="1813">
      <c r="A1813" t="inlineStr">
        <is>
          <t>HEARTLAND EXPRESS INC</t>
        </is>
      </c>
      <c r="B1813" t="inlineStr">
        <is>
          <t>HTLD</t>
        </is>
      </c>
      <c r="C1813" t="inlineStr">
        <is>
          <t>HEARTLAND EXPRESS INC</t>
        </is>
      </c>
      <c r="D1813" t="n">
        <v>4213</v>
      </c>
    </row>
    <row r="1814">
      <c r="A1814" t="inlineStr">
        <is>
          <t>HEARTLAND FINANCIAL USA INC</t>
        </is>
      </c>
      <c r="B1814" t="inlineStr">
        <is>
          <t>HTLF</t>
        </is>
      </c>
      <c r="C1814" t="inlineStr">
        <is>
          <t>HEARTLAND FINANCIAL USA INC</t>
        </is>
      </c>
      <c r="D1814" t="n">
        <v>6022</v>
      </c>
    </row>
    <row r="1815">
      <c r="A1815" t="inlineStr">
        <is>
          <t>HECLA MINING CO/DE/</t>
        </is>
      </c>
      <c r="B1815" t="inlineStr">
        <is>
          <t>HL</t>
        </is>
      </c>
      <c r="C1815" t="inlineStr">
        <is>
          <t>HECLA MINING CO/DE/</t>
        </is>
      </c>
      <c r="D1815" t="n">
        <v>1400</v>
      </c>
    </row>
    <row r="1816">
      <c r="A1816" t="inlineStr">
        <is>
          <t>HEICO CORP</t>
        </is>
      </c>
      <c r="B1816" t="inlineStr">
        <is>
          <t>HEI</t>
        </is>
      </c>
      <c r="C1816" t="inlineStr">
        <is>
          <t>HEICO CORP</t>
        </is>
      </c>
      <c r="D1816" t="n">
        <v>3724</v>
      </c>
    </row>
    <row r="1817">
      <c r="A1817" t="inlineStr">
        <is>
          <t>HEIDRICK &amp; STRUGGLES INTERNATIONAL INC</t>
        </is>
      </c>
      <c r="B1817" t="inlineStr">
        <is>
          <t>HSII</t>
        </is>
      </c>
      <c r="C1817" t="inlineStr">
        <is>
          <t>HEIDRICK &amp; STRUGGLES INTERNATIONAL INC</t>
        </is>
      </c>
      <c r="D1817" t="n">
        <v>7361</v>
      </c>
    </row>
    <row r="1818">
      <c r="A1818" t="inlineStr">
        <is>
          <t>HELEN OF TROY LTD</t>
        </is>
      </c>
      <c r="B1818" t="inlineStr">
        <is>
          <t>HELE</t>
        </is>
      </c>
      <c r="C1818" t="inlineStr">
        <is>
          <t>HELEN OF TROY LTD</t>
        </is>
      </c>
      <c r="D1818" t="n">
        <v>3634</v>
      </c>
    </row>
    <row r="1819">
      <c r="A1819" t="inlineStr">
        <is>
          <t>HELIOGEN, INC.</t>
        </is>
      </c>
      <c r="B1819" t="inlineStr">
        <is>
          <t>HLGN</t>
        </is>
      </c>
      <c r="C1819" t="inlineStr">
        <is>
          <t>HELIOGEN, INC.</t>
        </is>
      </c>
      <c r="D1819" t="n">
        <v>4911</v>
      </c>
    </row>
    <row r="1820">
      <c r="A1820" t="inlineStr">
        <is>
          <t>HELIOS TECHNOLOGIES, INC.</t>
        </is>
      </c>
      <c r="B1820" t="inlineStr">
        <is>
          <t>HLIO</t>
        </is>
      </c>
      <c r="C1820" t="inlineStr">
        <is>
          <t>HELIOS TECHNOLOGIES, INC.</t>
        </is>
      </c>
      <c r="D1820" t="n">
        <v>3490</v>
      </c>
    </row>
    <row r="1821">
      <c r="A1821" t="inlineStr">
        <is>
          <t>HELIX ENERGY SOLUTIONS GROUP INC</t>
        </is>
      </c>
      <c r="B1821" t="inlineStr">
        <is>
          <t>HLX</t>
        </is>
      </c>
      <c r="C1821" t="inlineStr">
        <is>
          <t>HELIX ENERGY SOLUTIONS GROUP INC</t>
        </is>
      </c>
      <c r="D1821" t="n">
        <v>1389</v>
      </c>
    </row>
    <row r="1822">
      <c r="A1822" t="inlineStr">
        <is>
          <t>HELLO GROUP INC.</t>
        </is>
      </c>
      <c r="B1822" t="inlineStr">
        <is>
          <t>MOMO</t>
        </is>
      </c>
      <c r="C1822" t="inlineStr">
        <is>
          <t>HELLO GROUP INC.</t>
        </is>
      </c>
      <c r="D1822" t="n">
        <v>7372</v>
      </c>
    </row>
    <row r="1823">
      <c r="A1823" t="inlineStr">
        <is>
          <t>HELMERICH &amp; PAYNE, INC.</t>
        </is>
      </c>
      <c r="B1823" t="inlineStr">
        <is>
          <t>HP</t>
        </is>
      </c>
      <c r="C1823" t="inlineStr">
        <is>
          <t>HELMERICH &amp; PAYNE, INC.</t>
        </is>
      </c>
      <c r="D1823" t="n">
        <v>1381</v>
      </c>
    </row>
    <row r="1824">
      <c r="A1824" t="inlineStr">
        <is>
          <t>HEMISPHERE MEDIA GROUP, INC.</t>
        </is>
      </c>
      <c r="B1824" t="inlineStr">
        <is>
          <t>HMTV</t>
        </is>
      </c>
      <c r="C1824" t="inlineStr">
        <is>
          <t>HEMISPHERE MEDIA GROUP, INC.</t>
        </is>
      </c>
      <c r="D1824" t="n">
        <v>4841</v>
      </c>
    </row>
    <row r="1825">
      <c r="A1825" t="inlineStr">
        <is>
          <t>HENNESSY ADVISORS INC</t>
        </is>
      </c>
      <c r="B1825" t="inlineStr">
        <is>
          <t>HNNA</t>
        </is>
      </c>
      <c r="C1825" t="inlineStr">
        <is>
          <t>HENNESSY ADVISORS INC</t>
        </is>
      </c>
      <c r="D1825" t="n">
        <v>6282</v>
      </c>
    </row>
    <row r="1826">
      <c r="A1826" t="inlineStr">
        <is>
          <t>HENRY JACK &amp; ASSOCIATES INC</t>
        </is>
      </c>
      <c r="B1826" t="inlineStr">
        <is>
          <t>JKHY</t>
        </is>
      </c>
      <c r="C1826" t="inlineStr">
        <is>
          <t>HENRY JACK &amp; ASSOCIATES INC</t>
        </is>
      </c>
      <c r="D1826" t="n">
        <v>7373</v>
      </c>
    </row>
    <row r="1827">
      <c r="A1827" t="inlineStr">
        <is>
          <t>HENRY SCHEIN INC</t>
        </is>
      </c>
      <c r="B1827" t="inlineStr">
        <is>
          <t>HSIC</t>
        </is>
      </c>
      <c r="C1827" t="inlineStr">
        <is>
          <t>HENRY SCHEIN INC</t>
        </is>
      </c>
      <c r="D1827" t="n">
        <v>5047</v>
      </c>
    </row>
    <row r="1828">
      <c r="A1828" t="inlineStr">
        <is>
          <t>HERBALIFE NUTRITION LTD.</t>
        </is>
      </c>
      <c r="B1828" t="inlineStr">
        <is>
          <t>HLF</t>
        </is>
      </c>
      <c r="C1828" t="inlineStr">
        <is>
          <t>HERBALIFE NUTRITION LTD.</t>
        </is>
      </c>
      <c r="D1828" t="n">
        <v>5122</v>
      </c>
    </row>
    <row r="1829">
      <c r="A1829" t="inlineStr">
        <is>
          <t>HERC HOLDINGS INC</t>
        </is>
      </c>
      <c r="B1829" t="inlineStr">
        <is>
          <t>HRI</t>
        </is>
      </c>
      <c r="C1829" t="inlineStr">
        <is>
          <t>HERC HOLDINGS INC</t>
        </is>
      </c>
      <c r="D1829" t="n">
        <v>7350</v>
      </c>
    </row>
    <row r="1830">
      <c r="A1830" t="inlineStr">
        <is>
          <t>HERITAGE COMMERCE CORP</t>
        </is>
      </c>
      <c r="B1830" t="inlineStr">
        <is>
          <t>HTBK</t>
        </is>
      </c>
      <c r="C1830" t="inlineStr">
        <is>
          <t>HERITAGE COMMERCE CORP</t>
        </is>
      </c>
      <c r="D1830" t="n">
        <v>6022</v>
      </c>
    </row>
    <row r="1831">
      <c r="A1831" t="inlineStr">
        <is>
          <t>HERITAGE FINANCIAL CORP /WA/</t>
        </is>
      </c>
      <c r="B1831" t="inlineStr">
        <is>
          <t>HFWA</t>
        </is>
      </c>
      <c r="C1831" t="inlineStr">
        <is>
          <t>HERITAGE FINANCIAL CORP /WA/</t>
        </is>
      </c>
      <c r="D1831" t="n">
        <v>6036</v>
      </c>
    </row>
    <row r="1832">
      <c r="A1832" t="inlineStr">
        <is>
          <t>HERITAGE GLOBAL INC.</t>
        </is>
      </c>
      <c r="B1832" t="inlineStr">
        <is>
          <t>HGBL</t>
        </is>
      </c>
      <c r="C1832" t="inlineStr">
        <is>
          <t>HERITAGE GLOBAL INC.</t>
        </is>
      </c>
      <c r="D1832" t="n">
        <v>7389</v>
      </c>
    </row>
    <row r="1833">
      <c r="A1833" t="inlineStr">
        <is>
          <t>HERITAGE INSURANCE HOLDINGS, INC.</t>
        </is>
      </c>
      <c r="B1833" t="inlineStr">
        <is>
          <t>HRTG</t>
        </is>
      </c>
      <c r="C1833" t="inlineStr">
        <is>
          <t>HERITAGE INSURANCE HOLDINGS, INC.</t>
        </is>
      </c>
      <c r="D1833" t="n">
        <v>6331</v>
      </c>
    </row>
    <row r="1834">
      <c r="A1834" t="inlineStr">
        <is>
          <t>HERITAGE-CRYSTAL CLEAN, INC.</t>
        </is>
      </c>
      <c r="B1834" t="inlineStr">
        <is>
          <t>HCCI</t>
        </is>
      </c>
      <c r="C1834" t="inlineStr">
        <is>
          <t>HERITAGE-CRYSTAL CLEAN, INC.</t>
        </is>
      </c>
      <c r="D1834" t="n">
        <v>4950</v>
      </c>
    </row>
    <row r="1835">
      <c r="A1835" t="inlineStr">
        <is>
          <t>HERMAN MILLER INC</t>
        </is>
      </c>
      <c r="B1835" t="inlineStr">
        <is>
          <t>MLKN</t>
        </is>
      </c>
      <c r="C1835" t="inlineStr">
        <is>
          <t>HERMAN MILLER INC</t>
        </is>
      </c>
      <c r="D1835" t="n">
        <v>2520</v>
      </c>
    </row>
    <row r="1836">
      <c r="A1836" t="inlineStr">
        <is>
          <t>HERON THERAPEUTICS, INC. /DE/</t>
        </is>
      </c>
      <c r="B1836" t="inlineStr">
        <is>
          <t>HRTX</t>
        </is>
      </c>
      <c r="C1836" t="inlineStr">
        <is>
          <t>HERON THERAPEUTICS, INC. /DE/</t>
        </is>
      </c>
      <c r="D1836" t="n">
        <v>2834</v>
      </c>
    </row>
    <row r="1837">
      <c r="A1837" t="inlineStr">
        <is>
          <t>HERSHA HOSPITALITY TRUST</t>
        </is>
      </c>
      <c r="B1837" t="inlineStr">
        <is>
          <t>HT</t>
        </is>
      </c>
      <c r="C1837" t="inlineStr">
        <is>
          <t>HERSHA HOSPITALITY TRUST</t>
        </is>
      </c>
      <c r="D1837" t="n">
        <v>6798</v>
      </c>
    </row>
    <row r="1838">
      <c r="A1838" t="inlineStr">
        <is>
          <t>HERSHEY CO</t>
        </is>
      </c>
      <c r="B1838" t="inlineStr">
        <is>
          <t>HSY</t>
        </is>
      </c>
      <c r="C1838" t="inlineStr">
        <is>
          <t>HERSHEY CO</t>
        </is>
      </c>
      <c r="D1838" t="n">
        <v>2060</v>
      </c>
    </row>
    <row r="1839">
      <c r="A1839" t="inlineStr">
        <is>
          <t>HERTZ GLOBAL HOLDINGS, INC</t>
        </is>
      </c>
      <c r="B1839" t="inlineStr">
        <is>
          <t>HTZ</t>
        </is>
      </c>
      <c r="C1839" t="inlineStr">
        <is>
          <t>HERTZ GLOBAL HOLDINGS, INC</t>
        </is>
      </c>
      <c r="D1839" t="n">
        <v>7510</v>
      </c>
    </row>
    <row r="1840">
      <c r="A1840" t="inlineStr">
        <is>
          <t>HESKA CORP</t>
        </is>
      </c>
      <c r="B1840" t="inlineStr">
        <is>
          <t>HSKA</t>
        </is>
      </c>
      <c r="C1840" t="inlineStr">
        <is>
          <t>HESKA CORP</t>
        </is>
      </c>
      <c r="D1840" t="n">
        <v>2835</v>
      </c>
    </row>
    <row r="1841">
      <c r="A1841" t="inlineStr">
        <is>
          <t>HESS CORP</t>
        </is>
      </c>
      <c r="B1841" t="inlineStr">
        <is>
          <t>HES</t>
        </is>
      </c>
      <c r="C1841" t="inlineStr">
        <is>
          <t>HESS CORP</t>
        </is>
      </c>
      <c r="D1841" t="n">
        <v>2911</v>
      </c>
    </row>
    <row r="1842">
      <c r="A1842" t="inlineStr">
        <is>
          <t>HESS MIDSTREAM LP</t>
        </is>
      </c>
      <c r="B1842" t="inlineStr">
        <is>
          <t>HESM</t>
        </is>
      </c>
      <c r="C1842" t="inlineStr">
        <is>
          <t>HESS MIDSTREAM LP</t>
        </is>
      </c>
      <c r="D1842" t="n">
        <v>1311</v>
      </c>
    </row>
    <row r="1843">
      <c r="A1843" t="inlineStr">
        <is>
          <t>HEWLETT PACKARD ENTERPRISE CO</t>
        </is>
      </c>
      <c r="B1843" t="inlineStr">
        <is>
          <t>HPE</t>
        </is>
      </c>
      <c r="C1843" t="inlineStr">
        <is>
          <t>HEWLETT PACKARD ENTERPRISE CO</t>
        </is>
      </c>
      <c r="D1843" t="n">
        <v>5045</v>
      </c>
    </row>
    <row r="1844">
      <c r="A1844" t="inlineStr">
        <is>
          <t>HEXCEL CORP /DE/</t>
        </is>
      </c>
      <c r="B1844" t="inlineStr">
        <is>
          <t>HXL</t>
        </is>
      </c>
      <c r="C1844" t="inlineStr">
        <is>
          <t>HEXCEL CORP /DE/</t>
        </is>
      </c>
      <c r="D1844" t="n">
        <v>2821</v>
      </c>
    </row>
    <row r="1845">
      <c r="A1845" t="inlineStr">
        <is>
          <t>HF FOODS GROUP INC.</t>
        </is>
      </c>
      <c r="B1845" t="inlineStr">
        <is>
          <t>HFFG</t>
        </is>
      </c>
      <c r="C1845" t="inlineStr">
        <is>
          <t>HF FOODS GROUP INC.</t>
        </is>
      </c>
      <c r="D1845" t="n">
        <v>5140</v>
      </c>
    </row>
    <row r="1846">
      <c r="A1846" t="inlineStr">
        <is>
          <t>HIBBETT INC</t>
        </is>
      </c>
      <c r="B1846" t="inlineStr">
        <is>
          <t>HIBB</t>
        </is>
      </c>
      <c r="C1846" t="inlineStr">
        <is>
          <t>HIBBETT INC</t>
        </is>
      </c>
      <c r="D1846" t="n">
        <v>5940</v>
      </c>
    </row>
    <row r="1847">
      <c r="A1847" t="inlineStr">
        <is>
          <t>HIGHWATER ETHANOL LLC</t>
        </is>
      </c>
      <c r="B1847" t="inlineStr">
        <is>
          <t>HEOL</t>
        </is>
      </c>
      <c r="C1847" t="inlineStr">
        <is>
          <t>HIGHWATER ETHANOL LLC</t>
        </is>
      </c>
      <c r="D1847" t="n">
        <v>2860</v>
      </c>
    </row>
    <row r="1848">
      <c r="A1848" t="inlineStr">
        <is>
          <t>HIGHWOODS PROPERTIES, INC.</t>
        </is>
      </c>
      <c r="B1848" t="inlineStr">
        <is>
          <t>HIW</t>
        </is>
      </c>
      <c r="C1848" t="inlineStr">
        <is>
          <t>HIGHWOODS PROPERTIES, INC.</t>
        </is>
      </c>
      <c r="D1848" t="n">
        <v>6798</v>
      </c>
    </row>
    <row r="1849">
      <c r="A1849" t="inlineStr">
        <is>
          <t>HILL INTERNATIONAL, INC.</t>
        </is>
      </c>
      <c r="B1849" t="inlineStr">
        <is>
          <t>HIL</t>
        </is>
      </c>
      <c r="C1849" t="inlineStr">
        <is>
          <t>HILL INTERNATIONAL, INC.</t>
        </is>
      </c>
      <c r="D1849" t="n">
        <v>8711</v>
      </c>
    </row>
    <row r="1850">
      <c r="A1850" t="inlineStr">
        <is>
          <t>HILLENBRAND, INC.</t>
        </is>
      </c>
      <c r="B1850" t="inlineStr">
        <is>
          <t>HI</t>
        </is>
      </c>
      <c r="C1850" t="inlineStr">
        <is>
          <t>HILLENBRAND, INC.</t>
        </is>
      </c>
      <c r="D1850" t="n">
        <v>3990</v>
      </c>
    </row>
    <row r="1851">
      <c r="A1851" t="inlineStr">
        <is>
          <t>HILLMAN SOLUTIONS CORP.</t>
        </is>
      </c>
      <c r="B1851" t="inlineStr">
        <is>
          <t>HLMN</t>
        </is>
      </c>
      <c r="C1851" t="inlineStr">
        <is>
          <t>HILLMAN SOLUTIONS CORP.</t>
        </is>
      </c>
      <c r="D1851" t="n">
        <v>3420</v>
      </c>
    </row>
    <row r="1852">
      <c r="A1852" t="inlineStr">
        <is>
          <t>HILLS BANCORPORATION</t>
        </is>
      </c>
      <c r="B1852" t="inlineStr">
        <is>
          <t>HBIA</t>
        </is>
      </c>
      <c r="C1852" t="inlineStr">
        <is>
          <t>HILLS BANCORPORATION</t>
        </is>
      </c>
      <c r="D1852" t="n">
        <v>6022</v>
      </c>
    </row>
    <row r="1853">
      <c r="A1853" t="inlineStr">
        <is>
          <t>HILLTOP HOLDINGS INC.</t>
        </is>
      </c>
      <c r="B1853" t="inlineStr">
        <is>
          <t>HTH</t>
        </is>
      </c>
      <c r="C1853" t="inlineStr">
        <is>
          <t>HILLTOP HOLDINGS INC.</t>
        </is>
      </c>
      <c r="D1853" t="n">
        <v>6022</v>
      </c>
    </row>
    <row r="1854">
      <c r="A1854" t="inlineStr">
        <is>
          <t>HILTON GRAND VACATIONS INC.</t>
        </is>
      </c>
      <c r="B1854" t="inlineStr">
        <is>
          <t>HGV</t>
        </is>
      </c>
      <c r="C1854" t="inlineStr">
        <is>
          <t>HILTON GRAND VACATIONS INC.</t>
        </is>
      </c>
      <c r="D1854" t="n">
        <v>7000</v>
      </c>
    </row>
    <row r="1855">
      <c r="A1855" t="inlineStr">
        <is>
          <t>HILTON WORLDWIDE HOLDINGS INC.</t>
        </is>
      </c>
      <c r="B1855" t="inlineStr">
        <is>
          <t>HLT</t>
        </is>
      </c>
      <c r="C1855" t="inlineStr">
        <is>
          <t>HILTON WORLDWIDE HOLDINGS INC.</t>
        </is>
      </c>
      <c r="D1855" t="n">
        <v>7011</v>
      </c>
    </row>
    <row r="1856">
      <c r="A1856" t="inlineStr">
        <is>
          <t>HIMS &amp; HERS HEALTH, INC.</t>
        </is>
      </c>
      <c r="B1856" t="inlineStr">
        <is>
          <t>HIMS</t>
        </is>
      </c>
      <c r="C1856" t="inlineStr">
        <is>
          <t>HIMS &amp; HERS HEALTH, INC.</t>
        </is>
      </c>
      <c r="D1856" t="n">
        <v>8011</v>
      </c>
    </row>
    <row r="1857">
      <c r="A1857" t="inlineStr">
        <is>
          <t>HIPPO HOLDINGS INC.</t>
        </is>
      </c>
      <c r="B1857" t="inlineStr">
        <is>
          <t>HIPO</t>
        </is>
      </c>
      <c r="C1857" t="inlineStr">
        <is>
          <t>HIPPO HOLDINGS INC.</t>
        </is>
      </c>
      <c r="D1857" t="n">
        <v>6331</v>
      </c>
    </row>
    <row r="1858">
      <c r="A1858" t="inlineStr">
        <is>
          <t>HIREQUEST, INC.</t>
        </is>
      </c>
      <c r="B1858" t="inlineStr">
        <is>
          <t>HQI</t>
        </is>
      </c>
      <c r="C1858" t="inlineStr">
        <is>
          <t>HIREQUEST, INC.</t>
        </is>
      </c>
      <c r="D1858" t="n">
        <v>7363</v>
      </c>
    </row>
    <row r="1859">
      <c r="A1859" t="inlineStr">
        <is>
          <t>HIRERIGHT HOLDINGS CORP</t>
        </is>
      </c>
      <c r="B1859" t="inlineStr">
        <is>
          <t>HRT</t>
        </is>
      </c>
      <c r="C1859" t="inlineStr">
        <is>
          <t>HIRERIGHT HOLDINGS CORP</t>
        </is>
      </c>
      <c r="D1859" t="n">
        <v>7389</v>
      </c>
    </row>
    <row r="1860">
      <c r="A1860" t="inlineStr">
        <is>
          <t>HISTOGEN INC.</t>
        </is>
      </c>
      <c r="B1860" t="inlineStr">
        <is>
          <t>HSTO</t>
        </is>
      </c>
      <c r="C1860" t="inlineStr">
        <is>
          <t>HISTOGEN INC.</t>
        </is>
      </c>
      <c r="D1860" t="n">
        <v>2834</v>
      </c>
    </row>
    <row r="1861">
      <c r="A1861" t="inlineStr">
        <is>
          <t>HMN FINANCIAL INC</t>
        </is>
      </c>
      <c r="B1861" t="inlineStr">
        <is>
          <t>HMNF</t>
        </is>
      </c>
      <c r="C1861" t="inlineStr">
        <is>
          <t>HMN FINANCIAL INC</t>
        </is>
      </c>
      <c r="D1861" t="n">
        <v>6035</v>
      </c>
    </row>
    <row r="1862">
      <c r="A1862" t="inlineStr">
        <is>
          <t>HNI CORP</t>
        </is>
      </c>
      <c r="B1862" t="inlineStr">
        <is>
          <t>HNI</t>
        </is>
      </c>
      <c r="C1862" t="inlineStr">
        <is>
          <t>HNI CORP</t>
        </is>
      </c>
      <c r="D1862" t="n">
        <v>2522</v>
      </c>
    </row>
    <row r="1863">
      <c r="A1863" t="inlineStr">
        <is>
          <t>HOEGH LNG PARTNERS LP</t>
        </is>
      </c>
      <c r="B1863" t="inlineStr">
        <is>
          <t>HMLP</t>
        </is>
      </c>
      <c r="C1863" t="inlineStr">
        <is>
          <t>HOEGH LNG PARTNERS LP</t>
        </is>
      </c>
      <c r="D1863" t="n">
        <v>4400</v>
      </c>
    </row>
    <row r="1864">
      <c r="A1864" t="inlineStr">
        <is>
          <t>HOLLEY INC.</t>
        </is>
      </c>
      <c r="B1864" t="inlineStr">
        <is>
          <t>HLLY</t>
        </is>
      </c>
      <c r="C1864" t="inlineStr">
        <is>
          <t>HOLLEY INC.</t>
        </is>
      </c>
      <c r="D1864" t="n">
        <v>3714</v>
      </c>
    </row>
    <row r="1865">
      <c r="A1865" t="inlineStr">
        <is>
          <t>HOLLY ENERGY PARTNERS LP</t>
        </is>
      </c>
      <c r="B1865" t="inlineStr">
        <is>
          <t>HEP</t>
        </is>
      </c>
      <c r="C1865" t="inlineStr">
        <is>
          <t>HOLLY ENERGY PARTNERS LP</t>
        </is>
      </c>
      <c r="D1865" t="n">
        <v>4610</v>
      </c>
    </row>
    <row r="1866">
      <c r="A1866" t="inlineStr">
        <is>
          <t>HOLLYSYS AUTOMATION TECHNOLOGIES, LTD.</t>
        </is>
      </c>
      <c r="B1866" t="inlineStr">
        <is>
          <t>HOLI</t>
        </is>
      </c>
      <c r="C1866" t="inlineStr">
        <is>
          <t>HOLLYSYS AUTOMATION TECHNOLOGIES, LTD.</t>
        </is>
      </c>
      <c r="D1866" t="n">
        <v>3620</v>
      </c>
    </row>
    <row r="1867">
      <c r="A1867" t="inlineStr">
        <is>
          <t>HOLOGIC INC</t>
        </is>
      </c>
      <c r="B1867" t="inlineStr">
        <is>
          <t>HOLX</t>
        </is>
      </c>
      <c r="C1867" t="inlineStr">
        <is>
          <t>HOLOGIC INC</t>
        </is>
      </c>
      <c r="D1867" t="n">
        <v>3844</v>
      </c>
    </row>
    <row r="1868">
      <c r="A1868" t="inlineStr">
        <is>
          <t>HOME BANCORP, INC.</t>
        </is>
      </c>
      <c r="B1868" t="inlineStr">
        <is>
          <t>HBCP</t>
        </is>
      </c>
      <c r="C1868" t="inlineStr">
        <is>
          <t>HOME BANCORP, INC.</t>
        </is>
      </c>
      <c r="D1868" t="n">
        <v>6036</v>
      </c>
    </row>
    <row r="1869">
      <c r="A1869" t="inlineStr">
        <is>
          <t>HOME BANCSHARES INC</t>
        </is>
      </c>
      <c r="B1869" t="inlineStr">
        <is>
          <t>HOMB</t>
        </is>
      </c>
      <c r="C1869" t="inlineStr">
        <is>
          <t>HOME BANCSHARES INC</t>
        </is>
      </c>
      <c r="D1869" t="n">
        <v>6022</v>
      </c>
    </row>
    <row r="1870">
      <c r="A1870" t="inlineStr">
        <is>
          <t>HOME DEPOT, INC.</t>
        </is>
      </c>
      <c r="B1870" t="inlineStr">
        <is>
          <t>HD</t>
        </is>
      </c>
      <c r="C1870" t="inlineStr">
        <is>
          <t>HOME DEPOT, INC.</t>
        </is>
      </c>
      <c r="D1870" t="n">
        <v>5211</v>
      </c>
    </row>
    <row r="1871">
      <c r="A1871" t="inlineStr">
        <is>
          <t>HOME FEDERAL BANCORP, INC. OF LOUISIANA</t>
        </is>
      </c>
      <c r="B1871" t="inlineStr">
        <is>
          <t>HFBL</t>
        </is>
      </c>
      <c r="C1871" t="inlineStr">
        <is>
          <t>HOME FEDERAL BANCORP, INC. OF LOUISIANA</t>
        </is>
      </c>
      <c r="D1871" t="n">
        <v>6035</v>
      </c>
    </row>
    <row r="1872">
      <c r="A1872" t="inlineStr">
        <is>
          <t>HOMESTREET, INC.</t>
        </is>
      </c>
      <c r="B1872" t="inlineStr">
        <is>
          <t>HMST</t>
        </is>
      </c>
      <c r="C1872" t="inlineStr">
        <is>
          <t>HOMESTREET, INC.</t>
        </is>
      </c>
      <c r="D1872" t="n">
        <v>6022</v>
      </c>
    </row>
    <row r="1873">
      <c r="A1873" t="inlineStr">
        <is>
          <t>HOMETRUST BANCSHARES, INC.</t>
        </is>
      </c>
      <c r="B1873" t="inlineStr">
        <is>
          <t>HTBI</t>
        </is>
      </c>
      <c r="C1873" t="inlineStr">
        <is>
          <t>HOMETRUST BANCSHARES, INC.</t>
        </is>
      </c>
      <c r="D1873" t="n">
        <v>6035</v>
      </c>
    </row>
    <row r="1874">
      <c r="A1874" t="inlineStr">
        <is>
          <t>HOMOLOGY MEDICINES, INC.</t>
        </is>
      </c>
      <c r="B1874" t="inlineStr">
        <is>
          <t>FIXX</t>
        </is>
      </c>
      <c r="C1874" t="inlineStr">
        <is>
          <t>HOMOLOGY MEDICINES, INC.</t>
        </is>
      </c>
      <c r="D1874" t="n">
        <v>2834</v>
      </c>
    </row>
    <row r="1875">
      <c r="A1875" t="inlineStr">
        <is>
          <t>HONEST COMPANY, INC.</t>
        </is>
      </c>
      <c r="B1875" t="inlineStr">
        <is>
          <t>HNST</t>
        </is>
      </c>
      <c r="C1875" t="inlineStr">
        <is>
          <t>HONEST COMPANY, INC.</t>
        </is>
      </c>
      <c r="D1875" t="n">
        <v>5961</v>
      </c>
    </row>
    <row r="1876">
      <c r="A1876" t="inlineStr">
        <is>
          <t>HONEYWELL INTERNATIONAL INC</t>
        </is>
      </c>
      <c r="B1876" t="inlineStr">
        <is>
          <t>HON</t>
        </is>
      </c>
      <c r="C1876" t="inlineStr">
        <is>
          <t>HONEYWELL INTERNATIONAL INC</t>
        </is>
      </c>
      <c r="D1876" t="n">
        <v>3724</v>
      </c>
    </row>
    <row r="1877">
      <c r="A1877" t="inlineStr">
        <is>
          <t>HOOKER FURNISHINGS CORP</t>
        </is>
      </c>
      <c r="B1877" t="inlineStr">
        <is>
          <t>HOFT</t>
        </is>
      </c>
      <c r="C1877" t="inlineStr">
        <is>
          <t>HOOKER FURNISHINGS CORP</t>
        </is>
      </c>
      <c r="D1877" t="n">
        <v>2510</v>
      </c>
    </row>
    <row r="1878">
      <c r="A1878" t="inlineStr">
        <is>
          <t>HOOKIPA PHARMA INC.</t>
        </is>
      </c>
      <c r="B1878" t="inlineStr">
        <is>
          <t>HOOK</t>
        </is>
      </c>
      <c r="C1878" t="inlineStr">
        <is>
          <t>HOOKIPA PHARMA INC.</t>
        </is>
      </c>
      <c r="D1878" t="n">
        <v>2834</v>
      </c>
    </row>
    <row r="1879">
      <c r="A1879" t="inlineStr">
        <is>
          <t>HOPE BANCORP INC</t>
        </is>
      </c>
      <c r="B1879" t="inlineStr">
        <is>
          <t>HOPE</t>
        </is>
      </c>
      <c r="C1879" t="inlineStr">
        <is>
          <t>HOPE BANCORP INC</t>
        </is>
      </c>
      <c r="D1879" t="n">
        <v>6021</v>
      </c>
    </row>
    <row r="1880">
      <c r="A1880" t="inlineStr">
        <is>
          <t>HORACE MANN EDUCATORS CORP /DE/</t>
        </is>
      </c>
      <c r="B1880" t="inlineStr">
        <is>
          <t>HMN</t>
        </is>
      </c>
      <c r="C1880" t="inlineStr">
        <is>
          <t>HORACE MANN EDUCATORS CORP /DE/</t>
        </is>
      </c>
      <c r="D1880" t="n">
        <v>6331</v>
      </c>
    </row>
    <row r="1881">
      <c r="A1881" t="inlineStr">
        <is>
          <t>HORIZON BANCORP INC /IN/</t>
        </is>
      </c>
      <c r="B1881" t="inlineStr">
        <is>
          <t>HBNC</t>
        </is>
      </c>
      <c r="C1881" t="inlineStr">
        <is>
          <t>HORIZON BANCORP INC /IN/</t>
        </is>
      </c>
      <c r="D1881" t="n">
        <v>6022</v>
      </c>
    </row>
    <row r="1882">
      <c r="A1882" t="inlineStr">
        <is>
          <t>HORIZON GLOBAL CORP</t>
        </is>
      </c>
      <c r="B1882" t="inlineStr">
        <is>
          <t>HZN</t>
        </is>
      </c>
      <c r="C1882" t="inlineStr">
        <is>
          <t>HORIZON GLOBAL CORP</t>
        </is>
      </c>
      <c r="D1882" t="n">
        <v>3714</v>
      </c>
    </row>
    <row r="1883">
      <c r="A1883" t="inlineStr">
        <is>
          <t>HORIZON THERAPEUTICS PUBLIC LTD CO</t>
        </is>
      </c>
      <c r="B1883" t="inlineStr">
        <is>
          <t>HZNP</t>
        </is>
      </c>
      <c r="C1883" t="inlineStr">
        <is>
          <t>HORIZON THERAPEUTICS PUBLIC LTD CO</t>
        </is>
      </c>
      <c r="D1883" t="n">
        <v>2834</v>
      </c>
    </row>
    <row r="1884">
      <c r="A1884" t="inlineStr">
        <is>
          <t>HORMEL FOODS CORP /DE/</t>
        </is>
      </c>
      <c r="B1884" t="inlineStr">
        <is>
          <t>HRL</t>
        </is>
      </c>
      <c r="C1884" t="inlineStr">
        <is>
          <t>HORMEL FOODS CORP /DE/</t>
        </is>
      </c>
      <c r="D1884" t="n">
        <v>2011</v>
      </c>
    </row>
    <row r="1885">
      <c r="A1885" t="inlineStr">
        <is>
          <t>HORTON D R INC /DE/</t>
        </is>
      </c>
      <c r="B1885" t="inlineStr">
        <is>
          <t>DHI</t>
        </is>
      </c>
      <c r="C1885" t="inlineStr">
        <is>
          <t>HORTON D R INC /DE/</t>
        </is>
      </c>
      <c r="D1885" t="n">
        <v>1531</v>
      </c>
    </row>
    <row r="1886">
      <c r="A1886" t="inlineStr">
        <is>
          <t>HOST HOTELS &amp; RESORTS, INC.</t>
        </is>
      </c>
      <c r="B1886" t="inlineStr">
        <is>
          <t>HST</t>
        </is>
      </c>
      <c r="C1886" t="inlineStr">
        <is>
          <t>HOST HOTELS &amp; RESORTS, INC.</t>
        </is>
      </c>
      <c r="D1886" t="n">
        <v>6798</v>
      </c>
    </row>
    <row r="1887">
      <c r="A1887" t="inlineStr">
        <is>
          <t>HOSTESS BRANDS, INC.</t>
        </is>
      </c>
      <c r="B1887" t="inlineStr">
        <is>
          <t>TWNK</t>
        </is>
      </c>
      <c r="C1887" t="inlineStr">
        <is>
          <t>HOSTESS BRANDS, INC.</t>
        </is>
      </c>
      <c r="D1887" t="n">
        <v>2050</v>
      </c>
    </row>
    <row r="1888">
      <c r="A1888" t="inlineStr">
        <is>
          <t>HOULIHAN LOKEY, INC.</t>
        </is>
      </c>
      <c r="B1888" t="inlineStr">
        <is>
          <t>HLI</t>
        </is>
      </c>
      <c r="C1888" t="inlineStr">
        <is>
          <t>HOULIHAN LOKEY, INC.</t>
        </is>
      </c>
      <c r="D1888" t="n">
        <v>6282</v>
      </c>
    </row>
    <row r="1889">
      <c r="A1889" t="inlineStr">
        <is>
          <t>HOVNANIAN ENTERPRISES INC</t>
        </is>
      </c>
      <c r="B1889" t="inlineStr">
        <is>
          <t>HOV</t>
        </is>
      </c>
      <c r="C1889" t="inlineStr">
        <is>
          <t>HOVNANIAN ENTERPRISES INC</t>
        </is>
      </c>
      <c r="D1889" t="n">
        <v>1531</v>
      </c>
    </row>
    <row r="1890">
      <c r="A1890" t="inlineStr">
        <is>
          <t>HOWARD HUGHES CORP</t>
        </is>
      </c>
      <c r="B1890" t="inlineStr">
        <is>
          <t>HHC</t>
        </is>
      </c>
      <c r="C1890" t="inlineStr">
        <is>
          <t>HOWARD HUGHES CORP</t>
        </is>
      </c>
      <c r="D1890" t="n">
        <v>6798</v>
      </c>
    </row>
    <row r="1891">
      <c r="A1891" t="inlineStr">
        <is>
          <t>HOWMET AEROSPACE INC.</t>
        </is>
      </c>
      <c r="B1891" t="inlineStr">
        <is>
          <t>HWM</t>
        </is>
      </c>
      <c r="C1891" t="inlineStr">
        <is>
          <t>HOWMET AEROSPACE INC.</t>
        </is>
      </c>
      <c r="D1891" t="n">
        <v>3350</v>
      </c>
    </row>
    <row r="1892">
      <c r="A1892" t="inlineStr">
        <is>
          <t>HP INC</t>
        </is>
      </c>
      <c r="B1892" t="inlineStr">
        <is>
          <t>HPQ</t>
        </is>
      </c>
      <c r="C1892" t="inlineStr">
        <is>
          <t>HP INC</t>
        </is>
      </c>
      <c r="D1892" t="n">
        <v>3570</v>
      </c>
    </row>
    <row r="1893">
      <c r="A1893" t="inlineStr">
        <is>
          <t>HQDA ELDERLY LIFE NETWORK CORP.</t>
        </is>
      </c>
      <c r="B1893" t="inlineStr">
        <is>
          <t>HQDA</t>
        </is>
      </c>
      <c r="C1893" t="inlineStr">
        <is>
          <t>HQDA ELDERLY LIFE NETWORK CORP.</t>
        </is>
      </c>
      <c r="D1893" t="n">
        <v>8300</v>
      </c>
    </row>
    <row r="1894">
      <c r="A1894" t="inlineStr">
        <is>
          <t>HUADI INTERNATIONAL GROUP CO., LTD.</t>
        </is>
      </c>
      <c r="B1894" t="inlineStr">
        <is>
          <t>HUDI</t>
        </is>
      </c>
      <c r="C1894" t="inlineStr">
        <is>
          <t>HUADI INTERNATIONAL GROUP CO., LTD.</t>
        </is>
      </c>
      <c r="D1894" t="n">
        <v>3317</v>
      </c>
    </row>
    <row r="1895">
      <c r="A1895" t="inlineStr">
        <is>
          <t>HUAZHU GROUP LTD</t>
        </is>
      </c>
      <c r="B1895" t="inlineStr">
        <is>
          <t>HTHT</t>
        </is>
      </c>
      <c r="C1895" t="inlineStr">
        <is>
          <t>HUAZHU GROUP LTD</t>
        </is>
      </c>
      <c r="D1895" t="n">
        <v>7011</v>
      </c>
    </row>
    <row r="1896">
      <c r="A1896" t="inlineStr">
        <is>
          <t>HUB GROUP, INC.</t>
        </is>
      </c>
      <c r="B1896" t="inlineStr">
        <is>
          <t>HUBG</t>
        </is>
      </c>
      <c r="C1896" t="inlineStr">
        <is>
          <t>HUB GROUP, INC.</t>
        </is>
      </c>
      <c r="D1896" t="n">
        <v>4731</v>
      </c>
    </row>
    <row r="1897">
      <c r="A1897" t="inlineStr">
        <is>
          <t>HUBBELL INC</t>
        </is>
      </c>
      <c r="B1897" t="inlineStr">
        <is>
          <t>HUBB</t>
        </is>
      </c>
      <c r="C1897" t="inlineStr">
        <is>
          <t>HUBBELL INC</t>
        </is>
      </c>
      <c r="D1897" t="n">
        <v>3670</v>
      </c>
    </row>
    <row r="1898">
      <c r="A1898" t="inlineStr">
        <is>
          <t>HUBSPOT INC</t>
        </is>
      </c>
      <c r="B1898" t="inlineStr">
        <is>
          <t>HUBS</t>
        </is>
      </c>
      <c r="C1898" t="inlineStr">
        <is>
          <t>HUBSPOT INC</t>
        </is>
      </c>
      <c r="D1898" t="n">
        <v>7372</v>
      </c>
    </row>
    <row r="1899">
      <c r="A1899" t="inlineStr">
        <is>
          <t>HUDSON GLOBAL, INC.</t>
        </is>
      </c>
      <c r="B1899" t="inlineStr">
        <is>
          <t>HSON</t>
        </is>
      </c>
      <c r="C1899" t="inlineStr">
        <is>
          <t>HUDSON GLOBAL, INC.</t>
        </is>
      </c>
      <c r="D1899" t="n">
        <v>7363</v>
      </c>
    </row>
    <row r="1900">
      <c r="A1900" t="inlineStr">
        <is>
          <t>HUDSON PACIFIC PROPERTIES, INC.</t>
        </is>
      </c>
      <c r="B1900" t="inlineStr">
        <is>
          <t>HPP</t>
        </is>
      </c>
      <c r="C1900" t="inlineStr">
        <is>
          <t>HUDSON PACIFIC PROPERTIES, INC.</t>
        </is>
      </c>
      <c r="D1900" t="n">
        <v>6500</v>
      </c>
    </row>
    <row r="1901">
      <c r="A1901" t="inlineStr">
        <is>
          <t>HUDSON TECHNOLOGIES INC /NY</t>
        </is>
      </c>
      <c r="B1901" t="inlineStr">
        <is>
          <t>HDSN</t>
        </is>
      </c>
      <c r="C1901" t="inlineStr">
        <is>
          <t>HUDSON TECHNOLOGIES INC /NY</t>
        </is>
      </c>
      <c r="D1901" t="n">
        <v>5080</v>
      </c>
    </row>
    <row r="1902">
      <c r="A1902" t="inlineStr">
        <is>
          <t>HUIZE HOLDING LTD</t>
        </is>
      </c>
      <c r="B1902" t="inlineStr">
        <is>
          <t>HUIZ</t>
        </is>
      </c>
      <c r="C1902" t="inlineStr">
        <is>
          <t>HUIZE HOLDING LTD</t>
        </is>
      </c>
      <c r="D1902" t="n">
        <v>6411</v>
      </c>
    </row>
    <row r="1903">
      <c r="A1903" t="inlineStr">
        <is>
          <t>HUMANA INC</t>
        </is>
      </c>
      <c r="B1903" t="inlineStr">
        <is>
          <t>HUM</t>
        </is>
      </c>
      <c r="C1903" t="inlineStr">
        <is>
          <t>HUMANA INC</t>
        </is>
      </c>
      <c r="D1903" t="n">
        <v>6324</v>
      </c>
    </row>
    <row r="1904">
      <c r="A1904" t="inlineStr">
        <is>
          <t>HUMANIGEN, INC</t>
        </is>
      </c>
      <c r="B1904" t="inlineStr">
        <is>
          <t>HGEN</t>
        </is>
      </c>
      <c r="C1904" t="inlineStr">
        <is>
          <t>HUMANIGEN, INC</t>
        </is>
      </c>
      <c r="D1904" t="n">
        <v>2834</v>
      </c>
    </row>
    <row r="1905">
      <c r="A1905" t="inlineStr">
        <is>
          <t>HUNT J B TRANSPORT SERVICES INC</t>
        </is>
      </c>
      <c r="B1905" t="inlineStr">
        <is>
          <t>JBHT</t>
        </is>
      </c>
      <c r="C1905" t="inlineStr">
        <is>
          <t>HUNT J B TRANSPORT SERVICES INC</t>
        </is>
      </c>
      <c r="D1905" t="n">
        <v>4213</v>
      </c>
    </row>
    <row r="1906">
      <c r="A1906" t="inlineStr">
        <is>
          <t>HUNTINGTON BANCSHARES INC /MD/</t>
        </is>
      </c>
      <c r="B1906" t="inlineStr">
        <is>
          <t>HBAN</t>
        </is>
      </c>
      <c r="C1906" t="inlineStr">
        <is>
          <t>HUNTINGTON BANCSHARES INC /MD/</t>
        </is>
      </c>
      <c r="D1906" t="n">
        <v>6021</v>
      </c>
    </row>
    <row r="1907">
      <c r="A1907" t="inlineStr">
        <is>
          <t>HUNTINGTON INGALLS INDUSTRIES, INC.</t>
        </is>
      </c>
      <c r="B1907" t="inlineStr">
        <is>
          <t>HII</t>
        </is>
      </c>
      <c r="C1907" t="inlineStr">
        <is>
          <t>HUNTINGTON INGALLS INDUSTRIES, INC.</t>
        </is>
      </c>
      <c r="D1907" t="n">
        <v>3730</v>
      </c>
    </row>
    <row r="1908">
      <c r="A1908" t="inlineStr">
        <is>
          <t>HUNTSMAN CORP</t>
        </is>
      </c>
      <c r="B1908" t="inlineStr">
        <is>
          <t>HUN</t>
        </is>
      </c>
      <c r="C1908" t="inlineStr">
        <is>
          <t>HUNTSMAN CORP</t>
        </is>
      </c>
      <c r="D1908" t="n">
        <v>2800</v>
      </c>
    </row>
    <row r="1909">
      <c r="A1909" t="inlineStr">
        <is>
          <t>HURCO COMPANIES INC</t>
        </is>
      </c>
      <c r="B1909" t="inlineStr">
        <is>
          <t>HURC</t>
        </is>
      </c>
      <c r="C1909" t="inlineStr">
        <is>
          <t>HURCO COMPANIES INC</t>
        </is>
      </c>
      <c r="D1909" t="n">
        <v>3823</v>
      </c>
    </row>
    <row r="1910">
      <c r="A1910" t="inlineStr">
        <is>
          <t>HURON CONSULTING GROUP INC.</t>
        </is>
      </c>
      <c r="B1910" t="inlineStr">
        <is>
          <t>HURN</t>
        </is>
      </c>
      <c r="C1910" t="inlineStr">
        <is>
          <t>HURON CONSULTING GROUP INC.</t>
        </is>
      </c>
      <c r="D1910" t="n">
        <v>8742</v>
      </c>
    </row>
    <row r="1911">
      <c r="A1911" t="inlineStr">
        <is>
          <t>HUTCHMED (CHINA) LTD</t>
        </is>
      </c>
      <c r="B1911" t="inlineStr">
        <is>
          <t>HCM</t>
        </is>
      </c>
      <c r="C1911" t="inlineStr">
        <is>
          <t>HUTCHMED (CHINA) LTD</t>
        </is>
      </c>
      <c r="D1911" t="n">
        <v>2834</v>
      </c>
    </row>
    <row r="1912">
      <c r="A1912" t="inlineStr">
        <is>
          <t>HUYA INC.</t>
        </is>
      </c>
      <c r="B1912" t="inlineStr">
        <is>
          <t>HUYA</t>
        </is>
      </c>
      <c r="C1912" t="inlineStr">
        <is>
          <t>HUYA INC.</t>
        </is>
      </c>
      <c r="D1912" t="n">
        <v>7370</v>
      </c>
    </row>
    <row r="1913">
      <c r="A1913" t="inlineStr">
        <is>
          <t>HV BANCORP, INC.</t>
        </is>
      </c>
      <c r="B1913" t="inlineStr">
        <is>
          <t>HVBC</t>
        </is>
      </c>
      <c r="C1913" t="inlineStr">
        <is>
          <t>HV BANCORP, INC.</t>
        </is>
      </c>
      <c r="D1913" t="n">
        <v>6022</v>
      </c>
    </row>
    <row r="1914">
      <c r="A1914" t="inlineStr">
        <is>
          <t>HYATT HOTELS CORP</t>
        </is>
      </c>
      <c r="B1914" t="inlineStr">
        <is>
          <t>H</t>
        </is>
      </c>
      <c r="C1914" t="inlineStr">
        <is>
          <t>HYATT HOTELS CORP</t>
        </is>
      </c>
      <c r="D1914" t="n">
        <v>7011</v>
      </c>
    </row>
    <row r="1915">
      <c r="A1915" t="inlineStr">
        <is>
          <t>HYCROFT MINING HOLDING CORP</t>
        </is>
      </c>
      <c r="B1915" t="inlineStr">
        <is>
          <t>HYMC</t>
        </is>
      </c>
      <c r="C1915" t="inlineStr">
        <is>
          <t>HYCROFT MINING HOLDING CORP</t>
        </is>
      </c>
      <c r="D1915" t="n">
        <v>1040</v>
      </c>
    </row>
    <row r="1916">
      <c r="A1916" t="inlineStr">
        <is>
          <t>HYDROFARM HOLDINGS GROUP, INC.</t>
        </is>
      </c>
      <c r="B1916" t="inlineStr">
        <is>
          <t>HYFM</t>
        </is>
      </c>
      <c r="C1916" t="inlineStr">
        <is>
          <t>HYDROFARM HOLDINGS GROUP, INC.</t>
        </is>
      </c>
      <c r="D1916" t="n">
        <v>5190</v>
      </c>
    </row>
    <row r="1917">
      <c r="A1917" t="inlineStr">
        <is>
          <t>HYPERFINE, INC.</t>
        </is>
      </c>
      <c r="B1917" t="inlineStr">
        <is>
          <t>HYPR</t>
        </is>
      </c>
      <c r="C1917" t="inlineStr">
        <is>
          <t>HYPERFINE, INC.</t>
        </is>
      </c>
      <c r="D1917" t="n">
        <v>3845</v>
      </c>
    </row>
    <row r="1918">
      <c r="A1918" t="inlineStr">
        <is>
          <t>HYSTER-YALE MATERIALS HANDLING, INC.</t>
        </is>
      </c>
      <c r="B1918" t="inlineStr">
        <is>
          <t>HY</t>
        </is>
      </c>
      <c r="C1918" t="inlineStr">
        <is>
          <t>HYSTER-YALE MATERIALS HANDLING, INC.</t>
        </is>
      </c>
      <c r="D1918" t="n">
        <v>3537</v>
      </c>
    </row>
    <row r="1919">
      <c r="A1919" t="inlineStr">
        <is>
          <t>HYZON MOTORS INC.</t>
        </is>
      </c>
      <c r="B1919" t="inlineStr">
        <is>
          <t>HYZN</t>
        </is>
      </c>
      <c r="C1919" t="inlineStr">
        <is>
          <t>HYZON MOTORS INC.</t>
        </is>
      </c>
      <c r="D1919" t="n">
        <v>3620</v>
      </c>
    </row>
    <row r="1920">
      <c r="A1920" t="inlineStr">
        <is>
          <t>I-MAB</t>
        </is>
      </c>
      <c r="B1920" t="inlineStr">
        <is>
          <t>IMAB</t>
        </is>
      </c>
      <c r="C1920" t="inlineStr">
        <is>
          <t>I-MAB</t>
        </is>
      </c>
      <c r="D1920" t="n">
        <v>2834</v>
      </c>
    </row>
    <row r="1921">
      <c r="A1921" t="inlineStr">
        <is>
          <t>I3 VERTICALS, INC.</t>
        </is>
      </c>
      <c r="B1921" t="inlineStr">
        <is>
          <t>IIIV</t>
        </is>
      </c>
      <c r="C1921" t="inlineStr">
        <is>
          <t>I3 VERTICALS, INC.</t>
        </is>
      </c>
      <c r="D1921" t="n">
        <v>7389</v>
      </c>
    </row>
    <row r="1922">
      <c r="A1922" t="inlineStr">
        <is>
          <t>IAA, INC.</t>
        </is>
      </c>
      <c r="B1922" t="inlineStr">
        <is>
          <t>IAA</t>
        </is>
      </c>
      <c r="C1922" t="inlineStr">
        <is>
          <t>IAA, INC.</t>
        </is>
      </c>
      <c r="D1922" t="n">
        <v>5500</v>
      </c>
    </row>
    <row r="1923">
      <c r="A1923" t="inlineStr">
        <is>
          <t>IAC/INTERACTIVECORP</t>
        </is>
      </c>
      <c r="B1923" t="inlineStr">
        <is>
          <t>IAC</t>
        </is>
      </c>
      <c r="C1923" t="inlineStr">
        <is>
          <t>IAC/INTERACTIVECORP</t>
        </is>
      </c>
      <c r="D1923" t="n">
        <v>7370</v>
      </c>
    </row>
    <row r="1924">
      <c r="A1924" t="inlineStr">
        <is>
          <t>IANTHUS CAPITAL HOLDINGS, INC.</t>
        </is>
      </c>
      <c r="B1924" t="inlineStr">
        <is>
          <t>ITHUF</t>
        </is>
      </c>
      <c r="C1924" t="inlineStr">
        <is>
          <t>IANTHUS CAPITAL HOLDINGS, INC.</t>
        </is>
      </c>
      <c r="D1924" t="n">
        <v>100</v>
      </c>
    </row>
    <row r="1925">
      <c r="A1925" t="inlineStr">
        <is>
          <t>IBIO, INC.</t>
        </is>
      </c>
      <c r="B1925" t="inlineStr">
        <is>
          <t>IBIO</t>
        </is>
      </c>
      <c r="C1925" t="inlineStr">
        <is>
          <t>IBIO, INC.</t>
        </is>
      </c>
      <c r="D1925" t="n">
        <v>2834</v>
      </c>
    </row>
    <row r="1926">
      <c r="A1926" t="inlineStr">
        <is>
          <t>ICAD INC</t>
        </is>
      </c>
      <c r="B1926" t="inlineStr">
        <is>
          <t>ICAD</t>
        </is>
      </c>
      <c r="C1926" t="inlineStr">
        <is>
          <t>ICAD INC</t>
        </is>
      </c>
      <c r="D1926" t="n">
        <v>3841</v>
      </c>
    </row>
    <row r="1927">
      <c r="A1927" t="inlineStr">
        <is>
          <t>ICAHN ENTERPRISES L.P.</t>
        </is>
      </c>
      <c r="B1927" t="inlineStr">
        <is>
          <t>IEP</t>
        </is>
      </c>
      <c r="C1927" t="inlineStr">
        <is>
          <t>ICAHN ENTERPRISES L.P.</t>
        </is>
      </c>
      <c r="D1927" t="n">
        <v>3714</v>
      </c>
    </row>
    <row r="1928">
      <c r="A1928" t="inlineStr">
        <is>
          <t>ICC HOLDINGS, INC.</t>
        </is>
      </c>
      <c r="B1928" t="inlineStr">
        <is>
          <t>ICCH</t>
        </is>
      </c>
      <c r="C1928" t="inlineStr">
        <is>
          <t>ICC HOLDINGS, INC.</t>
        </is>
      </c>
      <c r="D1928" t="n">
        <v>6331</v>
      </c>
    </row>
    <row r="1929">
      <c r="A1929" t="inlineStr">
        <is>
          <t>ICECURE MEDICAL LTD.</t>
        </is>
      </c>
      <c r="B1929" t="inlineStr">
        <is>
          <t>ICCM</t>
        </is>
      </c>
      <c r="C1929" t="inlineStr">
        <is>
          <t>ICECURE MEDICAL LTD.</t>
        </is>
      </c>
      <c r="D1929" t="n">
        <v>3841</v>
      </c>
    </row>
    <row r="1930">
      <c r="A1930" t="inlineStr">
        <is>
          <t>ICF INTERNATIONAL, INC.</t>
        </is>
      </c>
      <c r="B1930" t="inlineStr">
        <is>
          <t>ICFI</t>
        </is>
      </c>
      <c r="C1930" t="inlineStr">
        <is>
          <t>ICF INTERNATIONAL, INC.</t>
        </is>
      </c>
      <c r="D1930" t="n">
        <v>8742</v>
      </c>
    </row>
    <row r="1931">
      <c r="A1931" t="inlineStr">
        <is>
          <t>ICHOR HOLDINGS, LTD.</t>
        </is>
      </c>
      <c r="B1931" t="inlineStr">
        <is>
          <t>ICHR</t>
        </is>
      </c>
      <c r="C1931" t="inlineStr">
        <is>
          <t>ICHOR HOLDINGS, LTD.</t>
        </is>
      </c>
      <c r="D1931" t="n">
        <v>3674</v>
      </c>
    </row>
    <row r="1932">
      <c r="A1932" t="inlineStr">
        <is>
          <t>ICLICK INTERACTIVE ASIA GROUP LTD</t>
        </is>
      </c>
      <c r="B1932" t="inlineStr">
        <is>
          <t>ICLK</t>
        </is>
      </c>
      <c r="C1932" t="inlineStr">
        <is>
          <t>ICLICK INTERACTIVE ASIA GROUP LTD</t>
        </is>
      </c>
      <c r="D1932" t="n">
        <v>7372</v>
      </c>
    </row>
    <row r="1933">
      <c r="A1933" t="inlineStr">
        <is>
          <t>ICON PLC</t>
        </is>
      </c>
      <c r="B1933" t="inlineStr">
        <is>
          <t>ICLR</t>
        </is>
      </c>
      <c r="C1933" t="inlineStr">
        <is>
          <t>ICON PLC</t>
        </is>
      </c>
      <c r="D1933" t="n">
        <v>8731</v>
      </c>
    </row>
    <row r="1934">
      <c r="A1934" t="inlineStr">
        <is>
          <t>ICOSAVAX, INC.</t>
        </is>
      </c>
      <c r="B1934" t="inlineStr">
        <is>
          <t>ICVX</t>
        </is>
      </c>
      <c r="C1934" t="inlineStr">
        <is>
          <t>ICOSAVAX, INC.</t>
        </is>
      </c>
      <c r="D1934" t="n">
        <v>2836</v>
      </c>
    </row>
    <row r="1935">
      <c r="A1935" t="inlineStr">
        <is>
          <t>ICTS INTERNATIONAL N V</t>
        </is>
      </c>
      <c r="B1935" t="inlineStr">
        <is>
          <t>ICTSF</t>
        </is>
      </c>
      <c r="C1935" t="inlineStr">
        <is>
          <t>ICTS INTERNATIONAL N V</t>
        </is>
      </c>
      <c r="D1935" t="n">
        <v>7389</v>
      </c>
    </row>
    <row r="1936">
      <c r="A1936" t="inlineStr">
        <is>
          <t>ICU MEDICAL INC/DE</t>
        </is>
      </c>
      <c r="B1936" t="inlineStr">
        <is>
          <t>ICUI</t>
        </is>
      </c>
      <c r="C1936" t="inlineStr">
        <is>
          <t>ICU MEDICAL INC/DE</t>
        </is>
      </c>
      <c r="D1936" t="n">
        <v>3841</v>
      </c>
    </row>
    <row r="1937">
      <c r="A1937" t="inlineStr">
        <is>
          <t>IDACORP INC</t>
        </is>
      </c>
      <c r="B1937" t="inlineStr">
        <is>
          <t>IDA</t>
        </is>
      </c>
      <c r="C1937" t="inlineStr">
        <is>
          <t>IDACORP INC</t>
        </is>
      </c>
      <c r="D1937" t="n">
        <v>4911</v>
      </c>
    </row>
    <row r="1938">
      <c r="A1938" t="inlineStr">
        <is>
          <t>IDEANOMICS, INC.</t>
        </is>
      </c>
      <c r="B1938" t="inlineStr">
        <is>
          <t>IDEX</t>
        </is>
      </c>
      <c r="C1938" t="inlineStr">
        <is>
          <t>IDEANOMICS, INC.</t>
        </is>
      </c>
      <c r="D1938" t="n">
        <v>3711</v>
      </c>
    </row>
    <row r="1939">
      <c r="A1939" t="inlineStr">
        <is>
          <t>IDEAYA BIOSCIENCES, INC.</t>
        </is>
      </c>
      <c r="B1939" t="inlineStr">
        <is>
          <t>IDYA</t>
        </is>
      </c>
      <c r="C1939" t="inlineStr">
        <is>
          <t>IDEAYA BIOSCIENCES, INC.</t>
        </is>
      </c>
      <c r="D1939" t="n">
        <v>2834</v>
      </c>
    </row>
    <row r="1940">
      <c r="A1940" t="inlineStr">
        <is>
          <t>IDENTIV, INC.</t>
        </is>
      </c>
      <c r="B1940" t="inlineStr">
        <is>
          <t>INVE</t>
        </is>
      </c>
      <c r="C1940" t="inlineStr">
        <is>
          <t>IDENTIV, INC.</t>
        </is>
      </c>
      <c r="D1940" t="n">
        <v>3577</v>
      </c>
    </row>
    <row r="1941">
      <c r="A1941" t="inlineStr">
        <is>
          <t>IDEX CORP /DE/</t>
        </is>
      </c>
      <c r="B1941" t="inlineStr">
        <is>
          <t>IEX</t>
        </is>
      </c>
      <c r="C1941" t="inlineStr">
        <is>
          <t>IDEX CORP /DE/</t>
        </is>
      </c>
      <c r="D1941" t="n">
        <v>3561</v>
      </c>
    </row>
    <row r="1942">
      <c r="A1942" t="inlineStr">
        <is>
          <t>IDEXX LABORATORIES INC /DE</t>
        </is>
      </c>
      <c r="B1942" t="inlineStr">
        <is>
          <t>IDXX</t>
        </is>
      </c>
      <c r="C1942" t="inlineStr">
        <is>
          <t>IDEXX LABORATORIES INC /DE</t>
        </is>
      </c>
      <c r="D1942" t="n">
        <v>2835</v>
      </c>
    </row>
    <row r="1943">
      <c r="A1943" t="inlineStr">
        <is>
          <t>IDT CORP</t>
        </is>
      </c>
      <c r="B1943" t="inlineStr">
        <is>
          <t>IDT</t>
        </is>
      </c>
      <c r="C1943" t="inlineStr">
        <is>
          <t>IDT CORP</t>
        </is>
      </c>
      <c r="D1943" t="n">
        <v>4813</v>
      </c>
    </row>
    <row r="1944">
      <c r="A1944" t="inlineStr">
        <is>
          <t>IDW MEDIA HOLDINGS, INC.</t>
        </is>
      </c>
      <c r="B1944" t="inlineStr">
        <is>
          <t>IDW</t>
        </is>
      </c>
      <c r="C1944" t="inlineStr">
        <is>
          <t>IDW MEDIA HOLDINGS, INC.</t>
        </is>
      </c>
      <c r="D1944" t="n">
        <v>7310</v>
      </c>
    </row>
    <row r="1945">
      <c r="A1945" t="inlineStr">
        <is>
          <t>IEH CORP</t>
        </is>
      </c>
      <c r="B1945" t="inlineStr">
        <is>
          <t>IEHC</t>
        </is>
      </c>
      <c r="C1945" t="inlineStr">
        <is>
          <t>IEH CORP</t>
        </is>
      </c>
      <c r="D1945" t="n">
        <v>3678</v>
      </c>
    </row>
    <row r="1946">
      <c r="A1946" t="inlineStr">
        <is>
          <t>IES HOLDINGS, INC.</t>
        </is>
      </c>
      <c r="B1946" t="inlineStr">
        <is>
          <t>IESC</t>
        </is>
      </c>
      <c r="C1946" t="inlineStr">
        <is>
          <t>IES HOLDINGS, INC.</t>
        </is>
      </c>
      <c r="D1946" t="n">
        <v>1731</v>
      </c>
    </row>
    <row r="1947">
      <c r="A1947" t="inlineStr">
        <is>
          <t>IF BANCORP, INC.</t>
        </is>
      </c>
      <c r="B1947" t="inlineStr">
        <is>
          <t>IROQ</t>
        </is>
      </c>
      <c r="C1947" t="inlineStr">
        <is>
          <t>IF BANCORP, INC.</t>
        </is>
      </c>
      <c r="D1947" t="n">
        <v>6035</v>
      </c>
    </row>
    <row r="1948">
      <c r="A1948" t="inlineStr">
        <is>
          <t>IHEARTMEDIA, INC.</t>
        </is>
      </c>
      <c r="B1948" t="inlineStr">
        <is>
          <t>IHRT</t>
        </is>
      </c>
      <c r="C1948" t="inlineStr">
        <is>
          <t>IHEARTMEDIA, INC.</t>
        </is>
      </c>
      <c r="D1948" t="n">
        <v>4832</v>
      </c>
    </row>
    <row r="1949">
      <c r="A1949" t="inlineStr">
        <is>
          <t>IHUMAN INC.</t>
        </is>
      </c>
      <c r="B1949" t="inlineStr">
        <is>
          <t>IH</t>
        </is>
      </c>
      <c r="C1949" t="inlineStr">
        <is>
          <t>IHUMAN INC.</t>
        </is>
      </c>
      <c r="D1949" t="n">
        <v>8200</v>
      </c>
    </row>
    <row r="1950">
      <c r="A1950" t="inlineStr">
        <is>
          <t>II-VI INC</t>
        </is>
      </c>
      <c r="B1950" t="inlineStr">
        <is>
          <t>COHR</t>
        </is>
      </c>
      <c r="C1950" t="inlineStr">
        <is>
          <t>II-VI INC</t>
        </is>
      </c>
      <c r="D1950" t="n">
        <v>3827</v>
      </c>
    </row>
    <row r="1951">
      <c r="A1951" t="inlineStr">
        <is>
          <t>IKENA ONCOLOGY, INC.</t>
        </is>
      </c>
      <c r="B1951" t="inlineStr">
        <is>
          <t>IKNA</t>
        </is>
      </c>
      <c r="C1951" t="inlineStr">
        <is>
          <t>IKENA ONCOLOGY, INC.</t>
        </is>
      </c>
      <c r="D1951" t="n">
        <v>2836</v>
      </c>
    </row>
    <row r="1952">
      <c r="A1952" t="inlineStr">
        <is>
          <t>IKONICS CORP</t>
        </is>
      </c>
      <c r="B1952" t="inlineStr">
        <is>
          <t>WULF</t>
        </is>
      </c>
      <c r="C1952" t="inlineStr">
        <is>
          <t>IKONICS CORP</t>
        </is>
      </c>
      <c r="D1952" t="n">
        <v>3861</v>
      </c>
    </row>
    <row r="1953">
      <c r="A1953" t="inlineStr">
        <is>
          <t>ILLINOIS TOOL WORKS INC</t>
        </is>
      </c>
      <c r="B1953" t="inlineStr">
        <is>
          <t>ITW</t>
        </is>
      </c>
      <c r="C1953" t="inlineStr">
        <is>
          <t>ILLINOIS TOOL WORKS INC</t>
        </is>
      </c>
      <c r="D1953" t="n">
        <v>3560</v>
      </c>
    </row>
    <row r="1954">
      <c r="A1954" t="inlineStr">
        <is>
          <t>ILLUMINA, INC.</t>
        </is>
      </c>
      <c r="B1954" t="inlineStr">
        <is>
          <t>ILMN</t>
        </is>
      </c>
      <c r="C1954" t="inlineStr">
        <is>
          <t>ILLUMINA, INC.</t>
        </is>
      </c>
      <c r="D1954" t="n">
        <v>3826</v>
      </c>
    </row>
    <row r="1955">
      <c r="A1955" t="inlineStr">
        <is>
          <t>IMAC HOLDINGS, INC.</t>
        </is>
      </c>
      <c r="B1955" t="inlineStr">
        <is>
          <t>IMAC</t>
        </is>
      </c>
      <c r="C1955" t="inlineStr">
        <is>
          <t>IMAC HOLDINGS, INC.</t>
        </is>
      </c>
      <c r="D1955" t="n">
        <v>8093</v>
      </c>
    </row>
    <row r="1956">
      <c r="A1956" t="inlineStr">
        <is>
          <t>IMAX CORP</t>
        </is>
      </c>
      <c r="B1956" t="inlineStr">
        <is>
          <t>IMAX</t>
        </is>
      </c>
      <c r="C1956" t="inlineStr">
        <is>
          <t>IMAX CORP</t>
        </is>
      </c>
      <c r="D1956" t="n">
        <v>3861</v>
      </c>
    </row>
    <row r="1957">
      <c r="A1957" t="inlineStr">
        <is>
          <t>IMEDIA BRANDS, INC.</t>
        </is>
      </c>
      <c r="B1957" t="inlineStr">
        <is>
          <t>IMBI</t>
        </is>
      </c>
      <c r="C1957" t="inlineStr">
        <is>
          <t>IMEDIA BRANDS, INC.</t>
        </is>
      </c>
      <c r="D1957" t="n">
        <v>5961</v>
      </c>
    </row>
    <row r="1958">
      <c r="A1958" t="inlineStr">
        <is>
          <t>IMMERSION CORP</t>
        </is>
      </c>
      <c r="B1958" t="inlineStr">
        <is>
          <t>IMMR</t>
        </is>
      </c>
      <c r="C1958" t="inlineStr">
        <is>
          <t>IMMERSION CORP</t>
        </is>
      </c>
      <c r="D1958" t="n">
        <v>3577</v>
      </c>
    </row>
    <row r="1959">
      <c r="A1959" t="inlineStr">
        <is>
          <t>IMMUCELL CORP /DE/</t>
        </is>
      </c>
      <c r="B1959" t="inlineStr">
        <is>
          <t>ICCC</t>
        </is>
      </c>
      <c r="C1959" t="inlineStr">
        <is>
          <t>IMMUCELL CORP /DE/</t>
        </is>
      </c>
      <c r="D1959" t="n">
        <v>2835</v>
      </c>
    </row>
    <row r="1960">
      <c r="A1960" t="inlineStr">
        <is>
          <t>IMMUNEERING CORP</t>
        </is>
      </c>
      <c r="B1960" t="inlineStr">
        <is>
          <t>IMRX</t>
        </is>
      </c>
      <c r="C1960" t="inlineStr">
        <is>
          <t>IMMUNEERING CORP</t>
        </is>
      </c>
      <c r="D1960" t="n">
        <v>2834</v>
      </c>
    </row>
    <row r="1961">
      <c r="A1961" t="inlineStr">
        <is>
          <t>IMMUNITYBIO, INC.</t>
        </is>
      </c>
      <c r="B1961" t="inlineStr">
        <is>
          <t>IBRX</t>
        </is>
      </c>
      <c r="C1961" t="inlineStr">
        <is>
          <t>IMMUNITYBIO, INC.</t>
        </is>
      </c>
      <c r="D1961" t="n">
        <v>2836</v>
      </c>
    </row>
    <row r="1962">
      <c r="A1962" t="inlineStr">
        <is>
          <t>IMMUNOGEN, INC.</t>
        </is>
      </c>
      <c r="B1962" t="inlineStr">
        <is>
          <t>IMGN</t>
        </is>
      </c>
      <c r="C1962" t="inlineStr">
        <is>
          <t>IMMUNOGEN, INC.</t>
        </is>
      </c>
      <c r="D1962" t="n">
        <v>2834</v>
      </c>
    </row>
    <row r="1963">
      <c r="A1963" t="inlineStr">
        <is>
          <t>IMPAC MORTGAGE HOLDINGS INC</t>
        </is>
      </c>
      <c r="B1963" t="inlineStr">
        <is>
          <t>IMH</t>
        </is>
      </c>
      <c r="C1963" t="inlineStr">
        <is>
          <t>IMPAC MORTGAGE HOLDINGS INC</t>
        </is>
      </c>
      <c r="D1963" t="n">
        <v>6798</v>
      </c>
    </row>
    <row r="1964">
      <c r="A1964" t="inlineStr">
        <is>
          <t>IMPINJ INC</t>
        </is>
      </c>
      <c r="B1964" t="inlineStr">
        <is>
          <t>PI</t>
        </is>
      </c>
      <c r="C1964" t="inlineStr">
        <is>
          <t>IMPINJ INC</t>
        </is>
      </c>
      <c r="D1964" t="n">
        <v>3679</v>
      </c>
    </row>
    <row r="1965">
      <c r="A1965" t="inlineStr">
        <is>
          <t>INARI MEDICAL, INC.</t>
        </is>
      </c>
      <c r="B1965" t="inlineStr">
        <is>
          <t>NARI</t>
        </is>
      </c>
      <c r="C1965" t="inlineStr">
        <is>
          <t>INARI MEDICAL, INC.</t>
        </is>
      </c>
      <c r="D1965" t="n">
        <v>3841</v>
      </c>
    </row>
    <row r="1966">
      <c r="A1966" t="inlineStr">
        <is>
          <t>INCYTE CORP</t>
        </is>
      </c>
      <c r="B1966" t="inlineStr">
        <is>
          <t>INCY</t>
        </is>
      </c>
      <c r="C1966" t="inlineStr">
        <is>
          <t>INCYTE CORP</t>
        </is>
      </c>
      <c r="D1966" t="n">
        <v>8731</v>
      </c>
    </row>
    <row r="1967">
      <c r="A1967" t="inlineStr">
        <is>
          <t>INDEPENDENCE CONTRACT DRILLING, INC.</t>
        </is>
      </c>
      <c r="B1967" t="inlineStr">
        <is>
          <t>ICD</t>
        </is>
      </c>
      <c r="C1967" t="inlineStr">
        <is>
          <t>INDEPENDENCE CONTRACT DRILLING, INC.</t>
        </is>
      </c>
      <c r="D1967" t="n">
        <v>1381</v>
      </c>
    </row>
    <row r="1968">
      <c r="A1968" t="inlineStr">
        <is>
          <t>INDEPENDENCE REALTY TRUST, INC.</t>
        </is>
      </c>
      <c r="B1968" t="inlineStr">
        <is>
          <t>IRT</t>
        </is>
      </c>
      <c r="C1968" t="inlineStr">
        <is>
          <t>INDEPENDENCE REALTY TRUST, INC.</t>
        </is>
      </c>
      <c r="D1968" t="n">
        <v>6798</v>
      </c>
    </row>
    <row r="1969">
      <c r="A1969" t="inlineStr">
        <is>
          <t>INDEPENDENT BANK CORP</t>
        </is>
      </c>
      <c r="B1969" t="inlineStr">
        <is>
          <t>INDB</t>
        </is>
      </c>
      <c r="C1969" t="inlineStr">
        <is>
          <t>INDEPENDENT BANK CORP</t>
        </is>
      </c>
      <c r="D1969" t="n">
        <v>6022</v>
      </c>
    </row>
    <row r="1970">
      <c r="A1970" t="inlineStr">
        <is>
          <t>INDEPENDENT BANK CORP /MI/</t>
        </is>
      </c>
      <c r="B1970" t="inlineStr">
        <is>
          <t>IBCP</t>
        </is>
      </c>
      <c r="C1970" t="inlineStr">
        <is>
          <t>INDEPENDENT BANK CORP /MI/</t>
        </is>
      </c>
      <c r="D1970" t="n">
        <v>6022</v>
      </c>
    </row>
    <row r="1971">
      <c r="A1971" t="inlineStr">
        <is>
          <t>INDEPENDENT BANK GROUP, INC.</t>
        </is>
      </c>
      <c r="B1971" t="inlineStr">
        <is>
          <t>IBTX</t>
        </is>
      </c>
      <c r="C1971" t="inlineStr">
        <is>
          <t>INDEPENDENT BANK GROUP, INC.</t>
        </is>
      </c>
      <c r="D1971" t="n">
        <v>6022</v>
      </c>
    </row>
    <row r="1972">
      <c r="A1972" t="inlineStr">
        <is>
          <t>INDIA GLOBALIZATION CAPITAL, INC.</t>
        </is>
      </c>
      <c r="B1972" t="inlineStr">
        <is>
          <t>IGC</t>
        </is>
      </c>
      <c r="C1972" t="inlineStr">
        <is>
          <t>INDIA GLOBALIZATION CAPITAL, INC.</t>
        </is>
      </c>
      <c r="D1972" t="n">
        <v>5065</v>
      </c>
    </row>
    <row r="1973">
      <c r="A1973" t="inlineStr">
        <is>
          <t>INDIE SEMICONDUCTOR, INC.</t>
        </is>
      </c>
      <c r="B1973" t="inlineStr">
        <is>
          <t>INDI</t>
        </is>
      </c>
      <c r="C1973" t="inlineStr">
        <is>
          <t>INDIE SEMICONDUCTOR, INC.</t>
        </is>
      </c>
      <c r="D1973" t="n">
        <v>3674</v>
      </c>
    </row>
    <row r="1974">
      <c r="A1974" t="inlineStr">
        <is>
          <t>INDONESIA ENERGY CORP LTD</t>
        </is>
      </c>
      <c r="B1974" t="inlineStr">
        <is>
          <t>INDO</t>
        </is>
      </c>
      <c r="C1974" t="inlineStr">
        <is>
          <t>INDONESIA ENERGY CORP LTD</t>
        </is>
      </c>
      <c r="D1974" t="n">
        <v>1311</v>
      </c>
    </row>
    <row r="1975">
      <c r="A1975" t="inlineStr">
        <is>
          <t>INFINERA CORP</t>
        </is>
      </c>
      <c r="B1975" t="inlineStr">
        <is>
          <t>INFN</t>
        </is>
      </c>
      <c r="C1975" t="inlineStr">
        <is>
          <t>INFINERA CORP</t>
        </is>
      </c>
      <c r="D1975" t="n">
        <v>3661</v>
      </c>
    </row>
    <row r="1976">
      <c r="A1976" t="inlineStr">
        <is>
          <t>INFINITY PHARMACEUTICALS, INC.</t>
        </is>
      </c>
      <c r="B1976" t="inlineStr">
        <is>
          <t>INFI</t>
        </is>
      </c>
      <c r="C1976" t="inlineStr">
        <is>
          <t>INFINITY PHARMACEUTICALS, INC.</t>
        </is>
      </c>
      <c r="D1976" t="n">
        <v>2834</v>
      </c>
    </row>
    <row r="1977">
      <c r="A1977" t="inlineStr">
        <is>
          <t>INFOBIRD CO., LTD</t>
        </is>
      </c>
      <c r="B1977" t="inlineStr">
        <is>
          <t>IFBD</t>
        </is>
      </c>
      <c r="C1977" t="inlineStr">
        <is>
          <t>INFOBIRD CO., LTD</t>
        </is>
      </c>
      <c r="D1977" t="n">
        <v>7372</v>
      </c>
    </row>
    <row r="1978">
      <c r="A1978" t="inlineStr">
        <is>
          <t>INFORMATICA INC.</t>
        </is>
      </c>
      <c r="B1978" t="inlineStr">
        <is>
          <t>INFA</t>
        </is>
      </c>
      <c r="C1978" t="inlineStr">
        <is>
          <t>INFORMATICA INC.</t>
        </is>
      </c>
      <c r="D1978" t="n">
        <v>7372</v>
      </c>
    </row>
    <row r="1979">
      <c r="A1979" t="inlineStr">
        <is>
          <t>INFORMATION SERVICES GROUP INC.</t>
        </is>
      </c>
      <c r="B1979" t="inlineStr">
        <is>
          <t>III</t>
        </is>
      </c>
      <c r="C1979" t="inlineStr">
        <is>
          <t>INFORMATION SERVICES GROUP INC.</t>
        </is>
      </c>
      <c r="D1979" t="n">
        <v>8742</v>
      </c>
    </row>
    <row r="1980">
      <c r="A1980" t="inlineStr">
        <is>
          <t>INFRASTRUCTURE &amp; ENERGY ALTERNATIVES, INC.</t>
        </is>
      </c>
      <c r="B1980" t="inlineStr">
        <is>
          <t>IEA</t>
        </is>
      </c>
      <c r="C1980" t="inlineStr">
        <is>
          <t>INFRASTRUCTURE &amp; ENERGY ALTERNATIVES, INC.</t>
        </is>
      </c>
      <c r="D1980" t="n">
        <v>6770</v>
      </c>
    </row>
    <row r="1981">
      <c r="A1981" t="inlineStr">
        <is>
          <t>INFUSYSTEM HOLDINGS, INC</t>
        </is>
      </c>
      <c r="B1981" t="inlineStr">
        <is>
          <t>INFU</t>
        </is>
      </c>
      <c r="C1981" t="inlineStr">
        <is>
          <t>INFUSYSTEM HOLDINGS, INC</t>
        </is>
      </c>
      <c r="D1981" t="n">
        <v>3841</v>
      </c>
    </row>
    <row r="1982">
      <c r="A1982" t="inlineStr">
        <is>
          <t>INGERSOLL RAND INC.</t>
        </is>
      </c>
      <c r="B1982" t="inlineStr">
        <is>
          <t>IR</t>
        </is>
      </c>
      <c r="C1982" t="inlineStr">
        <is>
          <t>INGERSOLL RAND INC.</t>
        </is>
      </c>
      <c r="D1982" t="n">
        <v>3560</v>
      </c>
    </row>
    <row r="1983">
      <c r="A1983" t="inlineStr">
        <is>
          <t>INGEVITY CORP</t>
        </is>
      </c>
      <c r="B1983" t="inlineStr">
        <is>
          <t>NGVT</t>
        </is>
      </c>
      <c r="C1983" t="inlineStr">
        <is>
          <t>INGEVITY CORP</t>
        </is>
      </c>
      <c r="D1983" t="n">
        <v>2800</v>
      </c>
    </row>
    <row r="1984">
      <c r="A1984" t="inlineStr">
        <is>
          <t>INGLES MARKETS INC</t>
        </is>
      </c>
      <c r="B1984" t="inlineStr">
        <is>
          <t>IMKTA</t>
        </is>
      </c>
      <c r="C1984" t="inlineStr">
        <is>
          <t>INGLES MARKETS INC</t>
        </is>
      </c>
      <c r="D1984" t="n">
        <v>5411</v>
      </c>
    </row>
    <row r="1985">
      <c r="A1985" t="inlineStr">
        <is>
          <t>INGREDION INC</t>
        </is>
      </c>
      <c r="B1985" t="inlineStr">
        <is>
          <t>INGR</t>
        </is>
      </c>
      <c r="C1985" t="inlineStr">
        <is>
          <t>INGREDION INC</t>
        </is>
      </c>
      <c r="D1985" t="n">
        <v>2040</v>
      </c>
    </row>
    <row r="1986">
      <c r="A1986" t="inlineStr">
        <is>
          <t>INHIBIKASE THERAPEUTICS, INC.</t>
        </is>
      </c>
      <c r="B1986" t="inlineStr">
        <is>
          <t>IKT</t>
        </is>
      </c>
      <c r="C1986" t="inlineStr">
        <is>
          <t>INHIBIKASE THERAPEUTICS, INC.</t>
        </is>
      </c>
      <c r="D1986" t="n">
        <v>2836</v>
      </c>
    </row>
    <row r="1987">
      <c r="A1987" t="inlineStr">
        <is>
          <t>INHIBRX, INC.</t>
        </is>
      </c>
      <c r="B1987" t="inlineStr">
        <is>
          <t>INBX</t>
        </is>
      </c>
      <c r="C1987" t="inlineStr">
        <is>
          <t>INHIBRX, INC.</t>
        </is>
      </c>
      <c r="D1987" t="n">
        <v>2836</v>
      </c>
    </row>
    <row r="1988">
      <c r="A1988" t="inlineStr">
        <is>
          <t>INLAND REAL ESTATE INCOME TRUST, INC.</t>
        </is>
      </c>
      <c r="B1988" t="inlineStr">
        <is>
          <t>INRE</t>
        </is>
      </c>
      <c r="C1988" t="inlineStr">
        <is>
          <t>INLAND REAL ESTATE INCOME TRUST, INC.</t>
        </is>
      </c>
      <c r="D1988" t="n">
        <v>6798</v>
      </c>
    </row>
    <row r="1989">
      <c r="A1989" t="inlineStr">
        <is>
          <t>INMODE LTD.</t>
        </is>
      </c>
      <c r="B1989" t="inlineStr">
        <is>
          <t>INMD</t>
        </is>
      </c>
      <c r="C1989" t="inlineStr">
        <is>
          <t>INMODE LTD.</t>
        </is>
      </c>
      <c r="D1989" t="n">
        <v>3845</v>
      </c>
    </row>
    <row r="1990">
      <c r="A1990" t="inlineStr">
        <is>
          <t>INMUNE BIO, INC.</t>
        </is>
      </c>
      <c r="B1990" t="inlineStr">
        <is>
          <t>INMB</t>
        </is>
      </c>
      <c r="C1990" t="inlineStr">
        <is>
          <t>INMUNE BIO, INC.</t>
        </is>
      </c>
      <c r="D1990" t="n">
        <v>2836</v>
      </c>
    </row>
    <row r="1991">
      <c r="A1991" t="inlineStr">
        <is>
          <t>INNODATA INC</t>
        </is>
      </c>
      <c r="B1991" t="inlineStr">
        <is>
          <t>INOD</t>
        </is>
      </c>
      <c r="C1991" t="inlineStr">
        <is>
          <t>INNODATA INC</t>
        </is>
      </c>
      <c r="D1991" t="n">
        <v>7374</v>
      </c>
    </row>
    <row r="1992">
      <c r="A1992" t="inlineStr">
        <is>
          <t>INNOSPEC INC.</t>
        </is>
      </c>
      <c r="B1992" t="inlineStr">
        <is>
          <t>IOSP</t>
        </is>
      </c>
      <c r="C1992" t="inlineStr">
        <is>
          <t>INNOSPEC INC.</t>
        </is>
      </c>
      <c r="D1992" t="n">
        <v>2800</v>
      </c>
    </row>
    <row r="1993">
      <c r="A1993" t="inlineStr">
        <is>
          <t>INNOVAGE HOLDING CORP.</t>
        </is>
      </c>
      <c r="B1993" t="inlineStr">
        <is>
          <t>INNV</t>
        </is>
      </c>
      <c r="C1993" t="inlineStr">
        <is>
          <t>INNOVAGE HOLDING CORP.</t>
        </is>
      </c>
      <c r="D1993" t="n">
        <v>8000</v>
      </c>
    </row>
    <row r="1994">
      <c r="A1994" t="inlineStr">
        <is>
          <t>INNOVATE CORP.</t>
        </is>
      </c>
      <c r="B1994" t="inlineStr">
        <is>
          <t>VATE</t>
        </is>
      </c>
      <c r="C1994" t="inlineStr">
        <is>
          <t>INNOVATE CORP.</t>
        </is>
      </c>
      <c r="D1994" t="n">
        <v>3440</v>
      </c>
    </row>
    <row r="1995">
      <c r="A1995" t="inlineStr">
        <is>
          <t>INNOVATIVE FOOD HOLDINGS INC</t>
        </is>
      </c>
      <c r="B1995" t="inlineStr">
        <is>
          <t>IVFH</t>
        </is>
      </c>
      <c r="C1995" t="inlineStr">
        <is>
          <t>INNOVATIVE FOOD HOLDINGS INC</t>
        </is>
      </c>
      <c r="D1995" t="n">
        <v>5141</v>
      </c>
    </row>
    <row r="1996">
      <c r="A1996" t="inlineStr">
        <is>
          <t>INNOVATIVE INDUSTRIAL PROPERTIES INC</t>
        </is>
      </c>
      <c r="B1996" t="inlineStr">
        <is>
          <t>IIPR</t>
        </is>
      </c>
      <c r="C1996" t="inlineStr">
        <is>
          <t>INNOVATIVE INDUSTRIAL PROPERTIES INC</t>
        </is>
      </c>
      <c r="D1996" t="n">
        <v>6500</v>
      </c>
    </row>
    <row r="1997">
      <c r="A1997" t="inlineStr">
        <is>
          <t>INNOVATIVE SOLUTIONS &amp; SUPPORT INC</t>
        </is>
      </c>
      <c r="B1997" t="inlineStr">
        <is>
          <t>ISSC</t>
        </is>
      </c>
      <c r="C1997" t="inlineStr">
        <is>
          <t>INNOVATIVE SOLUTIONS &amp; SUPPORT INC</t>
        </is>
      </c>
      <c r="D1997" t="n">
        <v>7371</v>
      </c>
    </row>
    <row r="1998">
      <c r="A1998" t="inlineStr">
        <is>
          <t>INNOVID CORP.</t>
        </is>
      </c>
      <c r="B1998" t="inlineStr">
        <is>
          <t>CTV</t>
        </is>
      </c>
      <c r="C1998" t="inlineStr">
        <is>
          <t>INNOVID CORP.</t>
        </is>
      </c>
      <c r="D1998" t="n">
        <v>7372</v>
      </c>
    </row>
    <row r="1999">
      <c r="A1999" t="inlineStr">
        <is>
          <t>INNOVIVA, INC.</t>
        </is>
      </c>
      <c r="B1999" t="inlineStr">
        <is>
          <t>INVA</t>
        </is>
      </c>
      <c r="C1999" t="inlineStr">
        <is>
          <t>INNOVIVA, INC.</t>
        </is>
      </c>
      <c r="D1999" t="n">
        <v>2834</v>
      </c>
    </row>
    <row r="2000">
      <c r="A2000" t="inlineStr">
        <is>
          <t>INNSUITES HOSPITALITY TRUST</t>
        </is>
      </c>
      <c r="B2000" t="inlineStr">
        <is>
          <t>IHT</t>
        </is>
      </c>
      <c r="C2000" t="inlineStr">
        <is>
          <t>INNSUITES HOSPITALITY TRUST</t>
        </is>
      </c>
      <c r="D2000" t="n">
        <v>6798</v>
      </c>
    </row>
    <row r="2001">
      <c r="A2001" t="inlineStr">
        <is>
          <t>INOGEN INC</t>
        </is>
      </c>
      <c r="B2001" t="inlineStr">
        <is>
          <t>INGN</t>
        </is>
      </c>
      <c r="C2001" t="inlineStr">
        <is>
          <t>INOGEN INC</t>
        </is>
      </c>
      <c r="D2001" t="n">
        <v>3842</v>
      </c>
    </row>
    <row r="2002">
      <c r="A2002" t="inlineStr">
        <is>
          <t>INOTIV, INC.</t>
        </is>
      </c>
      <c r="B2002" t="inlineStr">
        <is>
          <t>NOTV</t>
        </is>
      </c>
      <c r="C2002" t="inlineStr">
        <is>
          <t>INOTIV, INC.</t>
        </is>
      </c>
      <c r="D2002" t="n">
        <v>8731</v>
      </c>
    </row>
    <row r="2003">
      <c r="A2003" t="inlineStr">
        <is>
          <t>INOVIO PHARMACEUTICALS, INC.</t>
        </is>
      </c>
      <c r="B2003" t="inlineStr">
        <is>
          <t>INO</t>
        </is>
      </c>
      <c r="C2003" t="inlineStr">
        <is>
          <t>INOVIO PHARMACEUTICALS, INC.</t>
        </is>
      </c>
      <c r="D2003" t="n">
        <v>3841</v>
      </c>
    </row>
    <row r="2004">
      <c r="A2004" t="inlineStr">
        <is>
          <t>INPIXON</t>
        </is>
      </c>
      <c r="B2004" t="inlineStr">
        <is>
          <t>INPX</t>
        </is>
      </c>
      <c r="C2004" t="inlineStr">
        <is>
          <t>INPIXON</t>
        </is>
      </c>
      <c r="D2004" t="n">
        <v>7371</v>
      </c>
    </row>
    <row r="2005">
      <c r="A2005" t="inlineStr">
        <is>
          <t>INSEEGO CORP.</t>
        </is>
      </c>
      <c r="B2005" t="inlineStr">
        <is>
          <t>INSG</t>
        </is>
      </c>
      <c r="C2005" t="inlineStr">
        <is>
          <t>INSEEGO CORP.</t>
        </is>
      </c>
      <c r="D2005" t="n">
        <v>3669</v>
      </c>
    </row>
    <row r="2006">
      <c r="A2006" t="inlineStr">
        <is>
          <t>INSIGHT ENTERPRISES INC</t>
        </is>
      </c>
      <c r="B2006" t="inlineStr">
        <is>
          <t>NSIT</t>
        </is>
      </c>
      <c r="C2006" t="inlineStr">
        <is>
          <t>INSIGHT ENTERPRISES INC</t>
        </is>
      </c>
      <c r="D2006" t="n">
        <v>5961</v>
      </c>
    </row>
    <row r="2007">
      <c r="A2007" t="inlineStr">
        <is>
          <t>INSIGNIA SYSTEMS INC/MN</t>
        </is>
      </c>
      <c r="B2007" t="inlineStr">
        <is>
          <t>ISIG</t>
        </is>
      </c>
      <c r="C2007" t="inlineStr">
        <is>
          <t>INSIGNIA SYSTEMS INC/MN</t>
        </is>
      </c>
      <c r="D2007" t="n">
        <v>7310</v>
      </c>
    </row>
    <row r="2008">
      <c r="A2008" t="inlineStr">
        <is>
          <t>INSMED INC</t>
        </is>
      </c>
      <c r="B2008" t="inlineStr">
        <is>
          <t>INSM</t>
        </is>
      </c>
      <c r="C2008" t="inlineStr">
        <is>
          <t>INSMED INC</t>
        </is>
      </c>
      <c r="D2008" t="n">
        <v>2834</v>
      </c>
    </row>
    <row r="2009">
      <c r="A2009" t="inlineStr">
        <is>
          <t>INSPERITY, INC.</t>
        </is>
      </c>
      <c r="B2009" t="inlineStr">
        <is>
          <t>NSP</t>
        </is>
      </c>
      <c r="C2009" t="inlineStr">
        <is>
          <t>INSPERITY, INC.</t>
        </is>
      </c>
      <c r="D2009" t="n">
        <v>7363</v>
      </c>
    </row>
    <row r="2010">
      <c r="A2010" t="inlineStr">
        <is>
          <t>INSPIRE MEDICAL SYSTEMS, INC.</t>
        </is>
      </c>
      <c r="B2010" t="inlineStr">
        <is>
          <t>INSP</t>
        </is>
      </c>
      <c r="C2010" t="inlineStr">
        <is>
          <t>INSPIRE MEDICAL SYSTEMS, INC.</t>
        </is>
      </c>
      <c r="D2010" t="n">
        <v>3841</v>
      </c>
    </row>
    <row r="2011">
      <c r="A2011" t="inlineStr">
        <is>
          <t>INSPIRED ENTERTAINMENT, INC.</t>
        </is>
      </c>
      <c r="B2011" t="inlineStr">
        <is>
          <t>INSE</t>
        </is>
      </c>
      <c r="C2011" t="inlineStr">
        <is>
          <t>INSPIRED ENTERTAINMENT, INC.</t>
        </is>
      </c>
      <c r="D2011" t="n">
        <v>7372</v>
      </c>
    </row>
    <row r="2012">
      <c r="A2012" t="inlineStr">
        <is>
          <t>INSPIREMD, INC.</t>
        </is>
      </c>
      <c r="B2012" t="inlineStr">
        <is>
          <t>NSPR</t>
        </is>
      </c>
      <c r="C2012" t="inlineStr">
        <is>
          <t>INSPIREMD, INC.</t>
        </is>
      </c>
      <c r="D2012" t="n">
        <v>3841</v>
      </c>
    </row>
    <row r="2013">
      <c r="A2013" t="inlineStr">
        <is>
          <t>INSTALLED BUILDING PRODUCTS, INC.</t>
        </is>
      </c>
      <c r="B2013" t="inlineStr">
        <is>
          <t>IBP</t>
        </is>
      </c>
      <c r="C2013" t="inlineStr">
        <is>
          <t>INSTALLED BUILDING PRODUCTS, INC.</t>
        </is>
      </c>
      <c r="D2013" t="n">
        <v>1520</v>
      </c>
    </row>
    <row r="2014">
      <c r="A2014" t="inlineStr">
        <is>
          <t>INSTEEL INDUSTRIES INC</t>
        </is>
      </c>
      <c r="B2014" t="inlineStr">
        <is>
          <t>IIIN</t>
        </is>
      </c>
      <c r="C2014" t="inlineStr">
        <is>
          <t>INSTEEL INDUSTRIES INC</t>
        </is>
      </c>
      <c r="D2014" t="n">
        <v>3310</v>
      </c>
    </row>
    <row r="2015">
      <c r="A2015" t="inlineStr">
        <is>
          <t>INSULET CORP</t>
        </is>
      </c>
      <c r="B2015" t="inlineStr">
        <is>
          <t>PODD</t>
        </is>
      </c>
      <c r="C2015" t="inlineStr">
        <is>
          <t>INSULET CORP</t>
        </is>
      </c>
      <c r="D2015" t="n">
        <v>3841</v>
      </c>
    </row>
    <row r="2016">
      <c r="A2016" t="inlineStr">
        <is>
          <t>INTEGER HOLDINGS CORP</t>
        </is>
      </c>
      <c r="B2016" t="inlineStr">
        <is>
          <t>ITGR</t>
        </is>
      </c>
      <c r="C2016" t="inlineStr">
        <is>
          <t>INTEGER HOLDINGS CORP</t>
        </is>
      </c>
      <c r="D2016" t="n">
        <v>3690</v>
      </c>
    </row>
    <row r="2017">
      <c r="A2017" t="inlineStr">
        <is>
          <t>INTEGRA LIFESCIENCES HOLDINGS CORP</t>
        </is>
      </c>
      <c r="B2017" t="inlineStr">
        <is>
          <t>IART</t>
        </is>
      </c>
      <c r="C2017" t="inlineStr">
        <is>
          <t>INTEGRA LIFESCIENCES HOLDINGS CORP</t>
        </is>
      </c>
      <c r="D2017" t="n">
        <v>3841</v>
      </c>
    </row>
    <row r="2018">
      <c r="A2018" t="inlineStr">
        <is>
          <t>INTEGRAL AD SCIENCE HOLDING CORP.</t>
        </is>
      </c>
      <c r="B2018" t="inlineStr">
        <is>
          <t>IAS</t>
        </is>
      </c>
      <c r="C2018" t="inlineStr">
        <is>
          <t>INTEGRAL AD SCIENCE HOLDING CORP.</t>
        </is>
      </c>
      <c r="D2018" t="n">
        <v>7370</v>
      </c>
    </row>
    <row r="2019">
      <c r="A2019" t="inlineStr">
        <is>
          <t>INTEGRATED BIOPHARMA INC</t>
        </is>
      </c>
      <c r="B2019" t="inlineStr">
        <is>
          <t>INBP</t>
        </is>
      </c>
      <c r="C2019" t="inlineStr">
        <is>
          <t>INTEGRATED BIOPHARMA INC</t>
        </is>
      </c>
      <c r="D2019" t="n">
        <v>2834</v>
      </c>
    </row>
    <row r="2020">
      <c r="A2020" t="inlineStr">
        <is>
          <t>INTEL CORP</t>
        </is>
      </c>
      <c r="B2020" t="inlineStr">
        <is>
          <t>INTC</t>
        </is>
      </c>
      <c r="C2020" t="inlineStr">
        <is>
          <t>INTEL CORP</t>
        </is>
      </c>
      <c r="D2020" t="n">
        <v>3674</v>
      </c>
    </row>
    <row r="2021">
      <c r="A2021" t="inlineStr">
        <is>
          <t>INTELGENX TECHNOLOGIES CORP.</t>
        </is>
      </c>
      <c r="B2021" t="inlineStr">
        <is>
          <t>IGXT</t>
        </is>
      </c>
      <c r="C2021" t="inlineStr">
        <is>
          <t>INTELGENX TECHNOLOGIES CORP.</t>
        </is>
      </c>
      <c r="D2021" t="n">
        <v>2834</v>
      </c>
    </row>
    <row r="2022">
      <c r="A2022" t="inlineStr">
        <is>
          <t>INTELLIA THERAPEUTICS, INC.</t>
        </is>
      </c>
      <c r="B2022" t="inlineStr">
        <is>
          <t>NTLA</t>
        </is>
      </c>
      <c r="C2022" t="inlineStr">
        <is>
          <t>INTELLIA THERAPEUTICS, INC.</t>
        </is>
      </c>
      <c r="D2022" t="n">
        <v>2835</v>
      </c>
    </row>
    <row r="2023">
      <c r="A2023" t="inlineStr">
        <is>
          <t>INTELLICHECK, INC.</t>
        </is>
      </c>
      <c r="B2023" t="inlineStr">
        <is>
          <t>IDN</t>
        </is>
      </c>
      <c r="C2023" t="inlineStr">
        <is>
          <t>INTELLICHECK, INC.</t>
        </is>
      </c>
      <c r="D2023" t="n">
        <v>7372</v>
      </c>
    </row>
    <row r="2024">
      <c r="A2024" t="inlineStr">
        <is>
          <t>INTELLINETICS, INC.</t>
        </is>
      </c>
      <c r="B2024" t="inlineStr">
        <is>
          <t>INLX</t>
        </is>
      </c>
      <c r="C2024" t="inlineStr">
        <is>
          <t>INTELLINETICS, INC.</t>
        </is>
      </c>
      <c r="D2024" t="n">
        <v>7372</v>
      </c>
    </row>
    <row r="2025">
      <c r="A2025" t="inlineStr">
        <is>
          <t>INTER PARFUMS INC</t>
        </is>
      </c>
      <c r="B2025" t="inlineStr">
        <is>
          <t>IPAR</t>
        </is>
      </c>
      <c r="C2025" t="inlineStr">
        <is>
          <t>INTER PARFUMS INC</t>
        </is>
      </c>
      <c r="D2025" t="n">
        <v>2844</v>
      </c>
    </row>
    <row r="2026">
      <c r="A2026" t="inlineStr">
        <is>
          <t>INTERACTIVE BROKERS GROUP, INC.</t>
        </is>
      </c>
      <c r="B2026" t="inlineStr">
        <is>
          <t>IBKR</t>
        </is>
      </c>
      <c r="C2026" t="inlineStr">
        <is>
          <t>INTERACTIVE BROKERS GROUP, INC.</t>
        </is>
      </c>
      <c r="D2026" t="n">
        <v>6211</v>
      </c>
    </row>
    <row r="2027">
      <c r="A2027" t="inlineStr">
        <is>
          <t>INTERCEPT PHARMACEUTICALS, INC.</t>
        </is>
      </c>
      <c r="B2027" t="inlineStr">
        <is>
          <t>ICPT</t>
        </is>
      </c>
      <c r="C2027" t="inlineStr">
        <is>
          <t>INTERCEPT PHARMACEUTICALS, INC.</t>
        </is>
      </c>
      <c r="D2027" t="n">
        <v>2834</v>
      </c>
    </row>
    <row r="2028">
      <c r="A2028" t="inlineStr">
        <is>
          <t>INTERCONTINENTAL EXCHANGE, INC.</t>
        </is>
      </c>
      <c r="B2028" t="inlineStr">
        <is>
          <t>ICE</t>
        </is>
      </c>
      <c r="C2028" t="inlineStr">
        <is>
          <t>INTERCONTINENTAL EXCHANGE, INC.</t>
        </is>
      </c>
      <c r="D2028" t="n">
        <v>6200</v>
      </c>
    </row>
    <row r="2029">
      <c r="A2029" t="inlineStr">
        <is>
          <t>INTERDIGITAL, INC.</t>
        </is>
      </c>
      <c r="B2029" t="inlineStr">
        <is>
          <t>IDCC</t>
        </is>
      </c>
      <c r="C2029" t="inlineStr">
        <is>
          <t>INTERDIGITAL, INC.</t>
        </is>
      </c>
      <c r="D2029" t="n">
        <v>6794</v>
      </c>
    </row>
    <row r="2030">
      <c r="A2030" t="inlineStr">
        <is>
          <t>INTERFACE INC</t>
        </is>
      </c>
      <c r="B2030" t="inlineStr">
        <is>
          <t>TILE</t>
        </is>
      </c>
      <c r="C2030" t="inlineStr">
        <is>
          <t>INTERFACE INC</t>
        </is>
      </c>
      <c r="D2030" t="n">
        <v>2273</v>
      </c>
    </row>
    <row r="2031">
      <c r="A2031" t="inlineStr">
        <is>
          <t>INTERGROUP CORP</t>
        </is>
      </c>
      <c r="B2031" t="inlineStr">
        <is>
          <t>INTG</t>
        </is>
      </c>
      <c r="C2031" t="inlineStr">
        <is>
          <t>INTERGROUP CORP</t>
        </is>
      </c>
      <c r="D2031" t="n">
        <v>6513</v>
      </c>
    </row>
    <row r="2032">
      <c r="A2032" t="inlineStr">
        <is>
          <t>INTERLINK ELECTRONICS INC</t>
        </is>
      </c>
      <c r="B2032" t="inlineStr">
        <is>
          <t>LINK</t>
        </is>
      </c>
      <c r="C2032" t="inlineStr">
        <is>
          <t>INTERLINK ELECTRONICS INC</t>
        </is>
      </c>
      <c r="D2032" t="n">
        <v>3577</v>
      </c>
    </row>
    <row r="2033">
      <c r="A2033" t="inlineStr">
        <is>
          <t>INTERNATIONAL BANCSHARES CORP</t>
        </is>
      </c>
      <c r="B2033" t="inlineStr">
        <is>
          <t>IBOC</t>
        </is>
      </c>
      <c r="C2033" t="inlineStr">
        <is>
          <t>INTERNATIONAL BANCSHARES CORP</t>
        </is>
      </c>
      <c r="D2033" t="n">
        <v>6022</v>
      </c>
    </row>
    <row r="2034">
      <c r="A2034" t="inlineStr">
        <is>
          <t>INTERNATIONAL BUSINESS MACHINES CORP</t>
        </is>
      </c>
      <c r="B2034" t="inlineStr">
        <is>
          <t>IBM</t>
        </is>
      </c>
      <c r="C2034" t="inlineStr">
        <is>
          <t>INTERNATIONAL BUSINESS MACHINES CORP</t>
        </is>
      </c>
      <c r="D2034" t="n">
        <v>3570</v>
      </c>
    </row>
    <row r="2035">
      <c r="A2035" t="inlineStr">
        <is>
          <t>INTERNATIONAL FLAVORS &amp; FRAGRANCES INC</t>
        </is>
      </c>
      <c r="B2035" t="inlineStr">
        <is>
          <t>IFF</t>
        </is>
      </c>
      <c r="C2035" t="inlineStr">
        <is>
          <t>INTERNATIONAL FLAVORS &amp; FRAGRANCES INC</t>
        </is>
      </c>
      <c r="D2035" t="n">
        <v>2860</v>
      </c>
    </row>
    <row r="2036">
      <c r="A2036" t="inlineStr">
        <is>
          <t>INTERNATIONAL GAME TECHNOLOGY PLC</t>
        </is>
      </c>
      <c r="B2036" t="inlineStr">
        <is>
          <t>IGT</t>
        </is>
      </c>
      <c r="C2036" t="inlineStr">
        <is>
          <t>INTERNATIONAL GAME TECHNOLOGY PLC</t>
        </is>
      </c>
      <c r="D2036" t="n">
        <v>7990</v>
      </c>
    </row>
    <row r="2037">
      <c r="A2037" t="inlineStr">
        <is>
          <t>INTERNATIONAL ISOTOPES INC</t>
        </is>
      </c>
      <c r="B2037" t="inlineStr">
        <is>
          <t>INIS</t>
        </is>
      </c>
      <c r="C2037" t="inlineStr">
        <is>
          <t>INTERNATIONAL ISOTOPES INC</t>
        </is>
      </c>
      <c r="D2037" t="n">
        <v>3823</v>
      </c>
    </row>
    <row r="2038">
      <c r="A2038" t="inlineStr">
        <is>
          <t>INTERNATIONAL MONEY EXPRESS, INC.</t>
        </is>
      </c>
      <c r="B2038" t="inlineStr">
        <is>
          <t>IMXI</t>
        </is>
      </c>
      <c r="C2038" t="inlineStr">
        <is>
          <t>INTERNATIONAL MONEY EXPRESS, INC.</t>
        </is>
      </c>
      <c r="D2038" t="n">
        <v>7389</v>
      </c>
    </row>
    <row r="2039">
      <c r="A2039" t="inlineStr">
        <is>
          <t>INTERNATIONAL PAPER CO /NEW/</t>
        </is>
      </c>
      <c r="B2039" t="inlineStr">
        <is>
          <t>IP</t>
        </is>
      </c>
      <c r="C2039" t="inlineStr">
        <is>
          <t>INTERNATIONAL PAPER CO /NEW/</t>
        </is>
      </c>
      <c r="D2039" t="n">
        <v>2621</v>
      </c>
    </row>
    <row r="2040">
      <c r="A2040" t="inlineStr">
        <is>
          <t>INTERNATIONAL SEAWAYS, INC.</t>
        </is>
      </c>
      <c r="B2040" t="inlineStr">
        <is>
          <t>INSW</t>
        </is>
      </c>
      <c r="C2040" t="inlineStr">
        <is>
          <t>INTERNATIONAL SEAWAYS, INC.</t>
        </is>
      </c>
      <c r="D2040" t="n">
        <v>4400</v>
      </c>
    </row>
    <row r="2041">
      <c r="A2041" t="inlineStr">
        <is>
          <t>INTERPACE BIOSCIENCES, INC.</t>
        </is>
      </c>
      <c r="B2041" t="inlineStr">
        <is>
          <t>IDXG</t>
        </is>
      </c>
      <c r="C2041" t="inlineStr">
        <is>
          <t>INTERPACE BIOSCIENCES, INC.</t>
        </is>
      </c>
      <c r="D2041" t="n">
        <v>3841</v>
      </c>
    </row>
    <row r="2042">
      <c r="A2042" t="inlineStr">
        <is>
          <t>INTERPUBLIC GROUP OF COMPANIES, INC.</t>
        </is>
      </c>
      <c r="B2042" t="inlineStr">
        <is>
          <t>IPG</t>
        </is>
      </c>
      <c r="C2042" t="inlineStr">
        <is>
          <t>INTERPUBLIC GROUP OF COMPANIES, INC.</t>
        </is>
      </c>
      <c r="D2042" t="n">
        <v>7311</v>
      </c>
    </row>
    <row r="2043">
      <c r="A2043" t="inlineStr">
        <is>
          <t>INTEST CORP</t>
        </is>
      </c>
      <c r="B2043" t="inlineStr">
        <is>
          <t>INTT</t>
        </is>
      </c>
      <c r="C2043" t="inlineStr">
        <is>
          <t>INTEST CORP</t>
        </is>
      </c>
      <c r="D2043" t="n">
        <v>3825</v>
      </c>
    </row>
    <row r="2044">
      <c r="A2044" t="inlineStr">
        <is>
          <t>INTEVAC INC</t>
        </is>
      </c>
      <c r="B2044" t="inlineStr">
        <is>
          <t>IVAC</t>
        </is>
      </c>
      <c r="C2044" t="inlineStr">
        <is>
          <t>INTEVAC INC</t>
        </is>
      </c>
      <c r="D2044" t="n">
        <v>3559</v>
      </c>
    </row>
    <row r="2045">
      <c r="A2045" t="inlineStr">
        <is>
          <t>INTRA-CELLULAR THERAPIES, INC.</t>
        </is>
      </c>
      <c r="B2045" t="inlineStr">
        <is>
          <t>ITCI</t>
        </is>
      </c>
      <c r="C2045" t="inlineStr">
        <is>
          <t>INTRA-CELLULAR THERAPIES, INC.</t>
        </is>
      </c>
      <c r="D2045" t="n">
        <v>2834</v>
      </c>
    </row>
    <row r="2046">
      <c r="A2046" t="inlineStr">
        <is>
          <t>INTUIT INC</t>
        </is>
      </c>
      <c r="B2046" t="inlineStr">
        <is>
          <t>INTU</t>
        </is>
      </c>
      <c r="C2046" t="inlineStr">
        <is>
          <t>INTUIT INC</t>
        </is>
      </c>
      <c r="D2046" t="n">
        <v>7372</v>
      </c>
    </row>
    <row r="2047">
      <c r="A2047" t="inlineStr">
        <is>
          <t>INTUITIVE SURGICAL INC</t>
        </is>
      </c>
      <c r="B2047" t="inlineStr">
        <is>
          <t>ISRG</t>
        </is>
      </c>
      <c r="C2047" t="inlineStr">
        <is>
          <t>INTUITIVE SURGICAL INC</t>
        </is>
      </c>
      <c r="D2047" t="n">
        <v>3842</v>
      </c>
    </row>
    <row r="2048">
      <c r="A2048" t="inlineStr">
        <is>
          <t>INUVO, INC.</t>
        </is>
      </c>
      <c r="B2048" t="inlineStr">
        <is>
          <t>INUV</t>
        </is>
      </c>
      <c r="C2048" t="inlineStr">
        <is>
          <t>INUVO, INC.</t>
        </is>
      </c>
      <c r="D2048" t="n">
        <v>7310</v>
      </c>
    </row>
    <row r="2049">
      <c r="A2049" t="inlineStr">
        <is>
          <t>INVACARE CORP</t>
        </is>
      </c>
      <c r="B2049" t="inlineStr">
        <is>
          <t>IVC</t>
        </is>
      </c>
      <c r="C2049" t="inlineStr">
        <is>
          <t>INVACARE CORP</t>
        </is>
      </c>
      <c r="D2049" t="n">
        <v>3842</v>
      </c>
    </row>
    <row r="2050">
      <c r="A2050" t="inlineStr">
        <is>
          <t>INVENTRUST PROPERTIES CORP.</t>
        </is>
      </c>
      <c r="B2050" t="inlineStr">
        <is>
          <t>IVT</t>
        </is>
      </c>
      <c r="C2050" t="inlineStr">
        <is>
          <t>INVENTRUST PROPERTIES CORP.</t>
        </is>
      </c>
      <c r="D2050" t="n">
        <v>6798</v>
      </c>
    </row>
    <row r="2051">
      <c r="A2051" t="inlineStr">
        <is>
          <t>INVESCO DB AGRICULTURE FUND</t>
        </is>
      </c>
      <c r="B2051" t="inlineStr">
        <is>
          <t>DBA</t>
        </is>
      </c>
      <c r="C2051" t="inlineStr">
        <is>
          <t>INVESCO DB AGRICULTURE FUND</t>
        </is>
      </c>
      <c r="D2051" t="n">
        <v>6221</v>
      </c>
    </row>
    <row r="2052">
      <c r="A2052" t="inlineStr">
        <is>
          <t>INVESCO DB BASE METALS FUND</t>
        </is>
      </c>
      <c r="B2052" t="inlineStr">
        <is>
          <t>DBB</t>
        </is>
      </c>
      <c r="C2052" t="inlineStr">
        <is>
          <t>INVESCO DB BASE METALS FUND</t>
        </is>
      </c>
      <c r="D2052" t="n">
        <v>6221</v>
      </c>
    </row>
    <row r="2053">
      <c r="A2053" t="inlineStr">
        <is>
          <t>INVESCO DB COMMODITY INDEX TRACKING FUND</t>
        </is>
      </c>
      <c r="B2053" t="inlineStr">
        <is>
          <t>DBC</t>
        </is>
      </c>
      <c r="C2053" t="inlineStr">
        <is>
          <t>INVESCO DB COMMODITY INDEX TRACKING FUND</t>
        </is>
      </c>
      <c r="D2053" t="n">
        <v>6221</v>
      </c>
    </row>
    <row r="2054">
      <c r="A2054" t="inlineStr">
        <is>
          <t>INVESCO DB ENERGY FUND</t>
        </is>
      </c>
      <c r="B2054" t="inlineStr">
        <is>
          <t>DBE</t>
        </is>
      </c>
      <c r="C2054" t="inlineStr">
        <is>
          <t>INVESCO DB ENERGY FUND</t>
        </is>
      </c>
      <c r="D2054" t="n">
        <v>6221</v>
      </c>
    </row>
    <row r="2055">
      <c r="A2055" t="inlineStr">
        <is>
          <t>INVESCO DB GOLD FUND</t>
        </is>
      </c>
      <c r="B2055" t="inlineStr">
        <is>
          <t>DGL</t>
        </is>
      </c>
      <c r="C2055" t="inlineStr">
        <is>
          <t>INVESCO DB GOLD FUND</t>
        </is>
      </c>
      <c r="D2055" t="n">
        <v>6221</v>
      </c>
    </row>
    <row r="2056">
      <c r="A2056" t="inlineStr">
        <is>
          <t>INVESCO DB OIL FUND</t>
        </is>
      </c>
      <c r="B2056" t="inlineStr">
        <is>
          <t>DBO</t>
        </is>
      </c>
      <c r="C2056" t="inlineStr">
        <is>
          <t>INVESCO DB OIL FUND</t>
        </is>
      </c>
      <c r="D2056" t="n">
        <v>6221</v>
      </c>
    </row>
    <row r="2057">
      <c r="A2057" t="inlineStr">
        <is>
          <t>INVESCO DB PRECIOUS METALS FUND</t>
        </is>
      </c>
      <c r="B2057" t="inlineStr">
        <is>
          <t>DBP</t>
        </is>
      </c>
      <c r="C2057" t="inlineStr">
        <is>
          <t>INVESCO DB PRECIOUS METALS FUND</t>
        </is>
      </c>
      <c r="D2057" t="n">
        <v>6221</v>
      </c>
    </row>
    <row r="2058">
      <c r="A2058" t="inlineStr">
        <is>
          <t>INVESCO DB SILVER FUND</t>
        </is>
      </c>
      <c r="B2058" t="inlineStr">
        <is>
          <t>DBS</t>
        </is>
      </c>
      <c r="C2058" t="inlineStr">
        <is>
          <t>INVESCO DB SILVER FUND</t>
        </is>
      </c>
      <c r="D2058" t="n">
        <v>6221</v>
      </c>
    </row>
    <row r="2059">
      <c r="A2059" t="inlineStr">
        <is>
          <t>INVESCO LTD.</t>
        </is>
      </c>
      <c r="B2059" t="inlineStr">
        <is>
          <t>IVZ</t>
        </is>
      </c>
      <c r="C2059" t="inlineStr">
        <is>
          <t>INVESCO LTD.</t>
        </is>
      </c>
      <c r="D2059" t="n">
        <v>6282</v>
      </c>
    </row>
    <row r="2060">
      <c r="A2060" t="inlineStr">
        <is>
          <t>INVESCO MORTGAGE CAPITAL INC.</t>
        </is>
      </c>
      <c r="B2060" t="inlineStr">
        <is>
          <t>IVR</t>
        </is>
      </c>
      <c r="C2060" t="inlineStr">
        <is>
          <t>INVESCO MORTGAGE CAPITAL INC.</t>
        </is>
      </c>
      <c r="D2060" t="n">
        <v>6798</v>
      </c>
    </row>
    <row r="2061">
      <c r="A2061" t="inlineStr">
        <is>
          <t>INVESTAR HOLDING CORP</t>
        </is>
      </c>
      <c r="B2061" t="inlineStr">
        <is>
          <t>ISTR</t>
        </is>
      </c>
      <c r="C2061" t="inlineStr">
        <is>
          <t>INVESTAR HOLDING CORP</t>
        </is>
      </c>
      <c r="D2061" t="n">
        <v>6022</v>
      </c>
    </row>
    <row r="2062">
      <c r="A2062" t="inlineStr">
        <is>
          <t>INVESTORS TITLE CO</t>
        </is>
      </c>
      <c r="B2062" t="inlineStr">
        <is>
          <t>ITIC</t>
        </is>
      </c>
      <c r="C2062" t="inlineStr">
        <is>
          <t>INVESTORS TITLE CO</t>
        </is>
      </c>
      <c r="D2062" t="n">
        <v>6361</v>
      </c>
    </row>
    <row r="2063">
      <c r="A2063" t="inlineStr">
        <is>
          <t>INVESTVIEW, INC.</t>
        </is>
      </c>
      <c r="B2063" t="inlineStr">
        <is>
          <t>INVU</t>
        </is>
      </c>
      <c r="C2063" t="inlineStr">
        <is>
          <t>INVESTVIEW, INC.</t>
        </is>
      </c>
      <c r="D2063" t="n">
        <v>7389</v>
      </c>
    </row>
    <row r="2064">
      <c r="A2064" t="inlineStr">
        <is>
          <t>INVITAE CORP</t>
        </is>
      </c>
      <c r="B2064" t="inlineStr">
        <is>
          <t>NVTA</t>
        </is>
      </c>
      <c r="C2064" t="inlineStr">
        <is>
          <t>INVITAE CORP</t>
        </is>
      </c>
      <c r="D2064" t="n">
        <v>8071</v>
      </c>
    </row>
    <row r="2065">
      <c r="A2065" t="inlineStr">
        <is>
          <t>INVITATION HOMES INC.</t>
        </is>
      </c>
      <c r="B2065" t="inlineStr">
        <is>
          <t>INVH</t>
        </is>
      </c>
      <c r="C2065" t="inlineStr">
        <is>
          <t>INVITATION HOMES INC.</t>
        </is>
      </c>
      <c r="D2065" t="n">
        <v>6510</v>
      </c>
    </row>
    <row r="2066">
      <c r="A2066" t="inlineStr">
        <is>
          <t>IONIS PHARMACEUTICALS INC</t>
        </is>
      </c>
      <c r="B2066" t="inlineStr">
        <is>
          <t>IONS</t>
        </is>
      </c>
      <c r="C2066" t="inlineStr">
        <is>
          <t>IONIS PHARMACEUTICALS INC</t>
        </is>
      </c>
      <c r="D2066" t="n">
        <v>2834</v>
      </c>
    </row>
    <row r="2067">
      <c r="A2067" t="inlineStr">
        <is>
          <t>IPG PHOTONICS CORP</t>
        </is>
      </c>
      <c r="B2067" t="inlineStr">
        <is>
          <t>IPGP</t>
        </is>
      </c>
      <c r="C2067" t="inlineStr">
        <is>
          <t>IPG PHOTONICS CORP</t>
        </is>
      </c>
      <c r="D2067" t="n">
        <v>3674</v>
      </c>
    </row>
    <row r="2068">
      <c r="A2068" t="inlineStr">
        <is>
          <t>IPOWER INC.</t>
        </is>
      </c>
      <c r="B2068" t="inlineStr">
        <is>
          <t>IPW</t>
        </is>
      </c>
      <c r="C2068" t="inlineStr">
        <is>
          <t>IPOWER INC.</t>
        </is>
      </c>
      <c r="D2068" t="n">
        <v>5200</v>
      </c>
    </row>
    <row r="2069">
      <c r="A2069" t="inlineStr">
        <is>
          <t>IPSIDY INC.</t>
        </is>
      </c>
      <c r="B2069" t="inlineStr">
        <is>
          <t>AUID</t>
        </is>
      </c>
      <c r="C2069" t="inlineStr">
        <is>
          <t>IPSIDY INC.</t>
        </is>
      </c>
      <c r="D2069" t="n">
        <v>7372</v>
      </c>
    </row>
    <row r="2070">
      <c r="A2070" t="inlineStr">
        <is>
          <t>IQIYI, INC.</t>
        </is>
      </c>
      <c r="B2070" t="inlineStr">
        <is>
          <t>IQ</t>
        </is>
      </c>
      <c r="C2070" t="inlineStr">
        <is>
          <t>IQIYI, INC.</t>
        </is>
      </c>
      <c r="D2070" t="n">
        <v>7841</v>
      </c>
    </row>
    <row r="2071">
      <c r="A2071" t="inlineStr">
        <is>
          <t>IQVIA HOLDINGS INC.</t>
        </is>
      </c>
      <c r="B2071" t="inlineStr">
        <is>
          <t>IQV</t>
        </is>
      </c>
      <c r="C2071" t="inlineStr">
        <is>
          <t>IQVIA HOLDINGS INC.</t>
        </is>
      </c>
      <c r="D2071" t="n">
        <v>8731</v>
      </c>
    </row>
    <row r="2072">
      <c r="A2072" t="inlineStr">
        <is>
          <t>IRADIMED CORP</t>
        </is>
      </c>
      <c r="B2072" t="inlineStr">
        <is>
          <t>IRMD</t>
        </is>
      </c>
      <c r="C2072" t="inlineStr">
        <is>
          <t>IRADIMED CORP</t>
        </is>
      </c>
      <c r="D2072" t="n">
        <v>3841</v>
      </c>
    </row>
    <row r="2073">
      <c r="A2073" t="inlineStr">
        <is>
          <t>IRHYTHM TECHNOLOGIES, INC.</t>
        </is>
      </c>
      <c r="B2073" t="inlineStr">
        <is>
          <t>IRTC</t>
        </is>
      </c>
      <c r="C2073" t="inlineStr">
        <is>
          <t>IRHYTHM TECHNOLOGIES, INC.</t>
        </is>
      </c>
      <c r="D2073" t="n">
        <v>3841</v>
      </c>
    </row>
    <row r="2074">
      <c r="A2074" t="inlineStr">
        <is>
          <t>IRIDEX CORP</t>
        </is>
      </c>
      <c r="B2074" t="inlineStr">
        <is>
          <t>IRIX</t>
        </is>
      </c>
      <c r="C2074" t="inlineStr">
        <is>
          <t>IRIDEX CORP</t>
        </is>
      </c>
      <c r="D2074" t="n">
        <v>3845</v>
      </c>
    </row>
    <row r="2075">
      <c r="A2075" t="inlineStr">
        <is>
          <t>IRIDIUM COMMUNICATIONS INC.</t>
        </is>
      </c>
      <c r="B2075" t="inlineStr">
        <is>
          <t>IRDM</t>
        </is>
      </c>
      <c r="C2075" t="inlineStr">
        <is>
          <t>IRIDIUM COMMUNICATIONS INC.</t>
        </is>
      </c>
      <c r="D2075" t="n">
        <v>3669</v>
      </c>
    </row>
    <row r="2076">
      <c r="A2076" t="inlineStr">
        <is>
          <t>IROBOT CORP</t>
        </is>
      </c>
      <c r="B2076" t="inlineStr">
        <is>
          <t>IRBT</t>
        </is>
      </c>
      <c r="C2076" t="inlineStr">
        <is>
          <t>IROBOT CORP</t>
        </is>
      </c>
      <c r="D2076" t="n">
        <v>3630</v>
      </c>
    </row>
    <row r="2077">
      <c r="A2077" t="inlineStr">
        <is>
          <t>IRON MOUNTAIN INC</t>
        </is>
      </c>
      <c r="B2077" t="inlineStr">
        <is>
          <t>IRM</t>
        </is>
      </c>
      <c r="C2077" t="inlineStr">
        <is>
          <t>IRON MOUNTAIN INC</t>
        </is>
      </c>
      <c r="D2077" t="n">
        <v>6798</v>
      </c>
    </row>
    <row r="2078">
      <c r="A2078" t="inlineStr">
        <is>
          <t>IRONNET, INC.</t>
        </is>
      </c>
      <c r="B2078" t="inlineStr">
        <is>
          <t>IRNT</t>
        </is>
      </c>
      <c r="C2078" t="inlineStr">
        <is>
          <t>IRONNET, INC.</t>
        </is>
      </c>
      <c r="D2078" t="n">
        <v>7372</v>
      </c>
    </row>
    <row r="2079">
      <c r="A2079" t="inlineStr">
        <is>
          <t>IRONSOURCE LTD</t>
        </is>
      </c>
      <c r="B2079" t="inlineStr">
        <is>
          <t>IS</t>
        </is>
      </c>
      <c r="C2079" t="inlineStr">
        <is>
          <t>IRONSOURCE LTD</t>
        </is>
      </c>
      <c r="D2079" t="n">
        <v>7374</v>
      </c>
    </row>
    <row r="2080">
      <c r="A2080" t="inlineStr">
        <is>
          <t>IRONWOOD PHARMACEUTICALS INC</t>
        </is>
      </c>
      <c r="B2080" t="inlineStr">
        <is>
          <t>IRWD</t>
        </is>
      </c>
      <c r="C2080" t="inlineStr">
        <is>
          <t>IRONWOOD PHARMACEUTICALS INC</t>
        </is>
      </c>
      <c r="D2080" t="n">
        <v>2834</v>
      </c>
    </row>
    <row r="2081">
      <c r="A2081" t="inlineStr">
        <is>
          <t>ISABELLA BANK CORP</t>
        </is>
      </c>
      <c r="B2081" t="inlineStr">
        <is>
          <t>ISBA</t>
        </is>
      </c>
      <c r="C2081" t="inlineStr">
        <is>
          <t>ISABELLA BANK CORP</t>
        </is>
      </c>
      <c r="D2081" t="n">
        <v>6022</v>
      </c>
    </row>
    <row r="2082">
      <c r="A2082" t="inlineStr">
        <is>
          <t>ISOPLEXIS CORP</t>
        </is>
      </c>
      <c r="B2082" t="inlineStr">
        <is>
          <t>ISO</t>
        </is>
      </c>
      <c r="C2082" t="inlineStr">
        <is>
          <t>ISOPLEXIS CORP</t>
        </is>
      </c>
      <c r="D2082" t="n">
        <v>3826</v>
      </c>
    </row>
    <row r="2083">
      <c r="A2083" t="inlineStr">
        <is>
          <t>ISSUER DIRECT CORP</t>
        </is>
      </c>
      <c r="B2083" t="inlineStr">
        <is>
          <t>ISDR</t>
        </is>
      </c>
      <c r="C2083" t="inlineStr">
        <is>
          <t>ISSUER DIRECT CORP</t>
        </is>
      </c>
      <c r="D2083" t="n">
        <v>2750</v>
      </c>
    </row>
    <row r="2084">
      <c r="A2084" t="inlineStr">
        <is>
          <t>ISTAR INC.</t>
        </is>
      </c>
      <c r="B2084" t="inlineStr">
        <is>
          <t>STAR</t>
        </is>
      </c>
      <c r="C2084" t="inlineStr">
        <is>
          <t>ISTAR INC.</t>
        </is>
      </c>
      <c r="D2084" t="n">
        <v>6798</v>
      </c>
    </row>
    <row r="2085">
      <c r="A2085" t="inlineStr">
        <is>
          <t>ISUN, INC.</t>
        </is>
      </c>
      <c r="B2085" t="inlineStr">
        <is>
          <t>ISUN</t>
        </is>
      </c>
      <c r="C2085" t="inlineStr">
        <is>
          <t>ISUN, INC.</t>
        </is>
      </c>
      <c r="D2085" t="n">
        <v>3674</v>
      </c>
    </row>
    <row r="2086">
      <c r="A2086" t="inlineStr">
        <is>
          <t>IT TECH PACKAGING, INC.</t>
        </is>
      </c>
      <c r="B2086" t="inlineStr">
        <is>
          <t>ITP</t>
        </is>
      </c>
      <c r="C2086" t="inlineStr">
        <is>
          <t>IT TECH PACKAGING, INC.</t>
        </is>
      </c>
      <c r="D2086" t="n">
        <v>2670</v>
      </c>
    </row>
    <row r="2087">
      <c r="A2087" t="inlineStr">
        <is>
          <t>ITEM 9 LABS CORP.</t>
        </is>
      </c>
      <c r="B2087" t="inlineStr">
        <is>
          <t>INLB</t>
        </is>
      </c>
      <c r="C2087" t="inlineStr">
        <is>
          <t>ITEM 9 LABS CORP.</t>
        </is>
      </c>
      <c r="D2087" t="n">
        <v>3843</v>
      </c>
    </row>
    <row r="2088">
      <c r="A2088" t="inlineStr">
        <is>
          <t>ITERIS, INC.</t>
        </is>
      </c>
      <c r="B2088" t="inlineStr">
        <is>
          <t>ITI</t>
        </is>
      </c>
      <c r="C2088" t="inlineStr">
        <is>
          <t>ITERIS, INC.</t>
        </is>
      </c>
      <c r="D2088" t="n">
        <v>3669</v>
      </c>
    </row>
    <row r="2089">
      <c r="A2089" t="inlineStr">
        <is>
          <t>ITRON, INC.</t>
        </is>
      </c>
      <c r="B2089" t="inlineStr">
        <is>
          <t>ITRI</t>
        </is>
      </c>
      <c r="C2089" t="inlineStr">
        <is>
          <t>ITRON, INC.</t>
        </is>
      </c>
      <c r="D2089" t="n">
        <v>3825</v>
      </c>
    </row>
    <row r="2090">
      <c r="A2090" t="inlineStr">
        <is>
          <t>ITT INC.</t>
        </is>
      </c>
      <c r="B2090" t="inlineStr">
        <is>
          <t>ITT</t>
        </is>
      </c>
      <c r="C2090" t="inlineStr">
        <is>
          <t>ITT INC.</t>
        </is>
      </c>
      <c r="D2090" t="n">
        <v>3561</v>
      </c>
    </row>
    <row r="2091">
      <c r="A2091" t="inlineStr">
        <is>
          <t>ITURAN LOCATION &amp; CONTROL LTD.</t>
        </is>
      </c>
      <c r="B2091" t="inlineStr">
        <is>
          <t>ITRN</t>
        </is>
      </c>
      <c r="C2091" t="inlineStr">
        <is>
          <t>ITURAN LOCATION &amp; CONTROL LTD.</t>
        </is>
      </c>
      <c r="D2091" t="n">
        <v>5065</v>
      </c>
    </row>
    <row r="2092">
      <c r="A2092" t="inlineStr">
        <is>
          <t>IZEA WORLDWIDE, INC.</t>
        </is>
      </c>
      <c r="B2092" t="inlineStr">
        <is>
          <t>IZEA</t>
        </is>
      </c>
      <c r="C2092" t="inlineStr">
        <is>
          <t>IZEA WORLDWIDE, INC.</t>
        </is>
      </c>
      <c r="D2092" t="n">
        <v>7310</v>
      </c>
    </row>
    <row r="2093">
      <c r="A2093" t="inlineStr">
        <is>
          <t>J M SMUCKER CO</t>
        </is>
      </c>
      <c r="B2093" t="inlineStr">
        <is>
          <t>SJM</t>
        </is>
      </c>
      <c r="C2093" t="inlineStr">
        <is>
          <t>J M SMUCKER CO</t>
        </is>
      </c>
      <c r="D2093" t="n">
        <v>2033</v>
      </c>
    </row>
    <row r="2094">
      <c r="A2094" t="inlineStr">
        <is>
          <t>J&amp;J SNACK FOODS CORP</t>
        </is>
      </c>
      <c r="B2094" t="inlineStr">
        <is>
          <t>JJSF</t>
        </is>
      </c>
      <c r="C2094" t="inlineStr">
        <is>
          <t>J&amp;J SNACK FOODS CORP</t>
        </is>
      </c>
      <c r="D2094" t="n">
        <v>2052</v>
      </c>
    </row>
    <row r="2095">
      <c r="A2095" t="inlineStr">
        <is>
          <t>J.JILL, INC.</t>
        </is>
      </c>
      <c r="B2095" t="inlineStr">
        <is>
          <t>JILL</t>
        </is>
      </c>
      <c r="C2095" t="inlineStr">
        <is>
          <t>J.JILL, INC.</t>
        </is>
      </c>
      <c r="D2095" t="n">
        <v>2330</v>
      </c>
    </row>
    <row r="2096">
      <c r="A2096" t="inlineStr">
        <is>
          <t>JABIL INC</t>
        </is>
      </c>
      <c r="B2096" t="inlineStr">
        <is>
          <t>JBL</t>
        </is>
      </c>
      <c r="C2096" t="inlineStr">
        <is>
          <t>JABIL INC</t>
        </is>
      </c>
      <c r="D2096" t="n">
        <v>3672</v>
      </c>
    </row>
    <row r="2097">
      <c r="A2097" t="inlineStr">
        <is>
          <t>JACK IN THE BOX INC /NEW/</t>
        </is>
      </c>
      <c r="B2097" t="inlineStr">
        <is>
          <t>JACK</t>
        </is>
      </c>
      <c r="C2097" t="inlineStr">
        <is>
          <t>JACK IN THE BOX INC /NEW/</t>
        </is>
      </c>
      <c r="D2097" t="n">
        <v>5812</v>
      </c>
    </row>
    <row r="2098">
      <c r="A2098" t="inlineStr">
        <is>
          <t>JACKSON FINANCIAL INC.</t>
        </is>
      </c>
      <c r="B2098" t="inlineStr">
        <is>
          <t>JXN</t>
        </is>
      </c>
      <c r="C2098" t="inlineStr">
        <is>
          <t>JACKSON FINANCIAL INC.</t>
        </is>
      </c>
      <c r="D2098" t="n">
        <v>6311</v>
      </c>
    </row>
    <row r="2099">
      <c r="A2099" t="inlineStr">
        <is>
          <t>JACOBS ENGINEERING GROUP INC /DE/</t>
        </is>
      </c>
      <c r="B2099" t="inlineStr">
        <is>
          <t>J</t>
        </is>
      </c>
      <c r="C2099" t="inlineStr">
        <is>
          <t>JACOBS ENGINEERING GROUP INC /DE/</t>
        </is>
      </c>
      <c r="D2099" t="n">
        <v>1600</v>
      </c>
    </row>
    <row r="2100">
      <c r="A2100" t="inlineStr">
        <is>
          <t>JAGUAR HEALTH, INC.</t>
        </is>
      </c>
      <c r="B2100" t="inlineStr">
        <is>
          <t>JAGX</t>
        </is>
      </c>
      <c r="C2100" t="inlineStr">
        <is>
          <t>JAGUAR HEALTH, INC.</t>
        </is>
      </c>
      <c r="D2100" t="n">
        <v>2834</v>
      </c>
    </row>
    <row r="2101">
      <c r="A2101" t="inlineStr">
        <is>
          <t>JAKKS PACIFIC INC</t>
        </is>
      </c>
      <c r="B2101" t="inlineStr">
        <is>
          <t>JAKK</t>
        </is>
      </c>
      <c r="C2101" t="inlineStr">
        <is>
          <t>JAKKS PACIFIC INC</t>
        </is>
      </c>
      <c r="D2101" t="n">
        <v>3944</v>
      </c>
    </row>
    <row r="2102">
      <c r="A2102" t="inlineStr">
        <is>
          <t>JAMES HARDIE INDUSTRIES PLC</t>
        </is>
      </c>
      <c r="B2102" t="inlineStr">
        <is>
          <t>JHX</t>
        </is>
      </c>
      <c r="C2102" t="inlineStr">
        <is>
          <t>JAMES HARDIE INDUSTRIES PLC</t>
        </is>
      </c>
      <c r="D2102" t="n">
        <v>3272</v>
      </c>
    </row>
    <row r="2103">
      <c r="A2103" t="inlineStr">
        <is>
          <t>JAMES RIVER GROUP HOLDINGS, LTD.</t>
        </is>
      </c>
      <c r="B2103" t="inlineStr">
        <is>
          <t>JRVR</t>
        </is>
      </c>
      <c r="C2103" t="inlineStr">
        <is>
          <t>JAMES RIVER GROUP HOLDINGS, LTD.</t>
        </is>
      </c>
      <c r="D2103" t="n">
        <v>6331</v>
      </c>
    </row>
    <row r="2104">
      <c r="A2104" t="inlineStr">
        <is>
          <t>JAMF HOLDING CORP.</t>
        </is>
      </c>
      <c r="B2104" t="inlineStr">
        <is>
          <t>JAMF</t>
        </is>
      </c>
      <c r="C2104" t="inlineStr">
        <is>
          <t>JAMF HOLDING CORP.</t>
        </is>
      </c>
      <c r="D2104" t="n">
        <v>7372</v>
      </c>
    </row>
    <row r="2105">
      <c r="A2105" t="inlineStr">
        <is>
          <t>JANEL CORP</t>
        </is>
      </c>
      <c r="B2105" t="inlineStr">
        <is>
          <t>JANL</t>
        </is>
      </c>
      <c r="C2105" t="inlineStr">
        <is>
          <t>JANEL CORP</t>
        </is>
      </c>
      <c r="D2105" t="n">
        <v>7389</v>
      </c>
    </row>
    <row r="2106">
      <c r="A2106" t="inlineStr">
        <is>
          <t>JANUS HENDERSON GROUP PLC</t>
        </is>
      </c>
      <c r="B2106" t="inlineStr">
        <is>
          <t>JHG</t>
        </is>
      </c>
      <c r="C2106" t="inlineStr">
        <is>
          <t>JANUS HENDERSON GROUP PLC</t>
        </is>
      </c>
      <c r="D2106" t="n">
        <v>6282</v>
      </c>
    </row>
    <row r="2107">
      <c r="A2107" t="inlineStr">
        <is>
          <t>JANUS INTERNATIONAL GROUP, INC.</t>
        </is>
      </c>
      <c r="B2107" t="inlineStr">
        <is>
          <t>JBI</t>
        </is>
      </c>
      <c r="C2107" t="inlineStr">
        <is>
          <t>JANUS INTERNATIONAL GROUP, INC.</t>
        </is>
      </c>
      <c r="D2107" t="n">
        <v>3442</v>
      </c>
    </row>
    <row r="2108">
      <c r="A2108" t="inlineStr">
        <is>
          <t>JAZZ PHARMACEUTICALS PLC</t>
        </is>
      </c>
      <c r="B2108" t="inlineStr">
        <is>
          <t>JAZZ</t>
        </is>
      </c>
      <c r="C2108" t="inlineStr">
        <is>
          <t>JAZZ PHARMACEUTICALS PLC</t>
        </is>
      </c>
      <c r="D2108" t="n">
        <v>2834</v>
      </c>
    </row>
    <row r="2109">
      <c r="A2109" t="inlineStr">
        <is>
          <t>JBG SMITH PROPERTIES</t>
        </is>
      </c>
      <c r="B2109" t="inlineStr">
        <is>
          <t>JBGS</t>
        </is>
      </c>
      <c r="C2109" t="inlineStr">
        <is>
          <t>JBG SMITH PROPERTIES</t>
        </is>
      </c>
      <c r="D2109" t="n">
        <v>6798</v>
      </c>
    </row>
    <row r="2110">
      <c r="A2110" t="inlineStr">
        <is>
          <t>JD.COM, INC.</t>
        </is>
      </c>
      <c r="B2110" t="inlineStr">
        <is>
          <t>JD</t>
        </is>
      </c>
      <c r="C2110" t="inlineStr">
        <is>
          <t>JD.COM, INC.</t>
        </is>
      </c>
      <c r="D2110" t="n">
        <v>5990</v>
      </c>
    </row>
    <row r="2111">
      <c r="A2111" t="inlineStr">
        <is>
          <t>JEFFERIES FINANCIAL GROUP INC.</t>
        </is>
      </c>
      <c r="B2111" t="inlineStr">
        <is>
          <t>JEF</t>
        </is>
      </c>
      <c r="C2111" t="inlineStr">
        <is>
          <t>JEFFERIES FINANCIAL GROUP INC.</t>
        </is>
      </c>
      <c r="D2111" t="n">
        <v>6211</v>
      </c>
    </row>
    <row r="2112">
      <c r="A2112" t="inlineStr">
        <is>
          <t>JELD-WEN HOLDING, INC.</t>
        </is>
      </c>
      <c r="B2112" t="inlineStr">
        <is>
          <t>JELD</t>
        </is>
      </c>
      <c r="C2112" t="inlineStr">
        <is>
          <t>JELD-WEN HOLDING, INC.</t>
        </is>
      </c>
      <c r="D2112" t="n">
        <v>2430</v>
      </c>
    </row>
    <row r="2113">
      <c r="A2113" t="inlineStr">
        <is>
          <t>JERASH HOLDINGS (US), INC.</t>
        </is>
      </c>
      <c r="B2113" t="inlineStr">
        <is>
          <t>JRSH</t>
        </is>
      </c>
      <c r="C2113" t="inlineStr">
        <is>
          <t>JERASH HOLDINGS (US), INC.</t>
        </is>
      </c>
      <c r="D2113" t="n">
        <v>2300</v>
      </c>
    </row>
    <row r="2114">
      <c r="A2114" t="inlineStr">
        <is>
          <t>JETBLUE AIRWAYS CORP</t>
        </is>
      </c>
      <c r="B2114" t="inlineStr">
        <is>
          <t>JBLU</t>
        </is>
      </c>
      <c r="C2114" t="inlineStr">
        <is>
          <t>JETBLUE AIRWAYS CORP</t>
        </is>
      </c>
      <c r="D2114" t="n">
        <v>4512</v>
      </c>
    </row>
    <row r="2115">
      <c r="A2115" t="inlineStr">
        <is>
          <t>JEWETT CAMERON TRADING CO LTD</t>
        </is>
      </c>
      <c r="B2115" t="inlineStr">
        <is>
          <t>JCTCF</t>
        </is>
      </c>
      <c r="C2115" t="inlineStr">
        <is>
          <t>JEWETT CAMERON TRADING CO LTD</t>
        </is>
      </c>
      <c r="D2115" t="n">
        <v>5211</v>
      </c>
    </row>
    <row r="2116">
      <c r="A2116" t="inlineStr">
        <is>
          <t>JFROG LTD</t>
        </is>
      </c>
      <c r="B2116" t="inlineStr">
        <is>
          <t>FROG</t>
        </is>
      </c>
      <c r="C2116" t="inlineStr">
        <is>
          <t>JFROG LTD</t>
        </is>
      </c>
      <c r="D2116" t="n">
        <v>7372</v>
      </c>
    </row>
    <row r="2117">
      <c r="A2117" t="inlineStr">
        <is>
          <t>JIANPU TECHNOLOGY INC.</t>
        </is>
      </c>
      <c r="B2117" t="inlineStr">
        <is>
          <t>JT</t>
        </is>
      </c>
      <c r="C2117" t="inlineStr">
        <is>
          <t>JIANPU TECHNOLOGY INC.</t>
        </is>
      </c>
      <c r="D2117" t="n">
        <v>7370</v>
      </c>
    </row>
    <row r="2118">
      <c r="A2118" t="inlineStr">
        <is>
          <t>JIAYIN GROUP INC.</t>
        </is>
      </c>
      <c r="B2118" t="inlineStr">
        <is>
          <t>JFIN</t>
        </is>
      </c>
      <c r="C2118" t="inlineStr">
        <is>
          <t>JIAYIN GROUP INC.</t>
        </is>
      </c>
      <c r="D2118" t="n">
        <v>6199</v>
      </c>
    </row>
    <row r="2119">
      <c r="A2119" t="inlineStr">
        <is>
          <t>JINKOSOLAR HOLDING CO., LTD.</t>
        </is>
      </c>
      <c r="B2119" t="inlineStr">
        <is>
          <t>JKS</t>
        </is>
      </c>
      <c r="C2119" t="inlineStr">
        <is>
          <t>JINKOSOLAR HOLDING CO., LTD.</t>
        </is>
      </c>
      <c r="D2119" t="n">
        <v>3674</v>
      </c>
    </row>
    <row r="2120">
      <c r="A2120" t="inlineStr">
        <is>
          <t>JIUZI HOLDINGS, INC.</t>
        </is>
      </c>
      <c r="B2120" t="inlineStr">
        <is>
          <t>JZXN</t>
        </is>
      </c>
      <c r="C2120" t="inlineStr">
        <is>
          <t>JIUZI HOLDINGS, INC.</t>
        </is>
      </c>
      <c r="D2120" t="n">
        <v>5500</v>
      </c>
    </row>
    <row r="2121">
      <c r="A2121" t="inlineStr">
        <is>
          <t>JOANN INC.</t>
        </is>
      </c>
      <c r="B2121" t="inlineStr">
        <is>
          <t>JOAN</t>
        </is>
      </c>
      <c r="C2121" t="inlineStr">
        <is>
          <t>JOANN INC.</t>
        </is>
      </c>
      <c r="D2121" t="n">
        <v>5940</v>
      </c>
    </row>
    <row r="2122">
      <c r="A2122" t="inlineStr">
        <is>
          <t>JOHN BEAN TECHNOLOGIES CORP</t>
        </is>
      </c>
      <c r="B2122" t="inlineStr">
        <is>
          <t>JBT</t>
        </is>
      </c>
      <c r="C2122" t="inlineStr">
        <is>
          <t>JOHN BEAN TECHNOLOGIES CORP</t>
        </is>
      </c>
      <c r="D2122" t="n">
        <v>3550</v>
      </c>
    </row>
    <row r="2123">
      <c r="A2123" t="inlineStr">
        <is>
          <t>JOHNSON &amp; JOHNSON</t>
        </is>
      </c>
      <c r="B2123" t="inlineStr">
        <is>
          <t>JNJ</t>
        </is>
      </c>
      <c r="C2123" t="inlineStr">
        <is>
          <t>JOHNSON &amp; JOHNSON</t>
        </is>
      </c>
      <c r="D2123" t="n">
        <v>2834</v>
      </c>
    </row>
    <row r="2124">
      <c r="A2124" t="inlineStr">
        <is>
          <t>JOHNSON CONTROLS INTERNATIONAL PLC</t>
        </is>
      </c>
      <c r="B2124" t="inlineStr">
        <is>
          <t>JCI</t>
        </is>
      </c>
      <c r="C2124" t="inlineStr">
        <is>
          <t>JOHNSON CONTROLS INTERNATIONAL PLC</t>
        </is>
      </c>
      <c r="D2124" t="n">
        <v>7380</v>
      </c>
    </row>
    <row r="2125">
      <c r="A2125" t="inlineStr">
        <is>
          <t>JOHNSON OUTDOORS INC</t>
        </is>
      </c>
      <c r="B2125" t="inlineStr">
        <is>
          <t>JOUT</t>
        </is>
      </c>
      <c r="C2125" t="inlineStr">
        <is>
          <t>JOHNSON OUTDOORS INC</t>
        </is>
      </c>
      <c r="D2125" t="n">
        <v>3949</v>
      </c>
    </row>
    <row r="2126">
      <c r="A2126" t="inlineStr">
        <is>
          <t>JOINT CORP</t>
        </is>
      </c>
      <c r="B2126" t="inlineStr">
        <is>
          <t>JYNT</t>
        </is>
      </c>
      <c r="C2126" t="inlineStr">
        <is>
          <t>JOINT CORP</t>
        </is>
      </c>
      <c r="D2126" t="n">
        <v>6794</v>
      </c>
    </row>
    <row r="2127">
      <c r="A2127" t="inlineStr">
        <is>
          <t>JONES LANG LASALLE INC</t>
        </is>
      </c>
      <c r="B2127" t="inlineStr">
        <is>
          <t>JLL</t>
        </is>
      </c>
      <c r="C2127" t="inlineStr">
        <is>
          <t>JONES LANG LASALLE INC</t>
        </is>
      </c>
      <c r="D2127" t="n">
        <v>6531</v>
      </c>
    </row>
    <row r="2128">
      <c r="A2128" t="inlineStr">
        <is>
          <t>JOURNEY MEDICAL CORP</t>
        </is>
      </c>
      <c r="B2128" t="inlineStr">
        <is>
          <t>DERM</t>
        </is>
      </c>
      <c r="C2128" t="inlineStr">
        <is>
          <t>JOURNEY MEDICAL CORP</t>
        </is>
      </c>
      <c r="D2128" t="n">
        <v>2834</v>
      </c>
    </row>
    <row r="2129">
      <c r="A2129" t="inlineStr">
        <is>
          <t>JOWELL GLOBAL LTD.</t>
        </is>
      </c>
      <c r="B2129" t="inlineStr">
        <is>
          <t>JWEL</t>
        </is>
      </c>
      <c r="C2129" t="inlineStr">
        <is>
          <t>JOWELL GLOBAL LTD.</t>
        </is>
      </c>
      <c r="D2129" t="n">
        <v>5960</v>
      </c>
    </row>
    <row r="2130">
      <c r="A2130" t="inlineStr">
        <is>
          <t>JOYY INC.</t>
        </is>
      </c>
      <c r="B2130" t="inlineStr">
        <is>
          <t>YY</t>
        </is>
      </c>
      <c r="C2130" t="inlineStr">
        <is>
          <t>JOYY INC.</t>
        </is>
      </c>
      <c r="D2130" t="n">
        <v>7374</v>
      </c>
    </row>
    <row r="2131">
      <c r="A2131" t="inlineStr">
        <is>
          <t>JPMORGAN CHASE &amp; CO</t>
        </is>
      </c>
      <c r="B2131" t="inlineStr">
        <is>
          <t>JPM</t>
        </is>
      </c>
      <c r="C2131" t="inlineStr">
        <is>
          <t>JPMORGAN CHASE &amp; CO</t>
        </is>
      </c>
      <c r="D2131" t="n">
        <v>6021</v>
      </c>
    </row>
    <row r="2132">
      <c r="A2132" t="inlineStr">
        <is>
          <t>JUNIATA VALLEY FINANCIAL CORP</t>
        </is>
      </c>
      <c r="B2132" t="inlineStr">
        <is>
          <t>JUVF</t>
        </is>
      </c>
      <c r="C2132" t="inlineStr">
        <is>
          <t>JUNIATA VALLEY FINANCIAL CORP</t>
        </is>
      </c>
      <c r="D2132" t="n">
        <v>6022</v>
      </c>
    </row>
    <row r="2133">
      <c r="A2133" t="inlineStr">
        <is>
          <t>JUNIPER NETWORKS INC</t>
        </is>
      </c>
      <c r="B2133" t="inlineStr">
        <is>
          <t>JNPR</t>
        </is>
      </c>
      <c r="C2133" t="inlineStr">
        <is>
          <t>JUNIPER NETWORKS INC</t>
        </is>
      </c>
      <c r="D2133" t="n">
        <v>3576</v>
      </c>
    </row>
    <row r="2134">
      <c r="A2134" t="inlineStr">
        <is>
          <t>KAANAPALI LAND LLC</t>
        </is>
      </c>
      <c r="B2134" t="inlineStr">
        <is>
          <t>KANP</t>
        </is>
      </c>
      <c r="C2134" t="inlineStr">
        <is>
          <t>KAANAPALI LAND LLC</t>
        </is>
      </c>
      <c r="D2134" t="n">
        <v>6552</v>
      </c>
    </row>
    <row r="2135">
      <c r="A2135" t="inlineStr">
        <is>
          <t>KADANT INC</t>
        </is>
      </c>
      <c r="B2135" t="inlineStr">
        <is>
          <t>KAI</t>
        </is>
      </c>
      <c r="C2135" t="inlineStr">
        <is>
          <t>KADANT INC</t>
        </is>
      </c>
      <c r="D2135" t="n">
        <v>3550</v>
      </c>
    </row>
    <row r="2136">
      <c r="A2136" t="inlineStr">
        <is>
          <t>KAISER ALUMINUM CORP</t>
        </is>
      </c>
      <c r="B2136" t="inlineStr">
        <is>
          <t>KALU</t>
        </is>
      </c>
      <c r="C2136" t="inlineStr">
        <is>
          <t>KAISER ALUMINUM CORP</t>
        </is>
      </c>
      <c r="D2136" t="n">
        <v>3350</v>
      </c>
    </row>
    <row r="2137">
      <c r="A2137" t="inlineStr">
        <is>
          <t>KAIXIN AUTO HOLDINGS</t>
        </is>
      </c>
      <c r="B2137" t="inlineStr">
        <is>
          <t>KXIN</t>
        </is>
      </c>
      <c r="C2137" t="inlineStr">
        <is>
          <t>KAIXIN AUTO HOLDINGS</t>
        </is>
      </c>
      <c r="D2137" t="n">
        <v>5500</v>
      </c>
    </row>
    <row r="2138">
      <c r="A2138" t="inlineStr">
        <is>
          <t>KALA PHARMACEUTICALS, INC.</t>
        </is>
      </c>
      <c r="B2138" t="inlineStr">
        <is>
          <t>KALA</t>
        </is>
      </c>
      <c r="C2138" t="inlineStr">
        <is>
          <t>KALA PHARMACEUTICALS, INC.</t>
        </is>
      </c>
      <c r="D2138" t="n">
        <v>2834</v>
      </c>
    </row>
    <row r="2139">
      <c r="A2139" t="inlineStr">
        <is>
          <t>KALEYRA, INC.</t>
        </is>
      </c>
      <c r="B2139" t="inlineStr">
        <is>
          <t>KLR</t>
        </is>
      </c>
      <c r="C2139" t="inlineStr">
        <is>
          <t>KALEYRA, INC.</t>
        </is>
      </c>
      <c r="D2139" t="n">
        <v>7374</v>
      </c>
    </row>
    <row r="2140">
      <c r="A2140" t="inlineStr">
        <is>
          <t>KALTURA INC</t>
        </is>
      </c>
      <c r="B2140" t="inlineStr">
        <is>
          <t>KLTR</t>
        </is>
      </c>
      <c r="C2140" t="inlineStr">
        <is>
          <t>KALTURA INC</t>
        </is>
      </c>
      <c r="D2140" t="n">
        <v>7372</v>
      </c>
    </row>
    <row r="2141">
      <c r="A2141" t="inlineStr">
        <is>
          <t>KALVISTA PHARMACEUTICALS, INC.</t>
        </is>
      </c>
      <c r="B2141" t="inlineStr">
        <is>
          <t>KALV</t>
        </is>
      </c>
      <c r="C2141" t="inlineStr">
        <is>
          <t>KALVISTA PHARMACEUTICALS, INC.</t>
        </is>
      </c>
      <c r="D2141" t="n">
        <v>2834</v>
      </c>
    </row>
    <row r="2142">
      <c r="A2142" t="inlineStr">
        <is>
          <t>KAMAN CORP</t>
        </is>
      </c>
      <c r="B2142" t="inlineStr">
        <is>
          <t>KAMN</t>
        </is>
      </c>
      <c r="C2142" t="inlineStr">
        <is>
          <t>KAMAN CORP</t>
        </is>
      </c>
      <c r="D2142" t="n">
        <v>3760</v>
      </c>
    </row>
    <row r="2143">
      <c r="A2143" t="inlineStr">
        <is>
          <t>KANDI TECHNOLOGIES GROUP, INC.</t>
        </is>
      </c>
      <c r="B2143" t="inlineStr">
        <is>
          <t>KNDI</t>
        </is>
      </c>
      <c r="C2143" t="inlineStr">
        <is>
          <t>KANDI TECHNOLOGIES GROUP, INC.</t>
        </is>
      </c>
      <c r="D2143" t="n">
        <v>3711</v>
      </c>
    </row>
    <row r="2144">
      <c r="A2144" t="inlineStr">
        <is>
          <t>KAR AUCTION SERVICES, INC.</t>
        </is>
      </c>
      <c r="B2144" t="inlineStr">
        <is>
          <t>KAR</t>
        </is>
      </c>
      <c r="C2144" t="inlineStr">
        <is>
          <t>KAR AUCTION SERVICES, INC.</t>
        </is>
      </c>
      <c r="D2144" t="n">
        <v>5500</v>
      </c>
    </row>
    <row r="2145">
      <c r="A2145" t="inlineStr">
        <is>
          <t>KARAT PACKAGING INC.</t>
        </is>
      </c>
      <c r="B2145" t="inlineStr">
        <is>
          <t>KRT</t>
        </is>
      </c>
      <c r="C2145" t="inlineStr">
        <is>
          <t>KARAT PACKAGING INC.</t>
        </is>
      </c>
      <c r="D2145" t="n">
        <v>3089</v>
      </c>
    </row>
    <row r="2146">
      <c r="A2146" t="inlineStr">
        <is>
          <t>KARYOPHARM THERAPEUTICS INC.</t>
        </is>
      </c>
      <c r="B2146" t="inlineStr">
        <is>
          <t>KPTI</t>
        </is>
      </c>
      <c r="C2146" t="inlineStr">
        <is>
          <t>KARYOPHARM THERAPEUTICS INC.</t>
        </is>
      </c>
      <c r="D2146" t="n">
        <v>2834</v>
      </c>
    </row>
    <row r="2147">
      <c r="A2147" t="inlineStr">
        <is>
          <t>KATAPULT HOLDINGS, INC.</t>
        </is>
      </c>
      <c r="B2147" t="inlineStr">
        <is>
          <t>KPLT</t>
        </is>
      </c>
      <c r="C2147" t="inlineStr">
        <is>
          <t>KATAPULT HOLDINGS, INC.</t>
        </is>
      </c>
      <c r="D2147" t="n">
        <v>7359</v>
      </c>
    </row>
    <row r="2148">
      <c r="A2148" t="inlineStr">
        <is>
          <t>KB HOME</t>
        </is>
      </c>
      <c r="B2148" t="inlineStr">
        <is>
          <t>KBH</t>
        </is>
      </c>
      <c r="C2148" t="inlineStr">
        <is>
          <t>KB HOME</t>
        </is>
      </c>
      <c r="D2148" t="n">
        <v>1531</v>
      </c>
    </row>
    <row r="2149">
      <c r="A2149" t="inlineStr">
        <is>
          <t>KBR, INC.</t>
        </is>
      </c>
      <c r="B2149" t="inlineStr">
        <is>
          <t>KBR</t>
        </is>
      </c>
      <c r="C2149" t="inlineStr">
        <is>
          <t>KBR, INC.</t>
        </is>
      </c>
      <c r="D2149" t="n">
        <v>1600</v>
      </c>
    </row>
    <row r="2150">
      <c r="A2150" t="inlineStr">
        <is>
          <t>KBS REAL ESTATE INVESTMENT TRUST III, INC.</t>
        </is>
      </c>
      <c r="B2150" t="inlineStr">
        <is>
          <t>KBSR</t>
        </is>
      </c>
      <c r="C2150" t="inlineStr">
        <is>
          <t>KBS REAL ESTATE INVESTMENT TRUST III, INC.</t>
        </is>
      </c>
      <c r="D2150" t="n">
        <v>6798</v>
      </c>
    </row>
    <row r="2151">
      <c r="A2151" t="inlineStr">
        <is>
          <t>KEARNY FINANCIAL CORP.</t>
        </is>
      </c>
      <c r="B2151" t="inlineStr">
        <is>
          <t>KRNY</t>
        </is>
      </c>
      <c r="C2151" t="inlineStr">
        <is>
          <t>KEARNY FINANCIAL CORP.</t>
        </is>
      </c>
      <c r="D2151" t="n">
        <v>6035</v>
      </c>
    </row>
    <row r="2152">
      <c r="A2152" t="inlineStr">
        <is>
          <t>KELLOGG CO</t>
        </is>
      </c>
      <c r="B2152" t="inlineStr">
        <is>
          <t>K</t>
        </is>
      </c>
      <c r="C2152" t="inlineStr">
        <is>
          <t>KELLOGG CO</t>
        </is>
      </c>
      <c r="D2152" t="n">
        <v>2040</v>
      </c>
    </row>
    <row r="2153">
      <c r="A2153" t="inlineStr">
        <is>
          <t>KELLY SERVICES INC</t>
        </is>
      </c>
      <c r="B2153" t="inlineStr">
        <is>
          <t>KELYA</t>
        </is>
      </c>
      <c r="C2153" t="inlineStr">
        <is>
          <t>KELLY SERVICES INC</t>
        </is>
      </c>
      <c r="D2153" t="n">
        <v>7363</v>
      </c>
    </row>
    <row r="2154">
      <c r="A2154" t="inlineStr">
        <is>
          <t>KEMPER CORP</t>
        </is>
      </c>
      <c r="B2154" t="inlineStr">
        <is>
          <t>KMPR</t>
        </is>
      </c>
      <c r="C2154" t="inlineStr">
        <is>
          <t>KEMPER CORP</t>
        </is>
      </c>
      <c r="D2154" t="n">
        <v>6331</v>
      </c>
    </row>
    <row r="2155">
      <c r="A2155" t="inlineStr">
        <is>
          <t>KEMPHARM, INC</t>
        </is>
      </c>
      <c r="B2155" t="inlineStr">
        <is>
          <t>KMPH</t>
        </is>
      </c>
      <c r="C2155" t="inlineStr">
        <is>
          <t>KEMPHARM, INC</t>
        </is>
      </c>
      <c r="D2155" t="n">
        <v>2834</v>
      </c>
    </row>
    <row r="2156">
      <c r="A2156" t="inlineStr">
        <is>
          <t>KENNAMETAL INC</t>
        </is>
      </c>
      <c r="B2156" t="inlineStr">
        <is>
          <t>KMT</t>
        </is>
      </c>
      <c r="C2156" t="inlineStr">
        <is>
          <t>KENNAMETAL INC</t>
        </is>
      </c>
      <c r="D2156" t="n">
        <v>3541</v>
      </c>
    </row>
    <row r="2157">
      <c r="A2157" t="inlineStr">
        <is>
          <t>KENNEDY-WILSON HOLDINGS, INC.</t>
        </is>
      </c>
      <c r="B2157" t="inlineStr">
        <is>
          <t>KW</t>
        </is>
      </c>
      <c r="C2157" t="inlineStr">
        <is>
          <t>KENNEDY-WILSON HOLDINGS, INC.</t>
        </is>
      </c>
      <c r="D2157" t="n">
        <v>6500</v>
      </c>
    </row>
    <row r="2158">
      <c r="A2158" t="inlineStr">
        <is>
          <t>KENTUCKY FIRST FEDERAL BANCORP</t>
        </is>
      </c>
      <c r="B2158" t="inlineStr">
        <is>
          <t>KFFB</t>
        </is>
      </c>
      <c r="C2158" t="inlineStr">
        <is>
          <t>KENTUCKY FIRST FEDERAL BANCORP</t>
        </is>
      </c>
      <c r="D2158" t="n">
        <v>6035</v>
      </c>
    </row>
    <row r="2159">
      <c r="A2159" t="inlineStr">
        <is>
          <t>KEURIG DR PEPPER INC.</t>
        </is>
      </c>
      <c r="B2159" t="inlineStr">
        <is>
          <t>KDP</t>
        </is>
      </c>
      <c r="C2159" t="inlineStr">
        <is>
          <t>KEURIG DR PEPPER INC.</t>
        </is>
      </c>
      <c r="D2159" t="n">
        <v>2080</v>
      </c>
    </row>
    <row r="2160">
      <c r="A2160" t="inlineStr">
        <is>
          <t>KEWAUNEE SCIENTIFIC CORP /DE/</t>
        </is>
      </c>
      <c r="B2160" t="inlineStr">
        <is>
          <t>KEQU</t>
        </is>
      </c>
      <c r="C2160" t="inlineStr">
        <is>
          <t>KEWAUNEE SCIENTIFIC CORP /DE/</t>
        </is>
      </c>
      <c r="D2160" t="n">
        <v>3821</v>
      </c>
    </row>
    <row r="2161">
      <c r="A2161" t="inlineStr">
        <is>
          <t>KEY TRONIC CORP</t>
        </is>
      </c>
      <c r="B2161" t="inlineStr">
        <is>
          <t>KTCC</t>
        </is>
      </c>
      <c r="C2161" t="inlineStr">
        <is>
          <t>KEY TRONIC CORP</t>
        </is>
      </c>
      <c r="D2161" t="n">
        <v>3672</v>
      </c>
    </row>
    <row r="2162">
      <c r="A2162" t="inlineStr">
        <is>
          <t>KEYCORP /NEW/</t>
        </is>
      </c>
      <c r="B2162" t="inlineStr">
        <is>
          <t>KEY</t>
        </is>
      </c>
      <c r="C2162" t="inlineStr">
        <is>
          <t>KEYCORP /NEW/</t>
        </is>
      </c>
      <c r="D2162" t="n">
        <v>6021</v>
      </c>
    </row>
    <row r="2163">
      <c r="A2163" t="inlineStr">
        <is>
          <t>KEYSIGHT TECHNOLOGIES, INC.</t>
        </is>
      </c>
      <c r="B2163" t="inlineStr">
        <is>
          <t>KEYS</t>
        </is>
      </c>
      <c r="C2163" t="inlineStr">
        <is>
          <t>KEYSIGHT TECHNOLOGIES, INC.</t>
        </is>
      </c>
      <c r="D2163" t="n">
        <v>3823</v>
      </c>
    </row>
    <row r="2164">
      <c r="A2164" t="inlineStr">
        <is>
          <t>KFORCE INC</t>
        </is>
      </c>
      <c r="B2164" t="inlineStr">
        <is>
          <t>KFRC</t>
        </is>
      </c>
      <c r="C2164" t="inlineStr">
        <is>
          <t>KFORCE INC</t>
        </is>
      </c>
      <c r="D2164" t="n">
        <v>7363</v>
      </c>
    </row>
    <row r="2165">
      <c r="A2165" t="inlineStr">
        <is>
          <t>KIDOZ INC.</t>
        </is>
      </c>
      <c r="B2165" t="inlineStr">
        <is>
          <t>KDOZF</t>
        </is>
      </c>
      <c r="C2165" t="inlineStr">
        <is>
          <t>KIDOZ INC.</t>
        </is>
      </c>
      <c r="D2165" t="n">
        <v>7900</v>
      </c>
    </row>
    <row r="2166">
      <c r="A2166" t="inlineStr">
        <is>
          <t>KILROY REALTY CORP</t>
        </is>
      </c>
      <c r="B2166" t="inlineStr">
        <is>
          <t>KRC</t>
        </is>
      </c>
      <c r="C2166" t="inlineStr">
        <is>
          <t>KILROY REALTY CORP</t>
        </is>
      </c>
      <c r="D2166" t="n">
        <v>6798</v>
      </c>
    </row>
    <row r="2167">
      <c r="A2167" t="inlineStr">
        <is>
          <t>KIMBALL ELECTRONICS, INC.</t>
        </is>
      </c>
      <c r="B2167" t="inlineStr">
        <is>
          <t>KE</t>
        </is>
      </c>
      <c r="C2167" t="inlineStr">
        <is>
          <t>KIMBALL ELECTRONICS, INC.</t>
        </is>
      </c>
      <c r="D2167" t="n">
        <v>3672</v>
      </c>
    </row>
    <row r="2168">
      <c r="A2168" t="inlineStr">
        <is>
          <t>KIMBALL INTERNATIONAL INC</t>
        </is>
      </c>
      <c r="B2168" t="inlineStr">
        <is>
          <t>KBAL</t>
        </is>
      </c>
      <c r="C2168" t="inlineStr">
        <is>
          <t>KIMBALL INTERNATIONAL INC</t>
        </is>
      </c>
      <c r="D2168" t="n">
        <v>2510</v>
      </c>
    </row>
    <row r="2169">
      <c r="A2169" t="inlineStr">
        <is>
          <t>KIMBELL ROYALTY PARTNERS, LP</t>
        </is>
      </c>
      <c r="B2169" t="inlineStr">
        <is>
          <t>KRP</t>
        </is>
      </c>
      <c r="C2169" t="inlineStr">
        <is>
          <t>KIMBELL ROYALTY PARTNERS, LP</t>
        </is>
      </c>
      <c r="D2169" t="n">
        <v>1311</v>
      </c>
    </row>
    <row r="2170">
      <c r="A2170" t="inlineStr">
        <is>
          <t>KIMBERLY CLARK CORP</t>
        </is>
      </c>
      <c r="B2170" t="inlineStr">
        <is>
          <t>KMB</t>
        </is>
      </c>
      <c r="C2170" t="inlineStr">
        <is>
          <t>KIMBERLY CLARK CORP</t>
        </is>
      </c>
      <c r="D2170" t="n">
        <v>2670</v>
      </c>
    </row>
    <row r="2171">
      <c r="A2171" t="inlineStr">
        <is>
          <t>KIMCO REALTY CORP</t>
        </is>
      </c>
      <c r="B2171" t="inlineStr">
        <is>
          <t>KIM</t>
        </is>
      </c>
      <c r="C2171" t="inlineStr">
        <is>
          <t>KIMCO REALTY CORP</t>
        </is>
      </c>
      <c r="D2171" t="n">
        <v>6798</v>
      </c>
    </row>
    <row r="2172">
      <c r="A2172" t="inlineStr">
        <is>
          <t>KINDER MORGAN, INC.</t>
        </is>
      </c>
      <c r="B2172" t="inlineStr">
        <is>
          <t>KMI</t>
        </is>
      </c>
      <c r="C2172" t="inlineStr">
        <is>
          <t>KINDER MORGAN, INC.</t>
        </is>
      </c>
      <c r="D2172" t="n">
        <v>4922</v>
      </c>
    </row>
    <row r="2173">
      <c r="A2173" t="inlineStr">
        <is>
          <t>KINGSOFT CLOUD HOLDINGS LTD</t>
        </is>
      </c>
      <c r="B2173" t="inlineStr">
        <is>
          <t>KC</t>
        </is>
      </c>
      <c r="C2173" t="inlineStr">
        <is>
          <t>KINGSOFT CLOUD HOLDINGS LTD</t>
        </is>
      </c>
      <c r="D2173" t="n">
        <v>7372</v>
      </c>
    </row>
    <row r="2174">
      <c r="A2174" t="inlineStr">
        <is>
          <t>KINGSTONE COMPANIES, INC.</t>
        </is>
      </c>
      <c r="B2174" t="inlineStr">
        <is>
          <t>KINS</t>
        </is>
      </c>
      <c r="C2174" t="inlineStr">
        <is>
          <t>KINGSTONE COMPANIES, INC.</t>
        </is>
      </c>
      <c r="D2174" t="n">
        <v>6331</v>
      </c>
    </row>
    <row r="2175">
      <c r="A2175" t="inlineStr">
        <is>
          <t>KINGSWAY FINANCIAL SERVICES INC</t>
        </is>
      </c>
      <c r="B2175" t="inlineStr">
        <is>
          <t>KFS</t>
        </is>
      </c>
      <c r="C2175" t="inlineStr">
        <is>
          <t>KINGSWAY FINANCIAL SERVICES INC</t>
        </is>
      </c>
      <c r="D2175" t="n">
        <v>6331</v>
      </c>
    </row>
    <row r="2176">
      <c r="A2176" t="inlineStr">
        <is>
          <t>KINSALE CAPITAL GROUP, INC.</t>
        </is>
      </c>
      <c r="B2176" t="inlineStr">
        <is>
          <t>KNSL</t>
        </is>
      </c>
      <c r="C2176" t="inlineStr">
        <is>
          <t>KINSALE CAPITAL GROUP, INC.</t>
        </is>
      </c>
      <c r="D2176" t="n">
        <v>6331</v>
      </c>
    </row>
    <row r="2177">
      <c r="A2177" t="inlineStr">
        <is>
          <t>KIRBY CORP</t>
        </is>
      </c>
      <c r="B2177" t="inlineStr">
        <is>
          <t>KEX</t>
        </is>
      </c>
      <c r="C2177" t="inlineStr">
        <is>
          <t>KIRBY CORP</t>
        </is>
      </c>
      <c r="D2177" t="n">
        <v>4400</v>
      </c>
    </row>
    <row r="2178">
      <c r="A2178" t="inlineStr">
        <is>
          <t>KIRKLAND'S, INC</t>
        </is>
      </c>
      <c r="B2178" t="inlineStr">
        <is>
          <t>KIRK</t>
        </is>
      </c>
      <c r="C2178" t="inlineStr">
        <is>
          <t>KIRKLAND'S, INC</t>
        </is>
      </c>
      <c r="D2178" t="n">
        <v>5990</v>
      </c>
    </row>
    <row r="2179">
      <c r="A2179" t="inlineStr">
        <is>
          <t>KITE REALTY GROUP TRUST</t>
        </is>
      </c>
      <c r="B2179" t="inlineStr">
        <is>
          <t>KRG</t>
        </is>
      </c>
      <c r="C2179" t="inlineStr">
        <is>
          <t>KITE REALTY GROUP TRUST</t>
        </is>
      </c>
      <c r="D2179" t="n">
        <v>6798</v>
      </c>
    </row>
    <row r="2180">
      <c r="A2180" t="inlineStr">
        <is>
          <t>KKR &amp; CO. INC.</t>
        </is>
      </c>
      <c r="B2180" t="inlineStr">
        <is>
          <t>KKR</t>
        </is>
      </c>
      <c r="C2180" t="inlineStr">
        <is>
          <t>KKR &amp; CO. INC.</t>
        </is>
      </c>
      <c r="D2180" t="n">
        <v>6282</v>
      </c>
    </row>
    <row r="2181">
      <c r="A2181" t="inlineStr">
        <is>
          <t>KKR REAL ESTATE FINANCE TRUST INC.</t>
        </is>
      </c>
      <c r="B2181" t="inlineStr">
        <is>
          <t>KREF</t>
        </is>
      </c>
      <c r="C2181" t="inlineStr">
        <is>
          <t>KKR REAL ESTATE FINANCE TRUST INC.</t>
        </is>
      </c>
      <c r="D2181" t="n">
        <v>6798</v>
      </c>
    </row>
    <row r="2182">
      <c r="A2182" t="inlineStr">
        <is>
          <t>KLA CORP</t>
        </is>
      </c>
      <c r="B2182" t="inlineStr">
        <is>
          <t>KLAC</t>
        </is>
      </c>
      <c r="C2182" t="inlineStr">
        <is>
          <t>KLA CORP</t>
        </is>
      </c>
      <c r="D2182" t="n">
        <v>3827</v>
      </c>
    </row>
    <row r="2183">
      <c r="A2183" t="inlineStr">
        <is>
          <t>KLDISCOVERY INC.</t>
        </is>
      </c>
      <c r="B2183" t="inlineStr">
        <is>
          <t>KLDI</t>
        </is>
      </c>
      <c r="C2183" t="inlineStr">
        <is>
          <t>KLDISCOVERY INC.</t>
        </is>
      </c>
      <c r="D2183" t="n">
        <v>7370</v>
      </c>
    </row>
    <row r="2184">
      <c r="A2184" t="inlineStr">
        <is>
          <t>KLX ENERGY SERVICES HOLDINGS, INC.</t>
        </is>
      </c>
      <c r="B2184" t="inlineStr">
        <is>
          <t>KLXE</t>
        </is>
      </c>
      <c r="C2184" t="inlineStr">
        <is>
          <t>KLX ENERGY SERVICES HOLDINGS, INC.</t>
        </is>
      </c>
      <c r="D2184" t="n">
        <v>1389</v>
      </c>
    </row>
    <row r="2185">
      <c r="A2185" t="inlineStr">
        <is>
          <t>KNIGHT-SWIFT TRANSPORTATION HOLDINGS INC.</t>
        </is>
      </c>
      <c r="B2185" t="inlineStr">
        <is>
          <t>KNX</t>
        </is>
      </c>
      <c r="C2185" t="inlineStr">
        <is>
          <t>KNIGHT-SWIFT TRANSPORTATION HOLDINGS INC.</t>
        </is>
      </c>
      <c r="D2185" t="n">
        <v>4213</v>
      </c>
    </row>
    <row r="2186">
      <c r="A2186" t="inlineStr">
        <is>
          <t>KNOT OFFSHORE PARTNERS LP</t>
        </is>
      </c>
      <c r="B2186" t="inlineStr">
        <is>
          <t>KNOP</t>
        </is>
      </c>
      <c r="C2186" t="inlineStr">
        <is>
          <t>KNOT OFFSHORE PARTNERS LP</t>
        </is>
      </c>
      <c r="D2186" t="n">
        <v>4400</v>
      </c>
    </row>
    <row r="2187">
      <c r="A2187" t="inlineStr">
        <is>
          <t>KNOWBE4, INC.</t>
        </is>
      </c>
      <c r="B2187" t="inlineStr">
        <is>
          <t>KNBE</t>
        </is>
      </c>
      <c r="C2187" t="inlineStr">
        <is>
          <t>KNOWBE4, INC.</t>
        </is>
      </c>
      <c r="D2187" t="n">
        <v>7370</v>
      </c>
    </row>
    <row r="2188">
      <c r="A2188" t="inlineStr">
        <is>
          <t>KNOWLES CORP</t>
        </is>
      </c>
      <c r="B2188" t="inlineStr">
        <is>
          <t>KN</t>
        </is>
      </c>
      <c r="C2188" t="inlineStr">
        <is>
          <t>KNOWLES CORP</t>
        </is>
      </c>
      <c r="D2188" t="n">
        <v>3651</v>
      </c>
    </row>
    <row r="2189">
      <c r="A2189" t="inlineStr">
        <is>
          <t>KOHLS CORP</t>
        </is>
      </c>
      <c r="B2189" t="inlineStr">
        <is>
          <t>KSS</t>
        </is>
      </c>
      <c r="C2189" t="inlineStr">
        <is>
          <t>KOHLS CORP</t>
        </is>
      </c>
      <c r="D2189" t="n">
        <v>5311</v>
      </c>
    </row>
    <row r="2190">
      <c r="A2190" t="inlineStr">
        <is>
          <t>KONTOOR BRANDS, INC.</t>
        </is>
      </c>
      <c r="B2190" t="inlineStr">
        <is>
          <t>KTB</t>
        </is>
      </c>
      <c r="C2190" t="inlineStr">
        <is>
          <t>KONTOOR BRANDS, INC.</t>
        </is>
      </c>
      <c r="D2190" t="n">
        <v>2320</v>
      </c>
    </row>
    <row r="2191">
      <c r="A2191" t="inlineStr">
        <is>
          <t>KOPIN CORP</t>
        </is>
      </c>
      <c r="B2191" t="inlineStr">
        <is>
          <t>KOPN</t>
        </is>
      </c>
      <c r="C2191" t="inlineStr">
        <is>
          <t>KOPIN CORP</t>
        </is>
      </c>
      <c r="D2191" t="n">
        <v>3674</v>
      </c>
    </row>
    <row r="2192">
      <c r="A2192" t="inlineStr">
        <is>
          <t>KOPPERS HOLDINGS INC.</t>
        </is>
      </c>
      <c r="B2192" t="inlineStr">
        <is>
          <t>KOP</t>
        </is>
      </c>
      <c r="C2192" t="inlineStr">
        <is>
          <t>KOPPERS HOLDINGS INC.</t>
        </is>
      </c>
      <c r="D2192" t="n">
        <v>2400</v>
      </c>
    </row>
    <row r="2193">
      <c r="A2193" t="inlineStr">
        <is>
          <t>KORE GROUP HOLDINGS, INC.</t>
        </is>
      </c>
      <c r="B2193" t="inlineStr">
        <is>
          <t>KORE</t>
        </is>
      </c>
      <c r="C2193" t="inlineStr">
        <is>
          <t>KORE GROUP HOLDINGS, INC.</t>
        </is>
      </c>
      <c r="D2193" t="n">
        <v>4813</v>
      </c>
    </row>
    <row r="2194">
      <c r="A2194" t="inlineStr">
        <is>
          <t>KORN FERRY</t>
        </is>
      </c>
      <c r="B2194" t="inlineStr">
        <is>
          <t>KFY</t>
        </is>
      </c>
      <c r="C2194" t="inlineStr">
        <is>
          <t>KORN FERRY</t>
        </is>
      </c>
      <c r="D2194" t="n">
        <v>7361</v>
      </c>
    </row>
    <row r="2195">
      <c r="A2195" t="inlineStr">
        <is>
          <t>KORNIT DIGITAL LTD.</t>
        </is>
      </c>
      <c r="B2195" t="inlineStr">
        <is>
          <t>KRNT</t>
        </is>
      </c>
      <c r="C2195" t="inlineStr">
        <is>
          <t>KORNIT DIGITAL LTD.</t>
        </is>
      </c>
      <c r="D2195" t="n">
        <v>3555</v>
      </c>
    </row>
    <row r="2196">
      <c r="A2196" t="inlineStr">
        <is>
          <t>KOSMOS ENERGY LTD.</t>
        </is>
      </c>
      <c r="B2196" t="inlineStr">
        <is>
          <t>KOS</t>
        </is>
      </c>
      <c r="C2196" t="inlineStr">
        <is>
          <t>KOSMOS ENERGY LTD.</t>
        </is>
      </c>
      <c r="D2196" t="n">
        <v>1311</v>
      </c>
    </row>
    <row r="2197">
      <c r="A2197" t="inlineStr">
        <is>
          <t>KOSS CORP</t>
        </is>
      </c>
      <c r="B2197" t="inlineStr">
        <is>
          <t>KOSS</t>
        </is>
      </c>
      <c r="C2197" t="inlineStr">
        <is>
          <t>KOSS CORP</t>
        </is>
      </c>
      <c r="D2197" t="n">
        <v>3651</v>
      </c>
    </row>
    <row r="2198">
      <c r="A2198" t="inlineStr">
        <is>
          <t>KRAFT HEINZ CO</t>
        </is>
      </c>
      <c r="B2198" t="inlineStr">
        <is>
          <t>KHC</t>
        </is>
      </c>
      <c r="C2198" t="inlineStr">
        <is>
          <t>KRAFT HEINZ CO</t>
        </is>
      </c>
      <c r="D2198" t="n">
        <v>2030</v>
      </c>
    </row>
    <row r="2199">
      <c r="A2199" t="inlineStr">
        <is>
          <t>KRATOS DEFENSE &amp; SECURITY SOLUTIONS, INC.</t>
        </is>
      </c>
      <c r="B2199" t="inlineStr">
        <is>
          <t>KTOS</t>
        </is>
      </c>
      <c r="C2199" t="inlineStr">
        <is>
          <t>KRATOS DEFENSE &amp; SECURITY SOLUTIONS, INC.</t>
        </is>
      </c>
      <c r="D2199" t="n">
        <v>3760</v>
      </c>
    </row>
    <row r="2200">
      <c r="A2200" t="inlineStr">
        <is>
          <t>KRISPY KREME, INC.</t>
        </is>
      </c>
      <c r="B2200" t="inlineStr">
        <is>
          <t>DNUT</t>
        </is>
      </c>
      <c r="C2200" t="inlineStr">
        <is>
          <t>KRISPY KREME, INC.</t>
        </is>
      </c>
      <c r="D2200" t="n">
        <v>5400</v>
      </c>
    </row>
    <row r="2201">
      <c r="A2201" t="inlineStr">
        <is>
          <t>KROGER CO</t>
        </is>
      </c>
      <c r="B2201" t="inlineStr">
        <is>
          <t>KR</t>
        </is>
      </c>
      <c r="C2201" t="inlineStr">
        <is>
          <t>KROGER CO</t>
        </is>
      </c>
      <c r="D2201" t="n">
        <v>5411</v>
      </c>
    </row>
    <row r="2202">
      <c r="A2202" t="inlineStr">
        <is>
          <t>KRONOS WORLDWIDE INC</t>
        </is>
      </c>
      <c r="B2202" t="inlineStr">
        <is>
          <t>KRO</t>
        </is>
      </c>
      <c r="C2202" t="inlineStr">
        <is>
          <t>KRONOS WORLDWIDE INC</t>
        </is>
      </c>
      <c r="D2202" t="n">
        <v>2810</v>
      </c>
    </row>
    <row r="2203">
      <c r="A2203" t="inlineStr">
        <is>
          <t>KULICKE &amp; SOFFA INDUSTRIES INC</t>
        </is>
      </c>
      <c r="B2203" t="inlineStr">
        <is>
          <t>KLIC</t>
        </is>
      </c>
      <c r="C2203" t="inlineStr">
        <is>
          <t>KULICKE &amp; SOFFA INDUSTRIES INC</t>
        </is>
      </c>
      <c r="D2203" t="n">
        <v>3674</v>
      </c>
    </row>
    <row r="2204">
      <c r="A2204" t="inlineStr">
        <is>
          <t>KURA SUSHI USA, INC.</t>
        </is>
      </c>
      <c r="B2204" t="inlineStr">
        <is>
          <t>KRUS</t>
        </is>
      </c>
      <c r="C2204" t="inlineStr">
        <is>
          <t>KURA SUSHI USA, INC.</t>
        </is>
      </c>
      <c r="D2204" t="n">
        <v>5812</v>
      </c>
    </row>
    <row r="2205">
      <c r="A2205" t="inlineStr">
        <is>
          <t>KVH INDUSTRIES INC DE</t>
        </is>
      </c>
      <c r="B2205" t="inlineStr">
        <is>
          <t>KVHI</t>
        </is>
      </c>
      <c r="C2205" t="inlineStr">
        <is>
          <t>KVH INDUSTRIES INC DE</t>
        </is>
      </c>
      <c r="D2205" t="n">
        <v>3663</v>
      </c>
    </row>
    <row r="2206">
      <c r="A2206" t="inlineStr">
        <is>
          <t>KYMERA THERAPEUTICS, INC.</t>
        </is>
      </c>
      <c r="B2206" t="inlineStr">
        <is>
          <t>KYMR</t>
        </is>
      </c>
      <c r="C2206" t="inlineStr">
        <is>
          <t>KYMERA THERAPEUTICS, INC.</t>
        </is>
      </c>
      <c r="D2206" t="n">
        <v>2836</v>
      </c>
    </row>
    <row r="2207">
      <c r="A2207" t="inlineStr">
        <is>
          <t>KYNDRYL HOLDINGS, INC.</t>
        </is>
      </c>
      <c r="B2207" t="inlineStr">
        <is>
          <t>KD</t>
        </is>
      </c>
      <c r="C2207" t="inlineStr">
        <is>
          <t>KYNDRYL HOLDINGS, INC.</t>
        </is>
      </c>
      <c r="D2207" t="n">
        <v>7373</v>
      </c>
    </row>
    <row r="2208">
      <c r="A2208" t="inlineStr">
        <is>
          <t>L3HARRIS TECHNOLOGIES, INC. /DE/</t>
        </is>
      </c>
      <c r="B2208" t="inlineStr">
        <is>
          <t>LHX</t>
        </is>
      </c>
      <c r="C2208" t="inlineStr">
        <is>
          <t>L3HARRIS TECHNOLOGIES, INC. /DE/</t>
        </is>
      </c>
      <c r="D2208" t="n">
        <v>3812</v>
      </c>
    </row>
    <row r="2209">
      <c r="A2209" t="inlineStr">
        <is>
          <t>LA JOLLA PHARMACEUTICAL CO</t>
        </is>
      </c>
      <c r="B2209" t="inlineStr">
        <is>
          <t>LJPC</t>
        </is>
      </c>
      <c r="C2209" t="inlineStr">
        <is>
          <t>LA JOLLA PHARMACEUTICAL CO</t>
        </is>
      </c>
      <c r="D2209" t="n">
        <v>2836</v>
      </c>
    </row>
    <row r="2210">
      <c r="A2210" t="inlineStr">
        <is>
          <t>LA-Z-BOY INC</t>
        </is>
      </c>
      <c r="B2210" t="inlineStr">
        <is>
          <t>LZB</t>
        </is>
      </c>
      <c r="C2210" t="inlineStr">
        <is>
          <t>LA-Z-BOY INC</t>
        </is>
      </c>
      <c r="D2210" t="n">
        <v>2510</v>
      </c>
    </row>
    <row r="2211">
      <c r="A2211" t="inlineStr">
        <is>
          <t>LABORATORY CORP OF AMERICA HOLDINGS</t>
        </is>
      </c>
      <c r="B2211" t="inlineStr">
        <is>
          <t>LH</t>
        </is>
      </c>
      <c r="C2211" t="inlineStr">
        <is>
          <t>LABORATORY CORP OF AMERICA HOLDINGS</t>
        </is>
      </c>
      <c r="D2211" t="n">
        <v>8071</v>
      </c>
    </row>
    <row r="2212">
      <c r="A2212" t="inlineStr">
        <is>
          <t>LADDER CAPITAL CORP</t>
        </is>
      </c>
      <c r="B2212" t="inlineStr">
        <is>
          <t>LADR</t>
        </is>
      </c>
      <c r="C2212" t="inlineStr">
        <is>
          <t>LADDER CAPITAL CORP</t>
        </is>
      </c>
      <c r="D2212" t="n">
        <v>6798</v>
      </c>
    </row>
    <row r="2213">
      <c r="A2213" t="inlineStr">
        <is>
          <t>LAIRD SUPERFOOD, INC.</t>
        </is>
      </c>
      <c r="B2213" t="inlineStr">
        <is>
          <t>LSF</t>
        </is>
      </c>
      <c r="C2213" t="inlineStr">
        <is>
          <t>LAIRD SUPERFOOD, INC.</t>
        </is>
      </c>
      <c r="D2213" t="n">
        <v>2000</v>
      </c>
    </row>
    <row r="2214">
      <c r="A2214" t="inlineStr">
        <is>
          <t>LAKE AREA CORN PROCESSORS LLC</t>
        </is>
      </c>
      <c r="B2214" t="inlineStr">
        <is>
          <t>LKCRU</t>
        </is>
      </c>
      <c r="C2214" t="inlineStr">
        <is>
          <t>LAKE AREA CORN PROCESSORS LLC</t>
        </is>
      </c>
      <c r="D2214" t="n">
        <v>2860</v>
      </c>
    </row>
    <row r="2215">
      <c r="A2215" t="inlineStr">
        <is>
          <t>LAKE SHORE BANCORP, INC.</t>
        </is>
      </c>
      <c r="B2215" t="inlineStr">
        <is>
          <t>LSBK</t>
        </is>
      </c>
      <c r="C2215" t="inlineStr">
        <is>
          <t>LAKE SHORE BANCORP, INC.</t>
        </is>
      </c>
      <c r="D2215" t="n">
        <v>6035</v>
      </c>
    </row>
    <row r="2216">
      <c r="A2216" t="inlineStr">
        <is>
          <t>LAKELAND BANCORP INC</t>
        </is>
      </c>
      <c r="B2216" t="inlineStr">
        <is>
          <t>LBAI</t>
        </is>
      </c>
      <c r="C2216" t="inlineStr">
        <is>
          <t>LAKELAND BANCORP INC</t>
        </is>
      </c>
      <c r="D2216" t="n">
        <v>6022</v>
      </c>
    </row>
    <row r="2217">
      <c r="A2217" t="inlineStr">
        <is>
          <t>LAKELAND FINANCIAL CORP</t>
        </is>
      </c>
      <c r="B2217" t="inlineStr">
        <is>
          <t>LKFN</t>
        </is>
      </c>
      <c r="C2217" t="inlineStr">
        <is>
          <t>LAKELAND FINANCIAL CORP</t>
        </is>
      </c>
      <c r="D2217" t="n">
        <v>6022</v>
      </c>
    </row>
    <row r="2218">
      <c r="A2218" t="inlineStr">
        <is>
          <t>LAKELAND INDUSTRIES INC</t>
        </is>
      </c>
      <c r="B2218" t="inlineStr">
        <is>
          <t>LAKE</t>
        </is>
      </c>
      <c r="C2218" t="inlineStr">
        <is>
          <t>LAKELAND INDUSTRIES INC</t>
        </is>
      </c>
      <c r="D2218" t="n">
        <v>3842</v>
      </c>
    </row>
    <row r="2219">
      <c r="A2219" t="inlineStr">
        <is>
          <t>LAM RESEARCH CORP</t>
        </is>
      </c>
      <c r="B2219" t="inlineStr">
        <is>
          <t>LRCX</t>
        </is>
      </c>
      <c r="C2219" t="inlineStr">
        <is>
          <t>LAM RESEARCH CORP</t>
        </is>
      </c>
      <c r="D2219" t="n">
        <v>3559</v>
      </c>
    </row>
    <row r="2220">
      <c r="A2220" t="inlineStr">
        <is>
          <t>LAMAR ADVERTISING CO/NEW</t>
        </is>
      </c>
      <c r="B2220" t="inlineStr">
        <is>
          <t>LAMR</t>
        </is>
      </c>
      <c r="C2220" t="inlineStr">
        <is>
          <t>LAMAR ADVERTISING CO/NEW</t>
        </is>
      </c>
      <c r="D2220" t="n">
        <v>6798</v>
      </c>
    </row>
    <row r="2221">
      <c r="A2221" t="inlineStr">
        <is>
          <t>LAMB WESTON HOLDINGS, INC.</t>
        </is>
      </c>
      <c r="B2221" t="inlineStr">
        <is>
          <t>LW</t>
        </is>
      </c>
      <c r="C2221" t="inlineStr">
        <is>
          <t>LAMB WESTON HOLDINGS, INC.</t>
        </is>
      </c>
      <c r="D2221" t="n">
        <v>2030</v>
      </c>
    </row>
    <row r="2222">
      <c r="A2222" t="inlineStr">
        <is>
          <t>LANCASTER COLONY CORP</t>
        </is>
      </c>
      <c r="B2222" t="inlineStr">
        <is>
          <t>LANC</t>
        </is>
      </c>
      <c r="C2222" t="inlineStr">
        <is>
          <t>LANCASTER COLONY CORP</t>
        </is>
      </c>
      <c r="D2222" t="n">
        <v>2030</v>
      </c>
    </row>
    <row r="2223">
      <c r="A2223" t="inlineStr">
        <is>
          <t>LANDEC CORP CA</t>
        </is>
      </c>
      <c r="B2223" t="inlineStr">
        <is>
          <t>LNDC</t>
        </is>
      </c>
      <c r="C2223" t="inlineStr">
        <is>
          <t>LANDEC CORP CA</t>
        </is>
      </c>
      <c r="D2223" t="n">
        <v>2033</v>
      </c>
    </row>
    <row r="2224">
      <c r="A2224" t="inlineStr">
        <is>
          <t>LANDMARK BANCORP INC</t>
        </is>
      </c>
      <c r="B2224" t="inlineStr">
        <is>
          <t>LARK</t>
        </is>
      </c>
      <c r="C2224" t="inlineStr">
        <is>
          <t>LANDMARK BANCORP INC</t>
        </is>
      </c>
      <c r="D2224" t="n">
        <v>6021</v>
      </c>
    </row>
    <row r="2225">
      <c r="A2225" t="inlineStr">
        <is>
          <t>LANDOS BIOPHARMA, INC.</t>
        </is>
      </c>
      <c r="B2225" t="inlineStr">
        <is>
          <t>LABP</t>
        </is>
      </c>
      <c r="C2225" t="inlineStr">
        <is>
          <t>LANDOS BIOPHARMA, INC.</t>
        </is>
      </c>
      <c r="D2225" t="n">
        <v>2834</v>
      </c>
    </row>
    <row r="2226">
      <c r="A2226" t="inlineStr">
        <is>
          <t>LANDS' END, INC.</t>
        </is>
      </c>
      <c r="B2226" t="inlineStr">
        <is>
          <t>LE</t>
        </is>
      </c>
      <c r="C2226" t="inlineStr">
        <is>
          <t>LANDS' END, INC.</t>
        </is>
      </c>
      <c r="D2226" t="n">
        <v>5651</v>
      </c>
    </row>
    <row r="2227">
      <c r="A2227" t="inlineStr">
        <is>
          <t>LANDSEA HOMES CORP</t>
        </is>
      </c>
      <c r="B2227" t="inlineStr">
        <is>
          <t>LSEA</t>
        </is>
      </c>
      <c r="C2227" t="inlineStr">
        <is>
          <t>LANDSEA HOMES CORP</t>
        </is>
      </c>
      <c r="D2227" t="n">
        <v>1531</v>
      </c>
    </row>
    <row r="2228">
      <c r="A2228" t="inlineStr">
        <is>
          <t>LANDSTAR SYSTEM INC</t>
        </is>
      </c>
      <c r="B2228" t="inlineStr">
        <is>
          <t>LSTR</t>
        </is>
      </c>
      <c r="C2228" t="inlineStr">
        <is>
          <t>LANDSTAR SYSTEM INC</t>
        </is>
      </c>
      <c r="D2228" t="n">
        <v>4213</v>
      </c>
    </row>
    <row r="2229">
      <c r="A2229" t="inlineStr">
        <is>
          <t>LANNETT CO INC</t>
        </is>
      </c>
      <c r="B2229" t="inlineStr">
        <is>
          <t>LCI</t>
        </is>
      </c>
      <c r="C2229" t="inlineStr">
        <is>
          <t>LANNETT CO INC</t>
        </is>
      </c>
      <c r="D2229" t="n">
        <v>2834</v>
      </c>
    </row>
    <row r="2230">
      <c r="A2230" t="inlineStr">
        <is>
          <t>LANTHEUS HOLDINGS, INC.</t>
        </is>
      </c>
      <c r="B2230" t="inlineStr">
        <is>
          <t>LNTH</t>
        </is>
      </c>
      <c r="C2230" t="inlineStr">
        <is>
          <t>LANTHEUS HOLDINGS, INC.</t>
        </is>
      </c>
      <c r="D2230" t="n">
        <v>2835</v>
      </c>
    </row>
    <row r="2231">
      <c r="A2231" t="inlineStr">
        <is>
          <t>LANTRONIX INC</t>
        </is>
      </c>
      <c r="B2231" t="inlineStr">
        <is>
          <t>LTRX</t>
        </is>
      </c>
      <c r="C2231" t="inlineStr">
        <is>
          <t>LANTRONIX INC</t>
        </is>
      </c>
      <c r="D2231" t="n">
        <v>3576</v>
      </c>
    </row>
    <row r="2232">
      <c r="A2232" t="inlineStr">
        <is>
          <t>LAREDO PETROLEUM, INC.</t>
        </is>
      </c>
      <c r="B2232" t="inlineStr">
        <is>
          <t>LPI</t>
        </is>
      </c>
      <c r="C2232" t="inlineStr">
        <is>
          <t>LAREDO PETROLEUM, INC.</t>
        </is>
      </c>
      <c r="D2232" t="n">
        <v>1311</v>
      </c>
    </row>
    <row r="2233">
      <c r="A2233" t="inlineStr">
        <is>
          <t>LAS VEGAS SANDS CORP</t>
        </is>
      </c>
      <c r="B2233" t="inlineStr">
        <is>
          <t>LVS</t>
        </is>
      </c>
      <c r="C2233" t="inlineStr">
        <is>
          <t>LAS VEGAS SANDS CORP</t>
        </is>
      </c>
      <c r="D2233" t="n">
        <v>7011</v>
      </c>
    </row>
    <row r="2234">
      <c r="A2234" t="inlineStr">
        <is>
          <t>LATCH, INC.</t>
        </is>
      </c>
      <c r="B2234" t="inlineStr">
        <is>
          <t>LTCH</t>
        </is>
      </c>
      <c r="C2234" t="inlineStr">
        <is>
          <t>LATCH, INC.</t>
        </is>
      </c>
      <c r="D2234" t="n">
        <v>5072</v>
      </c>
    </row>
    <row r="2235">
      <c r="A2235" t="inlineStr">
        <is>
          <t>LATHAM GROUP, INC.</t>
        </is>
      </c>
      <c r="B2235" t="inlineStr">
        <is>
          <t>SWIM</t>
        </is>
      </c>
      <c r="C2235" t="inlineStr">
        <is>
          <t>LATHAM GROUP, INC.</t>
        </is>
      </c>
      <c r="D2235" t="n">
        <v>3089</v>
      </c>
    </row>
    <row r="2236">
      <c r="A2236" t="inlineStr">
        <is>
          <t>LATTICE SEMICONDUCTOR CORP</t>
        </is>
      </c>
      <c r="B2236" t="inlineStr">
        <is>
          <t>LSCC</t>
        </is>
      </c>
      <c r="C2236" t="inlineStr">
        <is>
          <t>LATTICE SEMICONDUCTOR CORP</t>
        </is>
      </c>
      <c r="D2236" t="n">
        <v>3674</v>
      </c>
    </row>
    <row r="2237">
      <c r="A2237" t="inlineStr">
        <is>
          <t>LAUREATE EDUCATION, INC.</t>
        </is>
      </c>
      <c r="B2237" t="inlineStr">
        <is>
          <t>LAUR</t>
        </is>
      </c>
      <c r="C2237" t="inlineStr">
        <is>
          <t>LAUREATE EDUCATION, INC.</t>
        </is>
      </c>
      <c r="D2237" t="n">
        <v>8200</v>
      </c>
    </row>
    <row r="2238">
      <c r="A2238" t="inlineStr">
        <is>
          <t>LAZARD LTD</t>
        </is>
      </c>
      <c r="B2238" t="inlineStr">
        <is>
          <t>LAZ</t>
        </is>
      </c>
      <c r="C2238" t="inlineStr">
        <is>
          <t>LAZARD LTD</t>
        </is>
      </c>
      <c r="D2238" t="n">
        <v>6282</v>
      </c>
    </row>
    <row r="2239">
      <c r="A2239" t="inlineStr">
        <is>
          <t>LAZYDAYS HOLDINGS, INC.</t>
        </is>
      </c>
      <c r="B2239" t="inlineStr">
        <is>
          <t>LAZY</t>
        </is>
      </c>
      <c r="C2239" t="inlineStr">
        <is>
          <t>LAZYDAYS HOLDINGS, INC.</t>
        </is>
      </c>
      <c r="D2239" t="n">
        <v>5500</v>
      </c>
    </row>
    <row r="2240">
      <c r="A2240" t="inlineStr">
        <is>
          <t>LCI INDUSTRIES</t>
        </is>
      </c>
      <c r="B2240" t="inlineStr">
        <is>
          <t>LCII</t>
        </is>
      </c>
      <c r="C2240" t="inlineStr">
        <is>
          <t>LCI INDUSTRIES</t>
        </is>
      </c>
      <c r="D2240" t="n">
        <v>3714</v>
      </c>
    </row>
    <row r="2241">
      <c r="A2241" t="inlineStr">
        <is>
          <t>LCNB CORP</t>
        </is>
      </c>
      <c r="B2241" t="inlineStr">
        <is>
          <t>LCNB</t>
        </is>
      </c>
      <c r="C2241" t="inlineStr">
        <is>
          <t>LCNB CORP</t>
        </is>
      </c>
      <c r="D2241" t="n">
        <v>6021</v>
      </c>
    </row>
    <row r="2242">
      <c r="A2242" t="inlineStr">
        <is>
          <t>LEAP THERAPEUTICS, INC.</t>
        </is>
      </c>
      <c r="B2242" t="inlineStr">
        <is>
          <t>LPTX</t>
        </is>
      </c>
      <c r="C2242" t="inlineStr">
        <is>
          <t>LEAP THERAPEUTICS, INC.</t>
        </is>
      </c>
      <c r="D2242" t="n">
        <v>2834</v>
      </c>
    </row>
    <row r="2243">
      <c r="A2243" t="inlineStr">
        <is>
          <t>LEAR CORP</t>
        </is>
      </c>
      <c r="B2243" t="inlineStr">
        <is>
          <t>LEA</t>
        </is>
      </c>
      <c r="C2243" t="inlineStr">
        <is>
          <t>LEAR CORP</t>
        </is>
      </c>
      <c r="D2243" t="n">
        <v>3714</v>
      </c>
    </row>
    <row r="2244">
      <c r="A2244" t="inlineStr">
        <is>
          <t>LEATT CORP</t>
        </is>
      </c>
      <c r="B2244" t="inlineStr">
        <is>
          <t>LEAT</t>
        </is>
      </c>
      <c r="C2244" t="inlineStr">
        <is>
          <t>LEATT CORP</t>
        </is>
      </c>
      <c r="D2244" t="n">
        <v>3751</v>
      </c>
    </row>
    <row r="2245">
      <c r="A2245" t="inlineStr">
        <is>
          <t>LEE ENTERPRISES, INC</t>
        </is>
      </c>
      <c r="B2245" t="inlineStr">
        <is>
          <t>LEE</t>
        </is>
      </c>
      <c r="C2245" t="inlineStr">
        <is>
          <t>LEE ENTERPRISES, INC</t>
        </is>
      </c>
      <c r="D2245" t="n">
        <v>2711</v>
      </c>
    </row>
    <row r="2246">
      <c r="A2246" t="inlineStr">
        <is>
          <t>LEGACY HOUSING CORP</t>
        </is>
      </c>
      <c r="B2246" t="inlineStr">
        <is>
          <t>LEGH</t>
        </is>
      </c>
      <c r="C2246" t="inlineStr">
        <is>
          <t>LEGACY HOUSING CORP</t>
        </is>
      </c>
      <c r="D2246" t="n">
        <v>2451</v>
      </c>
    </row>
    <row r="2247">
      <c r="A2247" t="inlineStr">
        <is>
          <t>LEGALZOOM.COM, INC.</t>
        </is>
      </c>
      <c r="B2247" t="inlineStr">
        <is>
          <t>LZ</t>
        </is>
      </c>
      <c r="C2247" t="inlineStr">
        <is>
          <t>LEGALZOOM.COM, INC.</t>
        </is>
      </c>
      <c r="D2247" t="n">
        <v>7374</v>
      </c>
    </row>
    <row r="2248">
      <c r="A2248" t="inlineStr">
        <is>
          <t>LEGGETT &amp; PLATT INC</t>
        </is>
      </c>
      <c r="B2248" t="inlineStr">
        <is>
          <t>LEG</t>
        </is>
      </c>
      <c r="C2248" t="inlineStr">
        <is>
          <t>LEGGETT &amp; PLATT INC</t>
        </is>
      </c>
      <c r="D2248" t="n">
        <v>2510</v>
      </c>
    </row>
    <row r="2249">
      <c r="A2249" t="inlineStr">
        <is>
          <t>LEIDOS HOLDINGS, INC.</t>
        </is>
      </c>
      <c r="B2249" t="inlineStr">
        <is>
          <t>LDOS</t>
        </is>
      </c>
      <c r="C2249" t="inlineStr">
        <is>
          <t>LEIDOS HOLDINGS, INC.</t>
        </is>
      </c>
      <c r="D2249" t="n">
        <v>7373</v>
      </c>
    </row>
    <row r="2250">
      <c r="A2250" t="inlineStr">
        <is>
          <t>LEJU HOLDINGS LTD</t>
        </is>
      </c>
      <c r="B2250" t="inlineStr">
        <is>
          <t>LEJU</t>
        </is>
      </c>
      <c r="C2250" t="inlineStr">
        <is>
          <t>LEJU HOLDINGS LTD</t>
        </is>
      </c>
      <c r="D2250" t="n">
        <v>6500</v>
      </c>
    </row>
    <row r="2251">
      <c r="A2251" t="inlineStr">
        <is>
          <t>LEMAITRE VASCULAR INC</t>
        </is>
      </c>
      <c r="B2251" t="inlineStr">
        <is>
          <t>LMAT</t>
        </is>
      </c>
      <c r="C2251" t="inlineStr">
        <is>
          <t>LEMAITRE VASCULAR INC</t>
        </is>
      </c>
      <c r="D2251" t="n">
        <v>3841</v>
      </c>
    </row>
    <row r="2252">
      <c r="A2252" t="inlineStr">
        <is>
          <t>LEMONADE, INC.</t>
        </is>
      </c>
      <c r="B2252" t="inlineStr">
        <is>
          <t>LMND</t>
        </is>
      </c>
      <c r="C2252" t="inlineStr">
        <is>
          <t>LEMONADE, INC.</t>
        </is>
      </c>
      <c r="D2252" t="n">
        <v>6331</v>
      </c>
    </row>
    <row r="2253">
      <c r="A2253" t="inlineStr">
        <is>
          <t>LENDINGCLUB CORP</t>
        </is>
      </c>
      <c r="B2253" t="inlineStr">
        <is>
          <t>LC</t>
        </is>
      </c>
      <c r="C2253" t="inlineStr">
        <is>
          <t>LENDINGCLUB CORP</t>
        </is>
      </c>
      <c r="D2253" t="n">
        <v>6141</v>
      </c>
    </row>
    <row r="2254">
      <c r="A2254" t="inlineStr">
        <is>
          <t>LENDINGTREE, INC.</t>
        </is>
      </c>
      <c r="B2254" t="inlineStr">
        <is>
          <t>TREE</t>
        </is>
      </c>
      <c r="C2254" t="inlineStr">
        <is>
          <t>LENDINGTREE, INC.</t>
        </is>
      </c>
      <c r="D2254" t="n">
        <v>6163</v>
      </c>
    </row>
    <row r="2255">
      <c r="A2255" t="inlineStr">
        <is>
          <t>LENNAR CORP /NEW/</t>
        </is>
      </c>
      <c r="B2255" t="inlineStr">
        <is>
          <t>LEN</t>
        </is>
      </c>
      <c r="C2255" t="inlineStr">
        <is>
          <t>LENNAR CORP /NEW/</t>
        </is>
      </c>
      <c r="D2255" t="n">
        <v>1520</v>
      </c>
    </row>
    <row r="2256">
      <c r="A2256" t="inlineStr">
        <is>
          <t>LENNOX INTERNATIONAL INC</t>
        </is>
      </c>
      <c r="B2256" t="inlineStr">
        <is>
          <t>LII</t>
        </is>
      </c>
      <c r="C2256" t="inlineStr">
        <is>
          <t>LENNOX INTERNATIONAL INC</t>
        </is>
      </c>
      <c r="D2256" t="n">
        <v>3585</v>
      </c>
    </row>
    <row r="2257">
      <c r="A2257" t="inlineStr">
        <is>
          <t>LENSAR, INC.</t>
        </is>
      </c>
      <c r="B2257" t="inlineStr">
        <is>
          <t>LNSR</t>
        </is>
      </c>
      <c r="C2257" t="inlineStr">
        <is>
          <t>LENSAR, INC.</t>
        </is>
      </c>
      <c r="D2257" t="n">
        <v>3841</v>
      </c>
    </row>
    <row r="2258">
      <c r="A2258" t="inlineStr">
        <is>
          <t>LESLIE'S, INC.</t>
        </is>
      </c>
      <c r="B2258" t="inlineStr">
        <is>
          <t>LESL</t>
        </is>
      </c>
      <c r="C2258" t="inlineStr">
        <is>
          <t>LESLIE'S, INC.</t>
        </is>
      </c>
      <c r="D2258" t="n">
        <v>5990</v>
      </c>
    </row>
    <row r="2259">
      <c r="A2259" t="inlineStr">
        <is>
          <t>LEVI STRAUSS &amp; CO</t>
        </is>
      </c>
      <c r="B2259" t="inlineStr">
        <is>
          <t>LEVI</t>
        </is>
      </c>
      <c r="C2259" t="inlineStr">
        <is>
          <t>LEVI STRAUSS &amp; CO</t>
        </is>
      </c>
      <c r="D2259" t="n">
        <v>2300</v>
      </c>
    </row>
    <row r="2260">
      <c r="A2260" t="inlineStr">
        <is>
          <t>LEXICON PHARMACEUTICALS, INC.</t>
        </is>
      </c>
      <c r="B2260" t="inlineStr">
        <is>
          <t>LXRX</t>
        </is>
      </c>
      <c r="C2260" t="inlineStr">
        <is>
          <t>LEXICON PHARMACEUTICALS, INC.</t>
        </is>
      </c>
      <c r="D2260" t="n">
        <v>2834</v>
      </c>
    </row>
    <row r="2261">
      <c r="A2261" t="inlineStr">
        <is>
          <t>LEXINFINTECH HOLDINGS LTD.</t>
        </is>
      </c>
      <c r="B2261" t="inlineStr">
        <is>
          <t>LX</t>
        </is>
      </c>
      <c r="C2261" t="inlineStr">
        <is>
          <t>LEXINFINTECH HOLDINGS LTD.</t>
        </is>
      </c>
      <c r="D2261" t="n">
        <v>6199</v>
      </c>
    </row>
    <row r="2262">
      <c r="A2262" t="inlineStr">
        <is>
          <t>LGI HOMES, INC.</t>
        </is>
      </c>
      <c r="B2262" t="inlineStr">
        <is>
          <t>LGIH</t>
        </is>
      </c>
      <c r="C2262" t="inlineStr">
        <is>
          <t>LGI HOMES, INC.</t>
        </is>
      </c>
      <c r="D2262" t="n">
        <v>1531</v>
      </c>
    </row>
    <row r="2263">
      <c r="A2263" t="inlineStr">
        <is>
          <t>LGL GROUP INC</t>
        </is>
      </c>
      <c r="B2263" t="inlineStr">
        <is>
          <t>LGL</t>
        </is>
      </c>
      <c r="C2263" t="inlineStr">
        <is>
          <t>LGL GROUP INC</t>
        </is>
      </c>
      <c r="D2263" t="n">
        <v>3679</v>
      </c>
    </row>
    <row r="2264">
      <c r="A2264" t="inlineStr">
        <is>
          <t>LHC GROUP, INC</t>
        </is>
      </c>
      <c r="B2264" t="inlineStr">
        <is>
          <t>LHCG</t>
        </is>
      </c>
      <c r="C2264" t="inlineStr">
        <is>
          <t>LHC GROUP, INC</t>
        </is>
      </c>
      <c r="D2264" t="n">
        <v>8082</v>
      </c>
    </row>
    <row r="2265">
      <c r="A2265" t="inlineStr">
        <is>
          <t>LI AUTO INC.</t>
        </is>
      </c>
      <c r="B2265" t="inlineStr">
        <is>
          <t>LI</t>
        </is>
      </c>
      <c r="C2265" t="inlineStr">
        <is>
          <t>LI AUTO INC.</t>
        </is>
      </c>
      <c r="D2265" t="n">
        <v>3711</v>
      </c>
    </row>
    <row r="2266">
      <c r="A2266" t="inlineStr">
        <is>
          <t>LIBERTY BROADBAND CORP</t>
        </is>
      </c>
      <c r="B2266" t="inlineStr">
        <is>
          <t>LBRDA</t>
        </is>
      </c>
      <c r="C2266" t="inlineStr">
        <is>
          <t>LIBERTY BROADBAND CORP</t>
        </is>
      </c>
      <c r="D2266" t="n">
        <v>4841</v>
      </c>
    </row>
    <row r="2267">
      <c r="A2267" t="inlineStr">
        <is>
          <t>LIBERTY GLOBAL PLC</t>
        </is>
      </c>
      <c r="B2267" t="inlineStr">
        <is>
          <t>LBTYA</t>
        </is>
      </c>
      <c r="C2267" t="inlineStr">
        <is>
          <t>LIBERTY GLOBAL PLC</t>
        </is>
      </c>
      <c r="D2267" t="n">
        <v>4841</v>
      </c>
    </row>
    <row r="2268">
      <c r="A2268" t="inlineStr">
        <is>
          <t>LIBERTY LATIN AMERICA LTD.</t>
        </is>
      </c>
      <c r="B2268" t="inlineStr">
        <is>
          <t>LILA</t>
        </is>
      </c>
      <c r="C2268" t="inlineStr">
        <is>
          <t>LIBERTY LATIN AMERICA LTD.</t>
        </is>
      </c>
      <c r="D2268" t="n">
        <v>4841</v>
      </c>
    </row>
    <row r="2269">
      <c r="A2269" t="inlineStr">
        <is>
          <t>LIBERTY MEDIA CORP</t>
        </is>
      </c>
      <c r="B2269" t="inlineStr">
        <is>
          <t>LSXMA</t>
        </is>
      </c>
      <c r="C2269" t="inlineStr">
        <is>
          <t>LIBERTY MEDIA CORP</t>
        </is>
      </c>
      <c r="D2269" t="n">
        <v>4833</v>
      </c>
    </row>
    <row r="2270">
      <c r="A2270" t="inlineStr">
        <is>
          <t>LIBERTY OILFIELD SERVICES INC.</t>
        </is>
      </c>
      <c r="B2270" t="inlineStr">
        <is>
          <t>LBRT</t>
        </is>
      </c>
      <c r="C2270" t="inlineStr">
        <is>
          <t>LIBERTY OILFIELD SERVICES INC.</t>
        </is>
      </c>
      <c r="D2270" t="n">
        <v>1389</v>
      </c>
    </row>
    <row r="2271">
      <c r="A2271" t="inlineStr">
        <is>
          <t>LIBERTY TRIPADVISOR HOLDINGS, INC.</t>
        </is>
      </c>
      <c r="B2271" t="inlineStr">
        <is>
          <t>LTRPA</t>
        </is>
      </c>
      <c r="C2271" t="inlineStr">
        <is>
          <t>LIBERTY TRIPADVISOR HOLDINGS, INC.</t>
        </is>
      </c>
      <c r="D2271" t="n">
        <v>7374</v>
      </c>
    </row>
    <row r="2272">
      <c r="A2272" t="inlineStr">
        <is>
          <t>LIFE STORAGE, INC.</t>
        </is>
      </c>
      <c r="B2272" t="inlineStr">
        <is>
          <t>LSI</t>
        </is>
      </c>
      <c r="C2272" t="inlineStr">
        <is>
          <t>LIFE STORAGE, INC.</t>
        </is>
      </c>
      <c r="D2272" t="n">
        <v>6798</v>
      </c>
    </row>
    <row r="2273">
      <c r="A2273" t="inlineStr">
        <is>
          <t>LIFE TIME GROUP HOLDINGS, INC.</t>
        </is>
      </c>
      <c r="B2273" t="inlineStr">
        <is>
          <t>LTH</t>
        </is>
      </c>
      <c r="C2273" t="inlineStr">
        <is>
          <t>LIFE TIME GROUP HOLDINGS, INC.</t>
        </is>
      </c>
      <c r="D2273" t="n">
        <v>7997</v>
      </c>
    </row>
    <row r="2274">
      <c r="A2274" t="inlineStr">
        <is>
          <t>LIFEMD, INC.</t>
        </is>
      </c>
      <c r="B2274" t="inlineStr">
        <is>
          <t>LFMD</t>
        </is>
      </c>
      <c r="C2274" t="inlineStr">
        <is>
          <t>LIFEMD, INC.</t>
        </is>
      </c>
      <c r="D2274" t="n">
        <v>8011</v>
      </c>
    </row>
    <row r="2275">
      <c r="A2275" t="inlineStr">
        <is>
          <t>LIFETIME BRANDS, INC</t>
        </is>
      </c>
      <c r="B2275" t="inlineStr">
        <is>
          <t>LCUT</t>
        </is>
      </c>
      <c r="C2275" t="inlineStr">
        <is>
          <t>LIFETIME BRANDS, INC</t>
        </is>
      </c>
      <c r="D2275" t="n">
        <v>3420</v>
      </c>
    </row>
    <row r="2276">
      <c r="A2276" t="inlineStr">
        <is>
          <t>LIFEVANTAGE CORP</t>
        </is>
      </c>
      <c r="B2276" t="inlineStr">
        <is>
          <t>LFVN</t>
        </is>
      </c>
      <c r="C2276" t="inlineStr">
        <is>
          <t>LIFEVANTAGE CORP</t>
        </is>
      </c>
      <c r="D2276" t="n">
        <v>2834</v>
      </c>
    </row>
    <row r="2277">
      <c r="A2277" t="inlineStr">
        <is>
          <t>LIFEWAY FOODS, INC.</t>
        </is>
      </c>
      <c r="B2277" t="inlineStr">
        <is>
          <t>LWAY</t>
        </is>
      </c>
      <c r="C2277" t="inlineStr">
        <is>
          <t>LIFEWAY FOODS, INC.</t>
        </is>
      </c>
      <c r="D2277" t="n">
        <v>2020</v>
      </c>
    </row>
    <row r="2278">
      <c r="A2278" t="inlineStr">
        <is>
          <t>LIGAND PHARMACEUTICALS INC</t>
        </is>
      </c>
      <c r="B2278" t="inlineStr">
        <is>
          <t>LGND</t>
        </is>
      </c>
      <c r="C2278" t="inlineStr">
        <is>
          <t>LIGAND PHARMACEUTICALS INC</t>
        </is>
      </c>
      <c r="D2278" t="n">
        <v>2834</v>
      </c>
    </row>
    <row r="2279">
      <c r="A2279" t="inlineStr">
        <is>
          <t>LIGHTBRIDGE CORP</t>
        </is>
      </c>
      <c r="B2279" t="inlineStr">
        <is>
          <t>LTBR</t>
        </is>
      </c>
      <c r="C2279" t="inlineStr">
        <is>
          <t>LIGHTBRIDGE CORP</t>
        </is>
      </c>
      <c r="D2279" t="n">
        <v>8742</v>
      </c>
    </row>
    <row r="2280">
      <c r="A2280" t="inlineStr">
        <is>
          <t>LIGHTINTHEBOX HOLDING CO., LTD.</t>
        </is>
      </c>
      <c r="B2280" t="inlineStr">
        <is>
          <t>LITB</t>
        </is>
      </c>
      <c r="C2280" t="inlineStr">
        <is>
          <t>LIGHTINTHEBOX HOLDING CO., LTD.</t>
        </is>
      </c>
      <c r="D2280" t="n">
        <v>5961</v>
      </c>
    </row>
    <row r="2281">
      <c r="A2281" t="inlineStr">
        <is>
          <t>LIGHTNING EMOTORS, INC.</t>
        </is>
      </c>
      <c r="B2281" t="inlineStr">
        <is>
          <t>ZEV</t>
        </is>
      </c>
      <c r="C2281" t="inlineStr">
        <is>
          <t>LIGHTNING EMOTORS, INC.</t>
        </is>
      </c>
      <c r="D2281" t="n">
        <v>3711</v>
      </c>
    </row>
    <row r="2282">
      <c r="A2282" t="inlineStr">
        <is>
          <t>LIGHTPATH TECHNOLOGIES INC</t>
        </is>
      </c>
      <c r="B2282" t="inlineStr">
        <is>
          <t>LPTH</t>
        </is>
      </c>
      <c r="C2282" t="inlineStr">
        <is>
          <t>LIGHTPATH TECHNOLOGIES INC</t>
        </is>
      </c>
      <c r="D2282" t="n">
        <v>3674</v>
      </c>
    </row>
    <row r="2283">
      <c r="A2283" t="inlineStr">
        <is>
          <t>LIMBACH HOLDINGS, INC.</t>
        </is>
      </c>
      <c r="B2283" t="inlineStr">
        <is>
          <t>LMB</t>
        </is>
      </c>
      <c r="C2283" t="inlineStr">
        <is>
          <t>LIMBACH HOLDINGS, INC.</t>
        </is>
      </c>
      <c r="D2283" t="n">
        <v>1700</v>
      </c>
    </row>
    <row r="2284">
      <c r="A2284" t="inlineStr">
        <is>
          <t>LIMESTONE BANCORP, INC.</t>
        </is>
      </c>
      <c r="B2284" t="inlineStr">
        <is>
          <t>LMST</t>
        </is>
      </c>
      <c r="C2284" t="inlineStr">
        <is>
          <t>LIMESTONE BANCORP, INC.</t>
        </is>
      </c>
      <c r="D2284" t="n">
        <v>6021</v>
      </c>
    </row>
    <row r="2285">
      <c r="A2285" t="inlineStr">
        <is>
          <t>LIMONEIRA CO</t>
        </is>
      </c>
      <c r="B2285" t="inlineStr">
        <is>
          <t>LMNR</t>
        </is>
      </c>
      <c r="C2285" t="inlineStr">
        <is>
          <t>LIMONEIRA CO</t>
        </is>
      </c>
      <c r="D2285" t="n">
        <v>100</v>
      </c>
    </row>
    <row r="2286">
      <c r="A2286" t="inlineStr">
        <is>
          <t>LINCOLN EDUCATIONAL SERVICES CORP</t>
        </is>
      </c>
      <c r="B2286" t="inlineStr">
        <is>
          <t>LINC</t>
        </is>
      </c>
      <c r="C2286" t="inlineStr">
        <is>
          <t>LINCOLN EDUCATIONAL SERVICES CORP</t>
        </is>
      </c>
      <c r="D2286" t="n">
        <v>8200</v>
      </c>
    </row>
    <row r="2287">
      <c r="A2287" t="inlineStr">
        <is>
          <t>LINCOLN ELECTRIC HOLDINGS INC</t>
        </is>
      </c>
      <c r="B2287" t="inlineStr">
        <is>
          <t>LECO</t>
        </is>
      </c>
      <c r="C2287" t="inlineStr">
        <is>
          <t>LINCOLN ELECTRIC HOLDINGS INC</t>
        </is>
      </c>
      <c r="D2287" t="n">
        <v>3540</v>
      </c>
    </row>
    <row r="2288">
      <c r="A2288" t="inlineStr">
        <is>
          <t>LINCOLN NATIONAL CORP</t>
        </is>
      </c>
      <c r="B2288" t="inlineStr">
        <is>
          <t>LNC</t>
        </is>
      </c>
      <c r="C2288" t="inlineStr">
        <is>
          <t>LINCOLN NATIONAL CORP</t>
        </is>
      </c>
      <c r="D2288" t="n">
        <v>6311</v>
      </c>
    </row>
    <row r="2289">
      <c r="A2289" t="inlineStr">
        <is>
          <t>LINDBLAD EXPEDITIONS HOLDINGS, INC.</t>
        </is>
      </c>
      <c r="B2289" t="inlineStr">
        <is>
          <t>LIND</t>
        </is>
      </c>
      <c r="C2289" t="inlineStr">
        <is>
          <t>LINDBLAD EXPEDITIONS HOLDINGS, INC.</t>
        </is>
      </c>
      <c r="D2289" t="n">
        <v>4700</v>
      </c>
    </row>
    <row r="2290">
      <c r="A2290" t="inlineStr">
        <is>
          <t>LINDE PLC</t>
        </is>
      </c>
      <c r="B2290" t="inlineStr">
        <is>
          <t>LIN</t>
        </is>
      </c>
      <c r="C2290" t="inlineStr">
        <is>
          <t>LINDE PLC</t>
        </is>
      </c>
      <c r="D2290" t="n">
        <v>2810</v>
      </c>
    </row>
    <row r="2291">
      <c r="A2291" t="inlineStr">
        <is>
          <t>LINDSAY CORP</t>
        </is>
      </c>
      <c r="B2291" t="inlineStr">
        <is>
          <t>LNN</t>
        </is>
      </c>
      <c r="C2291" t="inlineStr">
        <is>
          <t>LINDSAY CORP</t>
        </is>
      </c>
      <c r="D2291" t="n">
        <v>3523</v>
      </c>
    </row>
    <row r="2292">
      <c r="A2292" t="inlineStr">
        <is>
          <t>LINEAGE CELL THERAPEUTICS, INC.</t>
        </is>
      </c>
      <c r="B2292" t="inlineStr">
        <is>
          <t>LCTX</t>
        </is>
      </c>
      <c r="C2292" t="inlineStr">
        <is>
          <t>LINEAGE CELL THERAPEUTICS, INC.</t>
        </is>
      </c>
      <c r="D2292" t="n">
        <v>2836</v>
      </c>
    </row>
    <row r="2293">
      <c r="A2293" t="inlineStr">
        <is>
          <t>LINKBANCORP, INC.</t>
        </is>
      </c>
      <c r="B2293" t="inlineStr">
        <is>
          <t>LNKB</t>
        </is>
      </c>
      <c r="C2293" t="inlineStr">
        <is>
          <t>LINKBANCORP, INC.</t>
        </is>
      </c>
      <c r="D2293" t="n">
        <v>6022</v>
      </c>
    </row>
    <row r="2294">
      <c r="A2294" t="inlineStr">
        <is>
          <t>LION GROUP HOLDING LTD</t>
        </is>
      </c>
      <c r="B2294" t="inlineStr">
        <is>
          <t>LGHL</t>
        </is>
      </c>
      <c r="C2294" t="inlineStr">
        <is>
          <t>LION GROUP HOLDING LTD</t>
        </is>
      </c>
      <c r="D2294" t="n">
        <v>6211</v>
      </c>
    </row>
    <row r="2295">
      <c r="A2295" t="inlineStr">
        <is>
          <t>LIONS GATE ENTERTAINMENT CORP /CN/</t>
        </is>
      </c>
      <c r="B2295" t="inlineStr">
        <is>
          <t>LGF-A</t>
        </is>
      </c>
      <c r="C2295" t="inlineStr">
        <is>
          <t>LIONS GATE ENTERTAINMENT CORP /CN/</t>
        </is>
      </c>
      <c r="D2295" t="n">
        <v>7812</v>
      </c>
    </row>
    <row r="2296">
      <c r="A2296" t="inlineStr">
        <is>
          <t>LIQUIDIA CORP</t>
        </is>
      </c>
      <c r="B2296" t="inlineStr">
        <is>
          <t>LQDA</t>
        </is>
      </c>
      <c r="C2296" t="inlineStr">
        <is>
          <t>LIQUIDIA CORP</t>
        </is>
      </c>
      <c r="D2296" t="n">
        <v>2834</v>
      </c>
    </row>
    <row r="2297">
      <c r="A2297" t="inlineStr">
        <is>
          <t>LIQUIDITY SERVICES INC</t>
        </is>
      </c>
      <c r="B2297" t="inlineStr">
        <is>
          <t>LQDT</t>
        </is>
      </c>
      <c r="C2297" t="inlineStr">
        <is>
          <t>LIQUIDITY SERVICES INC</t>
        </is>
      </c>
      <c r="D2297" t="n">
        <v>7389</v>
      </c>
    </row>
    <row r="2298">
      <c r="A2298" t="inlineStr">
        <is>
          <t>LIQUIDMETAL TECHNOLOGIES INC</t>
        </is>
      </c>
      <c r="B2298" t="inlineStr">
        <is>
          <t>LQMT</t>
        </is>
      </c>
      <c r="C2298" t="inlineStr">
        <is>
          <t>LIQUIDMETAL TECHNOLOGIES INC</t>
        </is>
      </c>
      <c r="D2298" t="n">
        <v>2800</v>
      </c>
    </row>
    <row r="2299">
      <c r="A2299" t="inlineStr">
        <is>
          <t>LITHIA MOTORS INC</t>
        </is>
      </c>
      <c r="B2299" t="inlineStr">
        <is>
          <t>LAD</t>
        </is>
      </c>
      <c r="C2299" t="inlineStr">
        <is>
          <t>LITHIA MOTORS INC</t>
        </is>
      </c>
      <c r="D2299" t="n">
        <v>5500</v>
      </c>
    </row>
    <row r="2300">
      <c r="A2300" t="inlineStr">
        <is>
          <t>LITTELFUSE INC /DE</t>
        </is>
      </c>
      <c r="B2300" t="inlineStr">
        <is>
          <t>LFUS</t>
        </is>
      </c>
      <c r="C2300" t="inlineStr">
        <is>
          <t>LITTELFUSE INC /DE</t>
        </is>
      </c>
      <c r="D2300" t="n">
        <v>3613</v>
      </c>
    </row>
    <row r="2301">
      <c r="A2301" t="inlineStr">
        <is>
          <t>LIVANOVA PLC</t>
        </is>
      </c>
      <c r="B2301" t="inlineStr">
        <is>
          <t>LIVN</t>
        </is>
      </c>
      <c r="C2301" t="inlineStr">
        <is>
          <t>LIVANOVA PLC</t>
        </is>
      </c>
      <c r="D2301" t="n">
        <v>3845</v>
      </c>
    </row>
    <row r="2302">
      <c r="A2302" t="inlineStr">
        <is>
          <t>LIVE NATION ENTERTAINMENT, INC.</t>
        </is>
      </c>
      <c r="B2302" t="inlineStr">
        <is>
          <t>LYV</t>
        </is>
      </c>
      <c r="C2302" t="inlineStr">
        <is>
          <t>LIVE NATION ENTERTAINMENT, INC.</t>
        </is>
      </c>
      <c r="D2302" t="n">
        <v>7900</v>
      </c>
    </row>
    <row r="2303">
      <c r="A2303" t="inlineStr">
        <is>
          <t>LIVE OAK BANCSHARES, INC.</t>
        </is>
      </c>
      <c r="B2303" t="inlineStr">
        <is>
          <t>LOB</t>
        </is>
      </c>
      <c r="C2303" t="inlineStr">
        <is>
          <t>LIVE OAK BANCSHARES, INC.</t>
        </is>
      </c>
      <c r="D2303" t="n">
        <v>6022</v>
      </c>
    </row>
    <row r="2304">
      <c r="A2304" t="inlineStr">
        <is>
          <t>LIVE VENTURES INC</t>
        </is>
      </c>
      <c r="B2304" t="inlineStr">
        <is>
          <t>LIVE</t>
        </is>
      </c>
      <c r="C2304" t="inlineStr">
        <is>
          <t>LIVE VENTURES INC</t>
        </is>
      </c>
      <c r="D2304" t="n">
        <v>5900</v>
      </c>
    </row>
    <row r="2305">
      <c r="A2305" t="inlineStr">
        <is>
          <t>LIVENT CORP.</t>
        </is>
      </c>
      <c r="B2305" t="inlineStr">
        <is>
          <t>LTHM</t>
        </is>
      </c>
      <c r="C2305" t="inlineStr">
        <is>
          <t>LIVENT CORP.</t>
        </is>
      </c>
      <c r="D2305" t="n">
        <v>2800</v>
      </c>
    </row>
    <row r="2306">
      <c r="A2306" t="inlineStr">
        <is>
          <t>LIVEONE, INC.</t>
        </is>
      </c>
      <c r="B2306" t="inlineStr">
        <is>
          <t>LVO</t>
        </is>
      </c>
      <c r="C2306" t="inlineStr">
        <is>
          <t>LIVEONE, INC.</t>
        </is>
      </c>
      <c r="D2306" t="n">
        <v>5812</v>
      </c>
    </row>
    <row r="2307">
      <c r="A2307" t="inlineStr">
        <is>
          <t>LIVEPERSON INC</t>
        </is>
      </c>
      <c r="B2307" t="inlineStr">
        <is>
          <t>LPSN</t>
        </is>
      </c>
      <c r="C2307" t="inlineStr">
        <is>
          <t>LIVEPERSON INC</t>
        </is>
      </c>
      <c r="D2307" t="n">
        <v>7372</v>
      </c>
    </row>
    <row r="2308">
      <c r="A2308" t="inlineStr">
        <is>
          <t>LIVERAMP HOLDINGS, INC.</t>
        </is>
      </c>
      <c r="B2308" t="inlineStr">
        <is>
          <t>RAMP</t>
        </is>
      </c>
      <c r="C2308" t="inlineStr">
        <is>
          <t>LIVERAMP HOLDINGS, INC.</t>
        </is>
      </c>
      <c r="D2308" t="n">
        <v>7374</v>
      </c>
    </row>
    <row r="2309">
      <c r="A2309" t="inlineStr">
        <is>
          <t>LIVEVOX HOLDINGS, INC.</t>
        </is>
      </c>
      <c r="B2309" t="inlineStr">
        <is>
          <t>LVOX</t>
        </is>
      </c>
      <c r="C2309" t="inlineStr">
        <is>
          <t>LIVEVOX HOLDINGS, INC.</t>
        </is>
      </c>
      <c r="D2309" t="n">
        <v>7374</v>
      </c>
    </row>
    <row r="2310">
      <c r="A2310" t="inlineStr">
        <is>
          <t>LIXIANG EDUCATION HOLDING CO. LTD.</t>
        </is>
      </c>
      <c r="B2310" t="inlineStr">
        <is>
          <t>LXEH</t>
        </is>
      </c>
      <c r="C2310" t="inlineStr">
        <is>
          <t>LIXIANG EDUCATION HOLDING CO. LTD.</t>
        </is>
      </c>
      <c r="D2310" t="n">
        <v>8200</v>
      </c>
    </row>
    <row r="2311">
      <c r="A2311" t="inlineStr">
        <is>
          <t>LIZHI INC.</t>
        </is>
      </c>
      <c r="B2311" t="inlineStr">
        <is>
          <t>LIZI</t>
        </is>
      </c>
      <c r="C2311" t="inlineStr">
        <is>
          <t>LIZHI INC.</t>
        </is>
      </c>
      <c r="D2311" t="n">
        <v>7370</v>
      </c>
    </row>
    <row r="2312">
      <c r="A2312" t="inlineStr">
        <is>
          <t>LKQ CORP</t>
        </is>
      </c>
      <c r="B2312" t="inlineStr">
        <is>
          <t>LKQ</t>
        </is>
      </c>
      <c r="C2312" t="inlineStr">
        <is>
          <t>LKQ CORP</t>
        </is>
      </c>
      <c r="D2312" t="n">
        <v>5010</v>
      </c>
    </row>
    <row r="2313">
      <c r="A2313" t="inlineStr">
        <is>
          <t>LL FLOORING HOLDINGS, INC.</t>
        </is>
      </c>
      <c r="B2313" t="inlineStr">
        <is>
          <t>LL</t>
        </is>
      </c>
      <c r="C2313" t="inlineStr">
        <is>
          <t>LL FLOORING HOLDINGS, INC.</t>
        </is>
      </c>
      <c r="D2313" t="n">
        <v>5211</v>
      </c>
    </row>
    <row r="2314">
      <c r="A2314" t="inlineStr">
        <is>
          <t>LMP AUTOMOTIVE HOLDINGS, INC.</t>
        </is>
      </c>
      <c r="B2314" t="inlineStr">
        <is>
          <t>LMPX</t>
        </is>
      </c>
      <c r="C2314" t="inlineStr">
        <is>
          <t>LMP AUTOMOTIVE HOLDINGS, INC.</t>
        </is>
      </c>
      <c r="D2314" t="n">
        <v>5500</v>
      </c>
    </row>
    <row r="2315">
      <c r="A2315" t="inlineStr">
        <is>
          <t>LOANDEPOT, INC.</t>
        </is>
      </c>
      <c r="B2315" t="inlineStr">
        <is>
          <t>LDI</t>
        </is>
      </c>
      <c r="C2315" t="inlineStr">
        <is>
          <t>LOANDEPOT, INC.</t>
        </is>
      </c>
      <c r="D2315" t="n">
        <v>6199</v>
      </c>
    </row>
    <row r="2316">
      <c r="A2316" t="inlineStr">
        <is>
          <t>LOCKHEED MARTIN CORP</t>
        </is>
      </c>
      <c r="B2316" t="inlineStr">
        <is>
          <t>LMT</t>
        </is>
      </c>
      <c r="C2316" t="inlineStr">
        <is>
          <t>LOCKHEED MARTIN CORP</t>
        </is>
      </c>
      <c r="D2316" t="n">
        <v>3760</v>
      </c>
    </row>
    <row r="2317">
      <c r="A2317" t="inlineStr">
        <is>
          <t>LOEWS CORP</t>
        </is>
      </c>
      <c r="B2317" t="inlineStr">
        <is>
          <t>L</t>
        </is>
      </c>
      <c r="C2317" t="inlineStr">
        <is>
          <t>LOEWS CORP</t>
        </is>
      </c>
      <c r="D2317" t="n">
        <v>6331</v>
      </c>
    </row>
    <row r="2318">
      <c r="A2318" t="inlineStr">
        <is>
          <t>LOGICBIO THERAPEUTICS, INC.</t>
        </is>
      </c>
      <c r="B2318" t="inlineStr">
        <is>
          <t>LOGC</t>
        </is>
      </c>
      <c r="C2318" t="inlineStr">
        <is>
          <t>LOGICBIO THERAPEUTICS, INC.</t>
        </is>
      </c>
      <c r="D2318" t="n">
        <v>2836</v>
      </c>
    </row>
    <row r="2319">
      <c r="A2319" t="inlineStr">
        <is>
          <t>LOGITECH INTERNATIONAL S.A.</t>
        </is>
      </c>
      <c r="B2319" t="inlineStr">
        <is>
          <t>LOGI</t>
        </is>
      </c>
      <c r="C2319" t="inlineStr">
        <is>
          <t>LOGITECH INTERNATIONAL S.A.</t>
        </is>
      </c>
      <c r="D2319" t="n">
        <v>3577</v>
      </c>
    </row>
    <row r="2320">
      <c r="A2320" t="inlineStr">
        <is>
          <t>LOOP INDUSTRIES, INC.</t>
        </is>
      </c>
      <c r="B2320" t="inlineStr">
        <is>
          <t>LOOP</t>
        </is>
      </c>
      <c r="C2320" t="inlineStr">
        <is>
          <t>LOOP INDUSTRIES, INC.</t>
        </is>
      </c>
      <c r="D2320" t="n">
        <v>2800</v>
      </c>
    </row>
    <row r="2321">
      <c r="A2321" t="inlineStr">
        <is>
          <t>LOTTERY.COM INC.</t>
        </is>
      </c>
      <c r="B2321" t="inlineStr">
        <is>
          <t>LTRY</t>
        </is>
      </c>
      <c r="C2321" t="inlineStr">
        <is>
          <t>LOTTERY.COM INC.</t>
        </is>
      </c>
      <c r="D2321" t="n">
        <v>7372</v>
      </c>
    </row>
    <row r="2322">
      <c r="A2322" t="inlineStr">
        <is>
          <t>LOUISIANA-PACIFIC CORP</t>
        </is>
      </c>
      <c r="B2322" t="inlineStr">
        <is>
          <t>LPX</t>
        </is>
      </c>
      <c r="C2322" t="inlineStr">
        <is>
          <t>LOUISIANA-PACIFIC CORP</t>
        </is>
      </c>
      <c r="D2322" t="n">
        <v>2400</v>
      </c>
    </row>
    <row r="2323">
      <c r="A2323" t="inlineStr">
        <is>
          <t>LOWELL FARMS INC.</t>
        </is>
      </c>
      <c r="B2323" t="inlineStr">
        <is>
          <t>LOWLF</t>
        </is>
      </c>
      <c r="C2323" t="inlineStr">
        <is>
          <t>LOWELL FARMS INC.</t>
        </is>
      </c>
      <c r="D2323" t="n">
        <v>100</v>
      </c>
    </row>
    <row r="2324">
      <c r="A2324" t="inlineStr">
        <is>
          <t>LOWES COMPANIES INC</t>
        </is>
      </c>
      <c r="B2324" t="inlineStr">
        <is>
          <t>LOW</t>
        </is>
      </c>
      <c r="C2324" t="inlineStr">
        <is>
          <t>LOWES COMPANIES INC</t>
        </is>
      </c>
      <c r="D2324" t="n">
        <v>5211</v>
      </c>
    </row>
    <row r="2325">
      <c r="A2325" t="inlineStr">
        <is>
          <t>LOYALTY VENTURES INC.</t>
        </is>
      </c>
      <c r="B2325" t="inlineStr">
        <is>
          <t>LYLT</t>
        </is>
      </c>
      <c r="C2325" t="inlineStr">
        <is>
          <t>LOYALTY VENTURES INC.</t>
        </is>
      </c>
      <c r="D2325" t="n">
        <v>7389</v>
      </c>
    </row>
    <row r="2326">
      <c r="A2326" t="inlineStr">
        <is>
          <t>LPL FINANCIAL HOLDINGS INC.</t>
        </is>
      </c>
      <c r="B2326" t="inlineStr">
        <is>
          <t>LPLA</t>
        </is>
      </c>
      <c r="C2326" t="inlineStr">
        <is>
          <t>LPL FINANCIAL HOLDINGS INC.</t>
        </is>
      </c>
      <c r="D2326" t="n">
        <v>6200</v>
      </c>
    </row>
    <row r="2327">
      <c r="A2327" t="inlineStr">
        <is>
          <t>LSB INDUSTRIES INC</t>
        </is>
      </c>
      <c r="B2327" t="inlineStr">
        <is>
          <t>LXU</t>
        </is>
      </c>
      <c r="C2327" t="inlineStr">
        <is>
          <t>LSB INDUSTRIES INC</t>
        </is>
      </c>
      <c r="D2327" t="n">
        <v>2810</v>
      </c>
    </row>
    <row r="2328">
      <c r="A2328" t="inlineStr">
        <is>
          <t>LSI INDUSTRIES INC</t>
        </is>
      </c>
      <c r="B2328" t="inlineStr">
        <is>
          <t>LYTS</t>
        </is>
      </c>
      <c r="C2328" t="inlineStr">
        <is>
          <t>LSI INDUSTRIES INC</t>
        </is>
      </c>
      <c r="D2328" t="n">
        <v>3640</v>
      </c>
    </row>
    <row r="2329">
      <c r="A2329" t="inlineStr">
        <is>
          <t>LTC PROPERTIES INC</t>
        </is>
      </c>
      <c r="B2329" t="inlineStr">
        <is>
          <t>LTC</t>
        </is>
      </c>
      <c r="C2329" t="inlineStr">
        <is>
          <t>LTC PROPERTIES INC</t>
        </is>
      </c>
      <c r="D2329" t="n">
        <v>6798</v>
      </c>
    </row>
    <row r="2330">
      <c r="A2330" t="inlineStr">
        <is>
          <t>LUCID GROUP, INC.</t>
        </is>
      </c>
      <c r="B2330" t="inlineStr">
        <is>
          <t>LCID</t>
        </is>
      </c>
      <c r="C2330" t="inlineStr">
        <is>
          <t>LUCID GROUP, INC.</t>
        </is>
      </c>
      <c r="D2330" t="n">
        <v>3711</v>
      </c>
    </row>
    <row r="2331">
      <c r="A2331" t="inlineStr">
        <is>
          <t>LUCIRA HEALTH, INC.</t>
        </is>
      </c>
      <c r="B2331" t="inlineStr">
        <is>
          <t>LHDX</t>
        </is>
      </c>
      <c r="C2331" t="inlineStr">
        <is>
          <t>LUCIRA HEALTH, INC.</t>
        </is>
      </c>
      <c r="D2331" t="n">
        <v>2835</v>
      </c>
    </row>
    <row r="2332">
      <c r="A2332" t="inlineStr">
        <is>
          <t>LUCKIN COFFEE INC.</t>
        </is>
      </c>
      <c r="B2332" t="inlineStr">
        <is>
          <t>LKNCY</t>
        </is>
      </c>
      <c r="C2332" t="inlineStr">
        <is>
          <t>LUCKIN COFFEE INC.</t>
        </is>
      </c>
      <c r="D2332" t="n">
        <v>5810</v>
      </c>
    </row>
    <row r="2333">
      <c r="A2333" t="inlineStr">
        <is>
          <t>LULU'S FASHION LOUNGE HOLDINGS, INC.</t>
        </is>
      </c>
      <c r="B2333" t="inlineStr">
        <is>
          <t>LVLU</t>
        </is>
      </c>
      <c r="C2333" t="inlineStr">
        <is>
          <t>LULU'S FASHION LOUNGE HOLDINGS, INC.</t>
        </is>
      </c>
      <c r="D2333" t="n">
        <v>5961</v>
      </c>
    </row>
    <row r="2334">
      <c r="A2334" t="inlineStr">
        <is>
          <t>LULULEMON ATHLETICA INC.</t>
        </is>
      </c>
      <c r="B2334" t="inlineStr">
        <is>
          <t>LULU</t>
        </is>
      </c>
      <c r="C2334" t="inlineStr">
        <is>
          <t>LULULEMON ATHLETICA INC.</t>
        </is>
      </c>
      <c r="D2334" t="n">
        <v>2300</v>
      </c>
    </row>
    <row r="2335">
      <c r="A2335" t="inlineStr">
        <is>
          <t>LUMEN TECHNOLOGIES, INC.</t>
        </is>
      </c>
      <c r="B2335" t="inlineStr">
        <is>
          <t>LUMN</t>
        </is>
      </c>
      <c r="C2335" t="inlineStr">
        <is>
          <t>LUMEN TECHNOLOGIES, INC.</t>
        </is>
      </c>
      <c r="D2335" t="n">
        <v>4813</v>
      </c>
    </row>
    <row r="2336">
      <c r="A2336" t="inlineStr">
        <is>
          <t>LUMENT FINANCE TRUST, INC.</t>
        </is>
      </c>
      <c r="B2336" t="inlineStr">
        <is>
          <t>LFT</t>
        </is>
      </c>
      <c r="C2336" t="inlineStr">
        <is>
          <t>LUMENT FINANCE TRUST, INC.</t>
        </is>
      </c>
      <c r="D2336" t="n">
        <v>6798</v>
      </c>
    </row>
    <row r="2337">
      <c r="A2337" t="inlineStr">
        <is>
          <t>LUMENTUM HOLDINGS INC.</t>
        </is>
      </c>
      <c r="B2337" t="inlineStr">
        <is>
          <t>LITE</t>
        </is>
      </c>
      <c r="C2337" t="inlineStr">
        <is>
          <t>LUMENTUM HOLDINGS INC.</t>
        </is>
      </c>
      <c r="D2337" t="n">
        <v>3669</v>
      </c>
    </row>
    <row r="2338">
      <c r="A2338" t="inlineStr">
        <is>
          <t>LUMINAR TECHNOLOGIES, INC./DE</t>
        </is>
      </c>
      <c r="B2338" t="inlineStr">
        <is>
          <t>LAZR</t>
        </is>
      </c>
      <c r="C2338" t="inlineStr">
        <is>
          <t>LUMINAR TECHNOLOGIES, INC./DE</t>
        </is>
      </c>
      <c r="D2338" t="n">
        <v>3714</v>
      </c>
    </row>
    <row r="2339">
      <c r="A2339" t="inlineStr">
        <is>
          <t>LUMOS PHARMA, INC.</t>
        </is>
      </c>
      <c r="B2339" t="inlineStr">
        <is>
          <t>LUMO</t>
        </is>
      </c>
      <c r="C2339" t="inlineStr">
        <is>
          <t>LUMOS PHARMA, INC.</t>
        </is>
      </c>
      <c r="D2339" t="n">
        <v>2834</v>
      </c>
    </row>
    <row r="2340">
      <c r="A2340" t="inlineStr">
        <is>
          <t>LUNA INNOVATIONS INC</t>
        </is>
      </c>
      <c r="B2340" t="inlineStr">
        <is>
          <t>LUNA</t>
        </is>
      </c>
      <c r="C2340" t="inlineStr">
        <is>
          <t>LUNA INNOVATIONS INC</t>
        </is>
      </c>
      <c r="D2340" t="n">
        <v>8731</v>
      </c>
    </row>
    <row r="2341">
      <c r="A2341" t="inlineStr">
        <is>
          <t>LUOKUNG TECHNOLOGY CORP.</t>
        </is>
      </c>
      <c r="B2341" t="inlineStr">
        <is>
          <t>LKCO</t>
        </is>
      </c>
      <c r="C2341" t="inlineStr">
        <is>
          <t>LUOKUNG TECHNOLOGY CORP.</t>
        </is>
      </c>
      <c r="D2341" t="n">
        <v>7371</v>
      </c>
    </row>
    <row r="2342">
      <c r="A2342" t="inlineStr">
        <is>
          <t>LUTHER BURBANK CORP</t>
        </is>
      </c>
      <c r="B2342" t="inlineStr">
        <is>
          <t>LBC</t>
        </is>
      </c>
      <c r="C2342" t="inlineStr">
        <is>
          <t>LUTHER BURBANK CORP</t>
        </is>
      </c>
      <c r="D2342" t="n">
        <v>6022</v>
      </c>
    </row>
    <row r="2343">
      <c r="A2343" t="inlineStr">
        <is>
          <t>LUXFER HOLDINGS PLC</t>
        </is>
      </c>
      <c r="B2343" t="inlineStr">
        <is>
          <t>LXFR</t>
        </is>
      </c>
      <c r="C2343" t="inlineStr">
        <is>
          <t>LUXFER HOLDINGS PLC</t>
        </is>
      </c>
      <c r="D2343" t="n">
        <v>2810</v>
      </c>
    </row>
    <row r="2344">
      <c r="A2344" t="inlineStr">
        <is>
          <t>LXP INDUSTRIAL TRUST</t>
        </is>
      </c>
      <c r="B2344" t="inlineStr">
        <is>
          <t>LXP</t>
        </is>
      </c>
      <c r="C2344" t="inlineStr">
        <is>
          <t>LXP INDUSTRIAL TRUST</t>
        </is>
      </c>
      <c r="D2344" t="n">
        <v>6798</v>
      </c>
    </row>
    <row r="2345">
      <c r="A2345" t="inlineStr">
        <is>
          <t>LYELL IMMUNOPHARMA, INC.</t>
        </is>
      </c>
      <c r="B2345" t="inlineStr">
        <is>
          <t>LYEL</t>
        </is>
      </c>
      <c r="C2345" t="inlineStr">
        <is>
          <t>LYELL IMMUNOPHARMA, INC.</t>
        </is>
      </c>
      <c r="D2345" t="n">
        <v>2834</v>
      </c>
    </row>
    <row r="2346">
      <c r="A2346" t="inlineStr">
        <is>
          <t>LYFT, INC.</t>
        </is>
      </c>
      <c r="B2346" t="inlineStr">
        <is>
          <t>LYFT</t>
        </is>
      </c>
      <c r="C2346" t="inlineStr">
        <is>
          <t>LYFT, INC.</t>
        </is>
      </c>
      <c r="D2346" t="n">
        <v>7389</v>
      </c>
    </row>
    <row r="2347">
      <c r="A2347" t="inlineStr">
        <is>
          <t>LYONDELLBASELL INDUSTRIES N.V.</t>
        </is>
      </c>
      <c r="B2347" t="inlineStr">
        <is>
          <t>LYB</t>
        </is>
      </c>
      <c r="C2347" t="inlineStr">
        <is>
          <t>LYONDELLBASELL INDUSTRIES N.V.</t>
        </is>
      </c>
      <c r="D2347" t="n">
        <v>2860</v>
      </c>
    </row>
    <row r="2348">
      <c r="A2348" t="inlineStr">
        <is>
          <t>M&amp;T BANK CORP</t>
        </is>
      </c>
      <c r="B2348" t="inlineStr">
        <is>
          <t>MTB</t>
        </is>
      </c>
      <c r="C2348" t="inlineStr">
        <is>
          <t>M&amp;T BANK CORP</t>
        </is>
      </c>
      <c r="D2348" t="n">
        <v>6022</v>
      </c>
    </row>
    <row r="2349">
      <c r="A2349" t="inlineStr">
        <is>
          <t>M.D.C. HOLDINGS, INC.</t>
        </is>
      </c>
      <c r="B2349" t="inlineStr">
        <is>
          <t>MDC</t>
        </is>
      </c>
      <c r="C2349" t="inlineStr">
        <is>
          <t>M.D.C. HOLDINGS, INC.</t>
        </is>
      </c>
      <c r="D2349" t="n">
        <v>1531</v>
      </c>
    </row>
    <row r="2350">
      <c r="A2350" t="inlineStr">
        <is>
          <t>M/I HOMES, INC.</t>
        </is>
      </c>
      <c r="B2350" t="inlineStr">
        <is>
          <t>MHO</t>
        </is>
      </c>
      <c r="C2350" t="inlineStr">
        <is>
          <t>M/I HOMES, INC.</t>
        </is>
      </c>
      <c r="D2350" t="n">
        <v>1531</v>
      </c>
    </row>
    <row r="2351">
      <c r="A2351" t="inlineStr">
        <is>
          <t>MACATAWA BANK CORP</t>
        </is>
      </c>
      <c r="B2351" t="inlineStr">
        <is>
          <t>MCBC</t>
        </is>
      </c>
      <c r="C2351" t="inlineStr">
        <is>
          <t>MACATAWA BANK CORP</t>
        </is>
      </c>
      <c r="D2351" t="n">
        <v>6022</v>
      </c>
    </row>
    <row r="2352">
      <c r="A2352" t="inlineStr">
        <is>
          <t>MACERICH CO</t>
        </is>
      </c>
      <c r="B2352" t="inlineStr">
        <is>
          <t>MAC</t>
        </is>
      </c>
      <c r="C2352" t="inlineStr">
        <is>
          <t>MACERICH CO</t>
        </is>
      </c>
      <c r="D2352" t="n">
        <v>6798</v>
      </c>
    </row>
    <row r="2353">
      <c r="A2353" t="inlineStr">
        <is>
          <t>MACOM TECHNOLOGY SOLUTIONS HOLDINGS, INC.</t>
        </is>
      </c>
      <c r="B2353" t="inlineStr">
        <is>
          <t>MTSI</t>
        </is>
      </c>
      <c r="C2353" t="inlineStr">
        <is>
          <t>MACOM TECHNOLOGY SOLUTIONS HOLDINGS, INC.</t>
        </is>
      </c>
      <c r="D2353" t="n">
        <v>3674</v>
      </c>
    </row>
    <row r="2354">
      <c r="A2354" t="inlineStr">
        <is>
          <t>MACQUARIE INFRASTRUCTURE HOLDINGS, LLC</t>
        </is>
      </c>
      <c r="B2354" t="inlineStr">
        <is>
          <t>MIC</t>
        </is>
      </c>
      <c r="C2354" t="inlineStr">
        <is>
          <t>MACQUARIE INFRASTRUCTURE HOLDINGS, LLC</t>
        </is>
      </c>
      <c r="D2354" t="n">
        <v>5172</v>
      </c>
    </row>
    <row r="2355">
      <c r="A2355" t="inlineStr">
        <is>
          <t>MACROGENICS INC</t>
        </is>
      </c>
      <c r="B2355" t="inlineStr">
        <is>
          <t>MGNX</t>
        </is>
      </c>
      <c r="C2355" t="inlineStr">
        <is>
          <t>MACROGENICS INC</t>
        </is>
      </c>
      <c r="D2355" t="n">
        <v>2834</v>
      </c>
    </row>
    <row r="2356">
      <c r="A2356" t="inlineStr">
        <is>
          <t>MACY'S, INC.</t>
        </is>
      </c>
      <c r="B2356" t="inlineStr">
        <is>
          <t>M</t>
        </is>
      </c>
      <c r="C2356" t="inlineStr">
        <is>
          <t>MACY'S, INC.</t>
        </is>
      </c>
      <c r="D2356" t="n">
        <v>5311</v>
      </c>
    </row>
    <row r="2357">
      <c r="A2357" t="inlineStr">
        <is>
          <t>MADISON SQUARE GARDEN ENTERTAINMENT CORP.</t>
        </is>
      </c>
      <c r="B2357" t="inlineStr">
        <is>
          <t>MSGE</t>
        </is>
      </c>
      <c r="C2357" t="inlineStr">
        <is>
          <t>MADISON SQUARE GARDEN ENTERTAINMENT CORP.</t>
        </is>
      </c>
      <c r="D2357" t="n">
        <v>7900</v>
      </c>
    </row>
    <row r="2358">
      <c r="A2358" t="inlineStr">
        <is>
          <t>MADISON SQUARE GARDEN SPORTS CORP.</t>
        </is>
      </c>
      <c r="B2358" t="inlineStr">
        <is>
          <t>MSGS</t>
        </is>
      </c>
      <c r="C2358" t="inlineStr">
        <is>
          <t>MADISON SQUARE GARDEN SPORTS CORP.</t>
        </is>
      </c>
      <c r="D2358" t="n">
        <v>7990</v>
      </c>
    </row>
    <row r="2359">
      <c r="A2359" t="inlineStr">
        <is>
          <t>MAGELLAN MIDSTREAM PARTNERS, L.P.</t>
        </is>
      </c>
      <c r="B2359" t="inlineStr">
        <is>
          <t>MMP</t>
        </is>
      </c>
      <c r="C2359" t="inlineStr">
        <is>
          <t>MAGELLAN MIDSTREAM PARTNERS, L.P.</t>
        </is>
      </c>
      <c r="D2359" t="n">
        <v>4610</v>
      </c>
    </row>
    <row r="2360">
      <c r="A2360" t="inlineStr">
        <is>
          <t>MAGNA INTERNATIONAL INC</t>
        </is>
      </c>
      <c r="B2360" t="inlineStr">
        <is>
          <t>MGA</t>
        </is>
      </c>
      <c r="C2360" t="inlineStr">
        <is>
          <t>MAGNA INTERNATIONAL INC</t>
        </is>
      </c>
      <c r="D2360" t="n">
        <v>3714</v>
      </c>
    </row>
    <row r="2361">
      <c r="A2361" t="inlineStr">
        <is>
          <t>MAGNACHIP SEMICONDUCTOR CORP</t>
        </is>
      </c>
      <c r="B2361" t="inlineStr">
        <is>
          <t>MX</t>
        </is>
      </c>
      <c r="C2361" t="inlineStr">
        <is>
          <t>MAGNACHIP SEMICONDUCTOR CORP</t>
        </is>
      </c>
      <c r="D2361" t="n">
        <v>3674</v>
      </c>
    </row>
    <row r="2362">
      <c r="A2362" t="inlineStr">
        <is>
          <t>MAGNITE, INC.</t>
        </is>
      </c>
      <c r="B2362" t="inlineStr">
        <is>
          <t>MGNI</t>
        </is>
      </c>
      <c r="C2362" t="inlineStr">
        <is>
          <t>MAGNITE, INC.</t>
        </is>
      </c>
      <c r="D2362" t="n">
        <v>7370</v>
      </c>
    </row>
    <row r="2363">
      <c r="A2363" t="inlineStr">
        <is>
          <t>MAGNOLIA OIL &amp; GAS CORP</t>
        </is>
      </c>
      <c r="B2363" t="inlineStr">
        <is>
          <t>MGY</t>
        </is>
      </c>
      <c r="C2363" t="inlineStr">
        <is>
          <t>MAGNOLIA OIL &amp; GAS CORP</t>
        </is>
      </c>
      <c r="D2363" t="n">
        <v>1311</v>
      </c>
    </row>
    <row r="2364">
      <c r="A2364" t="inlineStr">
        <is>
          <t>MAGYAR BANCORP, INC.</t>
        </is>
      </c>
      <c r="B2364" t="inlineStr">
        <is>
          <t>MGYR</t>
        </is>
      </c>
      <c r="C2364" t="inlineStr">
        <is>
          <t>MAGYAR BANCORP, INC.</t>
        </is>
      </c>
      <c r="D2364" t="n">
        <v>6035</v>
      </c>
    </row>
    <row r="2365">
      <c r="A2365" t="inlineStr">
        <is>
          <t>MAIDEN HOLDINGS, LTD.</t>
        </is>
      </c>
      <c r="B2365" t="inlineStr">
        <is>
          <t>MHLD</t>
        </is>
      </c>
      <c r="C2365" t="inlineStr">
        <is>
          <t>MAIDEN HOLDINGS, LTD.</t>
        </is>
      </c>
      <c r="D2365" t="n">
        <v>6331</v>
      </c>
    </row>
    <row r="2366">
      <c r="A2366" t="inlineStr">
        <is>
          <t>MAINSTREET BANCSHARES, INC.</t>
        </is>
      </c>
      <c r="B2366" t="inlineStr">
        <is>
          <t>MNSB</t>
        </is>
      </c>
      <c r="C2366" t="inlineStr">
        <is>
          <t>MAINSTREET BANCSHARES, INC.</t>
        </is>
      </c>
      <c r="D2366" t="n">
        <v>6022</v>
      </c>
    </row>
    <row r="2367">
      <c r="A2367" t="inlineStr">
        <is>
          <t>MALIBU BOATS, INC.</t>
        </is>
      </c>
      <c r="B2367" t="inlineStr">
        <is>
          <t>MBUU</t>
        </is>
      </c>
      <c r="C2367" t="inlineStr">
        <is>
          <t>MALIBU BOATS, INC.</t>
        </is>
      </c>
      <c r="D2367" t="n">
        <v>3730</v>
      </c>
    </row>
    <row r="2368">
      <c r="A2368" t="inlineStr">
        <is>
          <t>MALVERN BANCORP, INC.</t>
        </is>
      </c>
      <c r="B2368" t="inlineStr">
        <is>
          <t>MLVF</t>
        </is>
      </c>
      <c r="C2368" t="inlineStr">
        <is>
          <t>MALVERN BANCORP, INC.</t>
        </is>
      </c>
      <c r="D2368" t="n">
        <v>6035</v>
      </c>
    </row>
    <row r="2369">
      <c r="A2369" t="inlineStr">
        <is>
          <t>MAMAMANCINI'S HOLDINGS, INC.</t>
        </is>
      </c>
      <c r="B2369" t="inlineStr">
        <is>
          <t>MMMB</t>
        </is>
      </c>
      <c r="C2369" t="inlineStr">
        <is>
          <t>MAMAMANCINI'S HOLDINGS, INC.</t>
        </is>
      </c>
      <c r="D2369" t="n">
        <v>2013</v>
      </c>
    </row>
    <row r="2370">
      <c r="A2370" t="inlineStr">
        <is>
          <t>MAMMOTH ENERGY SERVICES, INC.</t>
        </is>
      </c>
      <c r="B2370" t="inlineStr">
        <is>
          <t>TUSK</t>
        </is>
      </c>
      <c r="C2370" t="inlineStr">
        <is>
          <t>MAMMOTH ENERGY SERVICES, INC.</t>
        </is>
      </c>
      <c r="D2370" t="n">
        <v>1389</v>
      </c>
    </row>
    <row r="2371">
      <c r="A2371" t="inlineStr">
        <is>
          <t>MANDIANT, INC.</t>
        </is>
      </c>
      <c r="B2371" t="inlineStr">
        <is>
          <t>MNDT</t>
        </is>
      </c>
      <c r="C2371" t="inlineStr">
        <is>
          <t>MANDIANT, INC.</t>
        </is>
      </c>
      <c r="D2371" t="n">
        <v>3577</v>
      </c>
    </row>
    <row r="2372">
      <c r="A2372" t="inlineStr">
        <is>
          <t>MANHATTAN ASSOCIATES INC</t>
        </is>
      </c>
      <c r="B2372" t="inlineStr">
        <is>
          <t>MANH</t>
        </is>
      </c>
      <c r="C2372" t="inlineStr">
        <is>
          <t>MANHATTAN ASSOCIATES INC</t>
        </is>
      </c>
      <c r="D2372" t="n">
        <v>7372</v>
      </c>
    </row>
    <row r="2373">
      <c r="A2373" t="inlineStr">
        <is>
          <t>MANHATTAN BRIDGE CAPITAL, INC</t>
        </is>
      </c>
      <c r="B2373" t="inlineStr">
        <is>
          <t>LOAN</t>
        </is>
      </c>
      <c r="C2373" t="inlineStr">
        <is>
          <t>MANHATTAN BRIDGE CAPITAL, INC</t>
        </is>
      </c>
      <c r="D2373" t="n">
        <v>6798</v>
      </c>
    </row>
    <row r="2374">
      <c r="A2374" t="inlineStr">
        <is>
          <t>MANITEX INTERNATIONAL, INC.</t>
        </is>
      </c>
      <c r="B2374" t="inlineStr">
        <is>
          <t>MNTX</t>
        </is>
      </c>
      <c r="C2374" t="inlineStr">
        <is>
          <t>MANITEX INTERNATIONAL, INC.</t>
        </is>
      </c>
      <c r="D2374" t="n">
        <v>3559</v>
      </c>
    </row>
    <row r="2375">
      <c r="A2375" t="inlineStr">
        <is>
          <t>MANITOWOC CO INC</t>
        </is>
      </c>
      <c r="B2375" t="inlineStr">
        <is>
          <t>MTW</t>
        </is>
      </c>
      <c r="C2375" t="inlineStr">
        <is>
          <t>MANITOWOC CO INC</t>
        </is>
      </c>
      <c r="D2375" t="n">
        <v>3531</v>
      </c>
    </row>
    <row r="2376">
      <c r="A2376" t="inlineStr">
        <is>
          <t>MANNATECH INC</t>
        </is>
      </c>
      <c r="B2376" t="inlineStr">
        <is>
          <t>MTEX</t>
        </is>
      </c>
      <c r="C2376" t="inlineStr">
        <is>
          <t>MANNATECH INC</t>
        </is>
      </c>
      <c r="D2376" t="n">
        <v>2833</v>
      </c>
    </row>
    <row r="2377">
      <c r="A2377" t="inlineStr">
        <is>
          <t>MANNING &amp; NAPIER, INC.</t>
        </is>
      </c>
      <c r="B2377" t="inlineStr">
        <is>
          <t>MN</t>
        </is>
      </c>
      <c r="C2377" t="inlineStr">
        <is>
          <t>MANNING &amp; NAPIER, INC.</t>
        </is>
      </c>
      <c r="D2377" t="n">
        <v>6282</v>
      </c>
    </row>
    <row r="2378">
      <c r="A2378" t="inlineStr">
        <is>
          <t>MANNKIND CORP</t>
        </is>
      </c>
      <c r="B2378" t="inlineStr">
        <is>
          <t>MNKD</t>
        </is>
      </c>
      <c r="C2378" t="inlineStr">
        <is>
          <t>MANNKIND CORP</t>
        </is>
      </c>
      <c r="D2378" t="n">
        <v>2834</v>
      </c>
    </row>
    <row r="2379">
      <c r="A2379" t="inlineStr">
        <is>
          <t>MANPOWERGROUP INC.</t>
        </is>
      </c>
      <c r="B2379" t="inlineStr">
        <is>
          <t>MAN</t>
        </is>
      </c>
      <c r="C2379" t="inlineStr">
        <is>
          <t>MANPOWERGROUP INC.</t>
        </is>
      </c>
      <c r="D2379" t="n">
        <v>7363</v>
      </c>
    </row>
    <row r="2380">
      <c r="A2380" t="inlineStr">
        <is>
          <t>MANTECH INTERNATIONAL CORP</t>
        </is>
      </c>
      <c r="B2380" t="inlineStr">
        <is>
          <t>MANT</t>
        </is>
      </c>
      <c r="C2380" t="inlineStr">
        <is>
          <t>MANTECH INTERNATIONAL CORP</t>
        </is>
      </c>
      <c r="D2380" t="n">
        <v>8741</v>
      </c>
    </row>
    <row r="2381">
      <c r="A2381" t="inlineStr">
        <is>
          <t>MANUFACTURED HOUSING PROPERTIES INC.</t>
        </is>
      </c>
      <c r="B2381" t="inlineStr">
        <is>
          <t>MHPC</t>
        </is>
      </c>
      <c r="C2381" t="inlineStr">
        <is>
          <t>MANUFACTURED HOUSING PROPERTIES INC.</t>
        </is>
      </c>
      <c r="D2381" t="n">
        <v>6500</v>
      </c>
    </row>
    <row r="2382">
      <c r="A2382" t="inlineStr">
        <is>
          <t>MARATHON DIGITAL HOLDINGS, INC.</t>
        </is>
      </c>
      <c r="B2382" t="inlineStr">
        <is>
          <t>MARA</t>
        </is>
      </c>
      <c r="C2382" t="inlineStr">
        <is>
          <t>MARATHON DIGITAL HOLDINGS, INC.</t>
        </is>
      </c>
      <c r="D2382" t="n">
        <v>7374</v>
      </c>
    </row>
    <row r="2383">
      <c r="A2383" t="inlineStr">
        <is>
          <t>MARATHON OIL CORP</t>
        </is>
      </c>
      <c r="B2383" t="inlineStr">
        <is>
          <t>MRO</t>
        </is>
      </c>
      <c r="C2383" t="inlineStr">
        <is>
          <t>MARATHON OIL CORP</t>
        </is>
      </c>
      <c r="D2383" t="n">
        <v>1311</v>
      </c>
    </row>
    <row r="2384">
      <c r="A2384" t="inlineStr">
        <is>
          <t>MARATHON PETROLEUM CORP</t>
        </is>
      </c>
      <c r="B2384" t="inlineStr">
        <is>
          <t>MPC</t>
        </is>
      </c>
      <c r="C2384" t="inlineStr">
        <is>
          <t>MARATHON PETROLEUM CORP</t>
        </is>
      </c>
      <c r="D2384" t="n">
        <v>2911</v>
      </c>
    </row>
    <row r="2385">
      <c r="A2385" t="inlineStr">
        <is>
          <t>MARAVAI LIFESCIENCES HOLDINGS, INC.</t>
        </is>
      </c>
      <c r="B2385" t="inlineStr">
        <is>
          <t>MRVI</t>
        </is>
      </c>
      <c r="C2385" t="inlineStr">
        <is>
          <t>MARAVAI LIFESCIENCES HOLDINGS, INC.</t>
        </is>
      </c>
      <c r="D2385" t="n">
        <v>2834</v>
      </c>
    </row>
    <row r="2386">
      <c r="A2386" t="inlineStr">
        <is>
          <t>MARCHEX INC</t>
        </is>
      </c>
      <c r="B2386" t="inlineStr">
        <is>
          <t>MCHX</t>
        </is>
      </c>
      <c r="C2386" t="inlineStr">
        <is>
          <t>MARCHEX INC</t>
        </is>
      </c>
      <c r="D2386" t="n">
        <v>7389</v>
      </c>
    </row>
    <row r="2387">
      <c r="A2387" t="inlineStr">
        <is>
          <t>MARCUS &amp; MILLICHAP, INC.</t>
        </is>
      </c>
      <c r="B2387" t="inlineStr">
        <is>
          <t>MMI</t>
        </is>
      </c>
      <c r="C2387" t="inlineStr">
        <is>
          <t>MARCUS &amp; MILLICHAP, INC.</t>
        </is>
      </c>
      <c r="D2387" t="n">
        <v>6531</v>
      </c>
    </row>
    <row r="2388">
      <c r="A2388" t="inlineStr">
        <is>
          <t>MARCUS CORP</t>
        </is>
      </c>
      <c r="B2388" t="inlineStr">
        <is>
          <t>MCS</t>
        </is>
      </c>
      <c r="C2388" t="inlineStr">
        <is>
          <t>MARCUS CORP</t>
        </is>
      </c>
      <c r="D2388" t="n">
        <v>7830</v>
      </c>
    </row>
    <row r="2389">
      <c r="A2389" t="inlineStr">
        <is>
          <t>MARIMED INC.</t>
        </is>
      </c>
      <c r="B2389" t="inlineStr">
        <is>
          <t>MRMD</t>
        </is>
      </c>
      <c r="C2389" t="inlineStr">
        <is>
          <t>MARIMED INC.</t>
        </is>
      </c>
      <c r="D2389" t="n">
        <v>2833</v>
      </c>
    </row>
    <row r="2390">
      <c r="A2390" t="inlineStr">
        <is>
          <t>MARIN SOFTWARE INC</t>
        </is>
      </c>
      <c r="B2390" t="inlineStr">
        <is>
          <t>MRIN</t>
        </is>
      </c>
      <c r="C2390" t="inlineStr">
        <is>
          <t>MARIN SOFTWARE INC</t>
        </is>
      </c>
      <c r="D2390" t="n">
        <v>7374</v>
      </c>
    </row>
    <row r="2391">
      <c r="A2391" t="inlineStr">
        <is>
          <t>MARINE PRODUCTS CORP</t>
        </is>
      </c>
      <c r="B2391" t="inlineStr">
        <is>
          <t>MPX</t>
        </is>
      </c>
      <c r="C2391" t="inlineStr">
        <is>
          <t>MARINE PRODUCTS CORP</t>
        </is>
      </c>
      <c r="D2391" t="n">
        <v>3730</v>
      </c>
    </row>
    <row r="2392">
      <c r="A2392" t="inlineStr">
        <is>
          <t>MARINEMAX INC</t>
        </is>
      </c>
      <c r="B2392" t="inlineStr">
        <is>
          <t>HZO</t>
        </is>
      </c>
      <c r="C2392" t="inlineStr">
        <is>
          <t>MARINEMAX INC</t>
        </is>
      </c>
      <c r="D2392" t="n">
        <v>5531</v>
      </c>
    </row>
    <row r="2393">
      <c r="A2393" t="inlineStr">
        <is>
          <t>MARINUS PHARMACEUTICALS INC</t>
        </is>
      </c>
      <c r="B2393" t="inlineStr">
        <is>
          <t>MRNS</t>
        </is>
      </c>
      <c r="C2393" t="inlineStr">
        <is>
          <t>MARINUS PHARMACEUTICALS INC</t>
        </is>
      </c>
      <c r="D2393" t="n">
        <v>2834</v>
      </c>
    </row>
    <row r="2394">
      <c r="A2394" t="inlineStr">
        <is>
          <t>MARIZYME INC</t>
        </is>
      </c>
      <c r="B2394" t="inlineStr">
        <is>
          <t>MRZM</t>
        </is>
      </c>
      <c r="C2394" t="inlineStr">
        <is>
          <t>MARIZYME INC</t>
        </is>
      </c>
      <c r="D2394" t="n">
        <v>2834</v>
      </c>
    </row>
    <row r="2395">
      <c r="A2395" t="inlineStr">
        <is>
          <t>MARKEL CORP</t>
        </is>
      </c>
      <c r="B2395" t="inlineStr">
        <is>
          <t>MKL</t>
        </is>
      </c>
      <c r="C2395" t="inlineStr">
        <is>
          <t>MARKEL CORP</t>
        </is>
      </c>
      <c r="D2395" t="n">
        <v>6331</v>
      </c>
    </row>
    <row r="2396">
      <c r="A2396" t="inlineStr">
        <is>
          <t>MARKER THERAPEUTICS, INC.</t>
        </is>
      </c>
      <c r="B2396" t="inlineStr">
        <is>
          <t>MRKR</t>
        </is>
      </c>
      <c r="C2396" t="inlineStr">
        <is>
          <t>MARKER THERAPEUTICS, INC.</t>
        </is>
      </c>
      <c r="D2396" t="n">
        <v>2834</v>
      </c>
    </row>
    <row r="2397">
      <c r="A2397" t="inlineStr">
        <is>
          <t>MARKETAXESS HOLDINGS INC</t>
        </is>
      </c>
      <c r="B2397" t="inlineStr">
        <is>
          <t>MKTX</t>
        </is>
      </c>
      <c r="C2397" t="inlineStr">
        <is>
          <t>MARKETAXESS HOLDINGS INC</t>
        </is>
      </c>
      <c r="D2397" t="n">
        <v>6211</v>
      </c>
    </row>
    <row r="2398">
      <c r="A2398" t="inlineStr">
        <is>
          <t>MARKETWISE, INC.</t>
        </is>
      </c>
      <c r="B2398" t="inlineStr">
        <is>
          <t>MKTW</t>
        </is>
      </c>
      <c r="C2398" t="inlineStr">
        <is>
          <t>MARKETWISE, INC.</t>
        </is>
      </c>
      <c r="D2398" t="n">
        <v>7372</v>
      </c>
    </row>
    <row r="2399">
      <c r="A2399" t="inlineStr">
        <is>
          <t>MARKFORGED HOLDING CORP</t>
        </is>
      </c>
      <c r="B2399" t="inlineStr">
        <is>
          <t>MKFG</t>
        </is>
      </c>
      <c r="C2399" t="inlineStr">
        <is>
          <t>MARKFORGED HOLDING CORP</t>
        </is>
      </c>
      <c r="D2399" t="n">
        <v>3577</v>
      </c>
    </row>
    <row r="2400">
      <c r="A2400" t="inlineStr">
        <is>
          <t>MARQETA, INC.</t>
        </is>
      </c>
      <c r="B2400" t="inlineStr">
        <is>
          <t>MQ</t>
        </is>
      </c>
      <c r="C2400" t="inlineStr">
        <is>
          <t>MARQETA, INC.</t>
        </is>
      </c>
      <c r="D2400" t="n">
        <v>7372</v>
      </c>
    </row>
    <row r="2401">
      <c r="A2401" t="inlineStr">
        <is>
          <t>MARRIOTT INTERNATIONAL INC /MD/</t>
        </is>
      </c>
      <c r="B2401" t="inlineStr">
        <is>
          <t>MAR</t>
        </is>
      </c>
      <c r="C2401" t="inlineStr">
        <is>
          <t>MARRIOTT INTERNATIONAL INC /MD/</t>
        </is>
      </c>
      <c r="D2401" t="n">
        <v>7011</v>
      </c>
    </row>
    <row r="2402">
      <c r="A2402" t="inlineStr">
        <is>
          <t>MARRIOTT VACATIONS WORLDWIDE CORP</t>
        </is>
      </c>
      <c r="B2402" t="inlineStr">
        <is>
          <t>VAC</t>
        </is>
      </c>
      <c r="C2402" t="inlineStr">
        <is>
          <t>MARRIOTT VACATIONS WORLDWIDE CORP</t>
        </is>
      </c>
      <c r="D2402" t="n">
        <v>6531</v>
      </c>
    </row>
    <row r="2403">
      <c r="A2403" t="inlineStr">
        <is>
          <t>MARRONE BIO INNOVATIONS INC</t>
        </is>
      </c>
      <c r="B2403" t="inlineStr">
        <is>
          <t>MBII</t>
        </is>
      </c>
      <c r="C2403" t="inlineStr">
        <is>
          <t>MARRONE BIO INNOVATIONS INC</t>
        </is>
      </c>
      <c r="D2403" t="n">
        <v>2870</v>
      </c>
    </row>
    <row r="2404">
      <c r="A2404" t="inlineStr">
        <is>
          <t>MARSH &amp; MCLENNAN COMPANIES, INC.</t>
        </is>
      </c>
      <c r="B2404" t="inlineStr">
        <is>
          <t>MMC</t>
        </is>
      </c>
      <c r="C2404" t="inlineStr">
        <is>
          <t>MARSH &amp; MCLENNAN COMPANIES, INC.</t>
        </is>
      </c>
      <c r="D2404" t="n">
        <v>6411</v>
      </c>
    </row>
    <row r="2405">
      <c r="A2405" t="inlineStr">
        <is>
          <t>MARTEN TRANSPORT LTD</t>
        </is>
      </c>
      <c r="B2405" t="inlineStr">
        <is>
          <t>MRTN</t>
        </is>
      </c>
      <c r="C2405" t="inlineStr">
        <is>
          <t>MARTEN TRANSPORT LTD</t>
        </is>
      </c>
      <c r="D2405" t="n">
        <v>4213</v>
      </c>
    </row>
    <row r="2406">
      <c r="A2406" t="inlineStr">
        <is>
          <t>MARTIN MARIETTA MATERIALS INC</t>
        </is>
      </c>
      <c r="B2406" t="inlineStr">
        <is>
          <t>MLM</t>
        </is>
      </c>
      <c r="C2406" t="inlineStr">
        <is>
          <t>MARTIN MARIETTA MATERIALS INC</t>
        </is>
      </c>
      <c r="D2406" t="n">
        <v>1400</v>
      </c>
    </row>
    <row r="2407">
      <c r="A2407" t="inlineStr">
        <is>
          <t>MARTIN MIDSTREAM PARTNERS L.P.</t>
        </is>
      </c>
      <c r="B2407" t="inlineStr">
        <is>
          <t>MMLP</t>
        </is>
      </c>
      <c r="C2407" t="inlineStr">
        <is>
          <t>MARTIN MIDSTREAM PARTNERS L.P.</t>
        </is>
      </c>
      <c r="D2407" t="n">
        <v>5171</v>
      </c>
    </row>
    <row r="2408">
      <c r="A2408" t="inlineStr">
        <is>
          <t>MARVELL TECHNOLOGY, INC.</t>
        </is>
      </c>
      <c r="B2408" t="inlineStr">
        <is>
          <t>MRVL</t>
        </is>
      </c>
      <c r="C2408" t="inlineStr">
        <is>
          <t>MARVELL TECHNOLOGY, INC.</t>
        </is>
      </c>
      <c r="D2408" t="n">
        <v>3674</v>
      </c>
    </row>
    <row r="2409">
      <c r="A2409" t="inlineStr">
        <is>
          <t>MASCO CORP /DE/</t>
        </is>
      </c>
      <c r="B2409" t="inlineStr">
        <is>
          <t>MAS</t>
        </is>
      </c>
      <c r="C2409" t="inlineStr">
        <is>
          <t>MASCO CORP /DE/</t>
        </is>
      </c>
      <c r="D2409" t="n">
        <v>3430</v>
      </c>
    </row>
    <row r="2410">
      <c r="A2410" t="inlineStr">
        <is>
          <t>MASIMO CORP</t>
        </is>
      </c>
      <c r="B2410" t="inlineStr">
        <is>
          <t>MASI</t>
        </is>
      </c>
      <c r="C2410" t="inlineStr">
        <is>
          <t>MASIMO CORP</t>
        </is>
      </c>
      <c r="D2410" t="n">
        <v>3845</v>
      </c>
    </row>
    <row r="2411">
      <c r="A2411" t="inlineStr">
        <is>
          <t>MASONITE INTERNATIONAL CORP</t>
        </is>
      </c>
      <c r="B2411" t="inlineStr">
        <is>
          <t>DOOR</t>
        </is>
      </c>
      <c r="C2411" t="inlineStr">
        <is>
          <t>MASONITE INTERNATIONAL CORP</t>
        </is>
      </c>
      <c r="D2411" t="n">
        <v>2430</v>
      </c>
    </row>
    <row r="2412">
      <c r="A2412" t="inlineStr">
        <is>
          <t>MASTEC INC</t>
        </is>
      </c>
      <c r="B2412" t="inlineStr">
        <is>
          <t>MTZ</t>
        </is>
      </c>
      <c r="C2412" t="inlineStr">
        <is>
          <t>MASTEC INC</t>
        </is>
      </c>
      <c r="D2412" t="n">
        <v>1623</v>
      </c>
    </row>
    <row r="2413">
      <c r="A2413" t="inlineStr">
        <is>
          <t>MASTECH DIGITAL, INC.</t>
        </is>
      </c>
      <c r="B2413" t="inlineStr">
        <is>
          <t>MHH</t>
        </is>
      </c>
      <c r="C2413" t="inlineStr">
        <is>
          <t>MASTECH DIGITAL, INC.</t>
        </is>
      </c>
      <c r="D2413" t="n">
        <v>8742</v>
      </c>
    </row>
    <row r="2414">
      <c r="A2414" t="inlineStr">
        <is>
          <t>MASTERCARD INC</t>
        </is>
      </c>
      <c r="B2414" t="inlineStr">
        <is>
          <t>MA</t>
        </is>
      </c>
      <c r="C2414" t="inlineStr">
        <is>
          <t>MASTERCARD INC</t>
        </is>
      </c>
      <c r="D2414" t="n">
        <v>7389</v>
      </c>
    </row>
    <row r="2415">
      <c r="A2415" t="inlineStr">
        <is>
          <t>MASTERCRAFT BOAT HOLDINGS, INC.</t>
        </is>
      </c>
      <c r="B2415" t="inlineStr">
        <is>
          <t>MCFT</t>
        </is>
      </c>
      <c r="C2415" t="inlineStr">
        <is>
          <t>MASTERCRAFT BOAT HOLDINGS, INC.</t>
        </is>
      </c>
      <c r="D2415" t="n">
        <v>3730</v>
      </c>
    </row>
    <row r="2416">
      <c r="A2416" t="inlineStr">
        <is>
          <t>MATADOR RESOURCES CO</t>
        </is>
      </c>
      <c r="B2416" t="inlineStr">
        <is>
          <t>MTDR</t>
        </is>
      </c>
      <c r="C2416" t="inlineStr">
        <is>
          <t>MATADOR RESOURCES CO</t>
        </is>
      </c>
      <c r="D2416" t="n">
        <v>1311</v>
      </c>
    </row>
    <row r="2417">
      <c r="A2417" t="inlineStr">
        <is>
          <t>MATCH GROUP, INC.</t>
        </is>
      </c>
      <c r="B2417" t="inlineStr">
        <is>
          <t>MTCH</t>
        </is>
      </c>
      <c r="C2417" t="inlineStr">
        <is>
          <t>MATCH GROUP, INC.</t>
        </is>
      </c>
      <c r="D2417" t="n">
        <v>7370</v>
      </c>
    </row>
    <row r="2418">
      <c r="A2418" t="inlineStr">
        <is>
          <t>MATERION CORP</t>
        </is>
      </c>
      <c r="B2418" t="inlineStr">
        <is>
          <t>MTRN</t>
        </is>
      </c>
      <c r="C2418" t="inlineStr">
        <is>
          <t>MATERION CORP</t>
        </is>
      </c>
      <c r="D2418" t="n">
        <v>3460</v>
      </c>
    </row>
    <row r="2419">
      <c r="A2419" t="inlineStr">
        <is>
          <t>MATINAS BIOPHARMA HOLDINGS, INC.</t>
        </is>
      </c>
      <c r="B2419" t="inlineStr">
        <is>
          <t>MTNB</t>
        </is>
      </c>
      <c r="C2419" t="inlineStr">
        <is>
          <t>MATINAS BIOPHARMA HOLDINGS, INC.</t>
        </is>
      </c>
      <c r="D2419" t="n">
        <v>2834</v>
      </c>
    </row>
    <row r="2420">
      <c r="A2420" t="inlineStr">
        <is>
          <t>MATRIX SERVICE CO</t>
        </is>
      </c>
      <c r="B2420" t="inlineStr">
        <is>
          <t>MTRX</t>
        </is>
      </c>
      <c r="C2420" t="inlineStr">
        <is>
          <t>MATRIX SERVICE CO</t>
        </is>
      </c>
      <c r="D2420" t="n">
        <v>1700</v>
      </c>
    </row>
    <row r="2421">
      <c r="A2421" t="inlineStr">
        <is>
          <t>MATSON, INC.</t>
        </is>
      </c>
      <c r="B2421" t="inlineStr">
        <is>
          <t>MATX</t>
        </is>
      </c>
      <c r="C2421" t="inlineStr">
        <is>
          <t>MATSON, INC.</t>
        </is>
      </c>
      <c r="D2421" t="n">
        <v>4400</v>
      </c>
    </row>
    <row r="2422">
      <c r="A2422" t="inlineStr">
        <is>
          <t>MATTEL INC /DE/</t>
        </is>
      </c>
      <c r="B2422" t="inlineStr">
        <is>
          <t>MAT</t>
        </is>
      </c>
      <c r="C2422" t="inlineStr">
        <is>
          <t>MATTEL INC /DE/</t>
        </is>
      </c>
      <c r="D2422" t="n">
        <v>3942</v>
      </c>
    </row>
    <row r="2423">
      <c r="A2423" t="inlineStr">
        <is>
          <t>MATTERPORT, INC./DE</t>
        </is>
      </c>
      <c r="B2423" t="inlineStr">
        <is>
          <t>MTTR</t>
        </is>
      </c>
      <c r="C2423" t="inlineStr">
        <is>
          <t>MATTERPORT, INC./DE</t>
        </is>
      </c>
      <c r="D2423" t="n">
        <v>7372</v>
      </c>
    </row>
    <row r="2424">
      <c r="A2424" t="inlineStr">
        <is>
          <t>MATTHEWS INTERNATIONAL CORP</t>
        </is>
      </c>
      <c r="B2424" t="inlineStr">
        <is>
          <t>MATW</t>
        </is>
      </c>
      <c r="C2424" t="inlineStr">
        <is>
          <t>MATTHEWS INTERNATIONAL CORP</t>
        </is>
      </c>
      <c r="D2424" t="n">
        <v>3360</v>
      </c>
    </row>
    <row r="2425">
      <c r="A2425" t="inlineStr">
        <is>
          <t>MAUI LAND &amp; PINEAPPLE CO INC</t>
        </is>
      </c>
      <c r="B2425" t="inlineStr">
        <is>
          <t>MLP</t>
        </is>
      </c>
      <c r="C2425" t="inlineStr">
        <is>
          <t>MAUI LAND &amp; PINEAPPLE CO INC</t>
        </is>
      </c>
      <c r="D2425" t="n">
        <v>6500</v>
      </c>
    </row>
    <row r="2426">
      <c r="A2426" t="inlineStr">
        <is>
          <t>MAXAR TECHNOLOGIES INC.</t>
        </is>
      </c>
      <c r="B2426" t="inlineStr">
        <is>
          <t>MAXR</t>
        </is>
      </c>
      <c r="C2426" t="inlineStr">
        <is>
          <t>MAXAR TECHNOLOGIES INC.</t>
        </is>
      </c>
      <c r="D2426" t="n">
        <v>3663</v>
      </c>
    </row>
    <row r="2427">
      <c r="A2427" t="inlineStr">
        <is>
          <t>MAXCYTE, INC.</t>
        </is>
      </c>
      <c r="B2427" t="inlineStr">
        <is>
          <t>MXCT</t>
        </is>
      </c>
      <c r="C2427" t="inlineStr">
        <is>
          <t>MAXCYTE, INC.</t>
        </is>
      </c>
      <c r="D2427" t="n">
        <v>8731</v>
      </c>
    </row>
    <row r="2428">
      <c r="A2428" t="inlineStr">
        <is>
          <t>MAXEON SOLAR TECHNOLOGIES, LTD.</t>
        </is>
      </c>
      <c r="B2428" t="inlineStr">
        <is>
          <t>MAXN</t>
        </is>
      </c>
      <c r="C2428" t="inlineStr">
        <is>
          <t>MAXEON SOLAR TECHNOLOGIES, LTD.</t>
        </is>
      </c>
      <c r="D2428" t="n">
        <v>3674</v>
      </c>
    </row>
    <row r="2429">
      <c r="A2429" t="inlineStr">
        <is>
          <t>MAXIMUS, INC.</t>
        </is>
      </c>
      <c r="B2429" t="inlineStr">
        <is>
          <t>MMS</t>
        </is>
      </c>
      <c r="C2429" t="inlineStr">
        <is>
          <t>MAXIMUS, INC.</t>
        </is>
      </c>
      <c r="D2429" t="n">
        <v>7389</v>
      </c>
    </row>
    <row r="2430">
      <c r="A2430" t="inlineStr">
        <is>
          <t>MAXLINEAR INC</t>
        </is>
      </c>
      <c r="B2430" t="inlineStr">
        <is>
          <t>MXL</t>
        </is>
      </c>
      <c r="C2430" t="inlineStr">
        <is>
          <t>MAXLINEAR INC</t>
        </is>
      </c>
      <c r="D2430" t="n">
        <v>3674</v>
      </c>
    </row>
    <row r="2431">
      <c r="A2431" t="inlineStr">
        <is>
          <t>MAYS J W INC</t>
        </is>
      </c>
      <c r="B2431" t="inlineStr">
        <is>
          <t>MAYS</t>
        </is>
      </c>
      <c r="C2431" t="inlineStr">
        <is>
          <t>MAYS J W INC</t>
        </is>
      </c>
      <c r="D2431" t="n">
        <v>6512</v>
      </c>
    </row>
    <row r="2432">
      <c r="A2432" t="inlineStr">
        <is>
          <t>MAYVILLE ENGINEERING COMPANY, INC.</t>
        </is>
      </c>
      <c r="B2432" t="inlineStr">
        <is>
          <t>MEC</t>
        </is>
      </c>
      <c r="C2432" t="inlineStr">
        <is>
          <t>MAYVILLE ENGINEERING COMPANY, INC.</t>
        </is>
      </c>
      <c r="D2432" t="n">
        <v>3460</v>
      </c>
    </row>
    <row r="2433">
      <c r="A2433" t="inlineStr">
        <is>
          <t>MBIA INC</t>
        </is>
      </c>
      <c r="B2433" t="inlineStr">
        <is>
          <t>MBI</t>
        </is>
      </c>
      <c r="C2433" t="inlineStr">
        <is>
          <t>MBIA INC</t>
        </is>
      </c>
      <c r="D2433" t="n">
        <v>6351</v>
      </c>
    </row>
    <row r="2434">
      <c r="A2434" t="inlineStr">
        <is>
          <t>MCCORMICK &amp; CO INC</t>
        </is>
      </c>
      <c r="B2434" t="inlineStr">
        <is>
          <t>MKC</t>
        </is>
      </c>
      <c r="C2434" t="inlineStr">
        <is>
          <t>MCCORMICK &amp; CO INC</t>
        </is>
      </c>
      <c r="D2434" t="n">
        <v>2090</v>
      </c>
    </row>
    <row r="2435">
      <c r="A2435" t="inlineStr">
        <is>
          <t>MCDONALDS CORP</t>
        </is>
      </c>
      <c r="B2435" t="inlineStr">
        <is>
          <t>MCD</t>
        </is>
      </c>
      <c r="C2435" t="inlineStr">
        <is>
          <t>MCDONALDS CORP</t>
        </is>
      </c>
      <c r="D2435" t="n">
        <v>5812</v>
      </c>
    </row>
    <row r="2436">
      <c r="A2436" t="inlineStr">
        <is>
          <t>MCEWEN MINING INC.</t>
        </is>
      </c>
      <c r="B2436" t="inlineStr">
        <is>
          <t>MUX</t>
        </is>
      </c>
      <c r="C2436" t="inlineStr">
        <is>
          <t>MCEWEN MINING INC.</t>
        </is>
      </c>
      <c r="D2436" t="n">
        <v>1040</v>
      </c>
    </row>
    <row r="2437">
      <c r="A2437" t="inlineStr">
        <is>
          <t>MCGRATH RENTCORP</t>
        </is>
      </c>
      <c r="B2437" t="inlineStr">
        <is>
          <t>MGRC</t>
        </is>
      </c>
      <c r="C2437" t="inlineStr">
        <is>
          <t>MCGRATH RENTCORP</t>
        </is>
      </c>
      <c r="D2437" t="n">
        <v>7359</v>
      </c>
    </row>
    <row r="2438">
      <c r="A2438" t="inlineStr">
        <is>
          <t>MCKESSON CORP</t>
        </is>
      </c>
      <c r="B2438" t="inlineStr">
        <is>
          <t>MCK</t>
        </is>
      </c>
      <c r="C2438" t="inlineStr">
        <is>
          <t>MCKESSON CORP</t>
        </is>
      </c>
      <c r="D2438" t="n">
        <v>5122</v>
      </c>
    </row>
    <row r="2439">
      <c r="A2439" t="inlineStr">
        <is>
          <t>MDU RESOURCES GROUP INC</t>
        </is>
      </c>
      <c r="B2439" t="inlineStr">
        <is>
          <t>MDU</t>
        </is>
      </c>
      <c r="C2439" t="inlineStr">
        <is>
          <t>MDU RESOURCES GROUP INC</t>
        </is>
      </c>
      <c r="D2439" t="n">
        <v>1400</v>
      </c>
    </row>
    <row r="2440">
      <c r="A2440" t="inlineStr">
        <is>
          <t>MEDALIST DIVERSIFIED REIT, INC.</t>
        </is>
      </c>
      <c r="B2440" t="inlineStr">
        <is>
          <t>MDRR</t>
        </is>
      </c>
      <c r="C2440" t="inlineStr">
        <is>
          <t>MEDALIST DIVERSIFIED REIT, INC.</t>
        </is>
      </c>
      <c r="D2440" t="n">
        <v>6798</v>
      </c>
    </row>
    <row r="2441">
      <c r="A2441" t="inlineStr">
        <is>
          <t>MEDALLION FINANCIAL CORP</t>
        </is>
      </c>
      <c r="B2441" t="inlineStr">
        <is>
          <t>MFIN</t>
        </is>
      </c>
      <c r="C2441" t="inlineStr">
        <is>
          <t>MEDALLION FINANCIAL CORP</t>
        </is>
      </c>
      <c r="D2441" t="n">
        <v>6199</v>
      </c>
    </row>
    <row r="2442">
      <c r="A2442" t="inlineStr">
        <is>
          <t>MEDAVAIL HOLDINGS, INC.</t>
        </is>
      </c>
      <c r="B2442" t="inlineStr">
        <is>
          <t>MDVL</t>
        </is>
      </c>
      <c r="C2442" t="inlineStr">
        <is>
          <t>MEDAVAIL HOLDINGS, INC.</t>
        </is>
      </c>
      <c r="D2442" t="n">
        <v>5912</v>
      </c>
    </row>
    <row r="2443">
      <c r="A2443" t="inlineStr">
        <is>
          <t>MEDIAALPHA, INC.</t>
        </is>
      </c>
      <c r="B2443" t="inlineStr">
        <is>
          <t>MAX</t>
        </is>
      </c>
      <c r="C2443" t="inlineStr">
        <is>
          <t>MEDIAALPHA, INC.</t>
        </is>
      </c>
      <c r="D2443" t="n">
        <v>6399</v>
      </c>
    </row>
    <row r="2444">
      <c r="A2444" t="inlineStr">
        <is>
          <t>MEDIACO HOLDING INC.</t>
        </is>
      </c>
      <c r="B2444" t="inlineStr">
        <is>
          <t>MDIA</t>
        </is>
      </c>
      <c r="C2444" t="inlineStr">
        <is>
          <t>MEDIACO HOLDING INC.</t>
        </is>
      </c>
      <c r="D2444" t="n">
        <v>4832</v>
      </c>
    </row>
    <row r="2445">
      <c r="A2445" t="inlineStr">
        <is>
          <t>MEDICAL PROPERTIES TRUST INC</t>
        </is>
      </c>
      <c r="B2445" t="inlineStr">
        <is>
          <t>MPW</t>
        </is>
      </c>
      <c r="C2445" t="inlineStr">
        <is>
          <t>MEDICAL PROPERTIES TRUST INC</t>
        </is>
      </c>
      <c r="D2445" t="n">
        <v>6798</v>
      </c>
    </row>
    <row r="2446">
      <c r="A2446" t="inlineStr">
        <is>
          <t>MEDICINE MAN TECHNOLOGIES, INC.</t>
        </is>
      </c>
      <c r="B2446" t="inlineStr">
        <is>
          <t>SHWZ</t>
        </is>
      </c>
      <c r="C2446" t="inlineStr">
        <is>
          <t>MEDICINE MAN TECHNOLOGIES, INC.</t>
        </is>
      </c>
      <c r="D2446" t="n">
        <v>8742</v>
      </c>
    </row>
    <row r="2447">
      <c r="A2447" t="inlineStr">
        <is>
          <t>MEDIFAST INC</t>
        </is>
      </c>
      <c r="B2447" t="inlineStr">
        <is>
          <t>MED</t>
        </is>
      </c>
      <c r="C2447" t="inlineStr">
        <is>
          <t>MEDIFAST INC</t>
        </is>
      </c>
      <c r="D2447" t="n">
        <v>2090</v>
      </c>
    </row>
    <row r="2448">
      <c r="A2448" t="inlineStr">
        <is>
          <t>MEDMEN ENTERPRISES, INC.</t>
        </is>
      </c>
      <c r="B2448" t="inlineStr">
        <is>
          <t>MMNFF</t>
        </is>
      </c>
      <c r="C2448" t="inlineStr">
        <is>
          <t>MEDMEN ENTERPRISES, INC.</t>
        </is>
      </c>
      <c r="D2448" t="n">
        <v>5990</v>
      </c>
    </row>
    <row r="2449">
      <c r="A2449" t="inlineStr">
        <is>
          <t>MEDNAX, INC.</t>
        </is>
      </c>
      <c r="B2449" t="inlineStr">
        <is>
          <t>MD</t>
        </is>
      </c>
      <c r="C2449" t="inlineStr">
        <is>
          <t>MEDNAX, INC.</t>
        </is>
      </c>
      <c r="D2449" t="n">
        <v>8060</v>
      </c>
    </row>
    <row r="2450">
      <c r="A2450" t="inlineStr">
        <is>
          <t>MEDPACE HOLDINGS, INC.</t>
        </is>
      </c>
      <c r="B2450" t="inlineStr">
        <is>
          <t>MEDP</t>
        </is>
      </c>
      <c r="C2450" t="inlineStr">
        <is>
          <t>MEDPACE HOLDINGS, INC.</t>
        </is>
      </c>
      <c r="D2450" t="n">
        <v>8731</v>
      </c>
    </row>
    <row r="2451">
      <c r="A2451" t="inlineStr">
        <is>
          <t>MEDTRONIC PLC</t>
        </is>
      </c>
      <c r="B2451" t="inlineStr">
        <is>
          <t>MDT</t>
        </is>
      </c>
      <c r="C2451" t="inlineStr">
        <is>
          <t>MEDTRONIC PLC</t>
        </is>
      </c>
      <c r="D2451" t="n">
        <v>3845</v>
      </c>
    </row>
    <row r="2452">
      <c r="A2452" t="inlineStr">
        <is>
          <t>MEI PHARMA, INC.</t>
        </is>
      </c>
      <c r="B2452" t="inlineStr">
        <is>
          <t>MEIP</t>
        </is>
      </c>
      <c r="C2452" t="inlineStr">
        <is>
          <t>MEI PHARMA, INC.</t>
        </is>
      </c>
      <c r="D2452" t="n">
        <v>2834</v>
      </c>
    </row>
    <row r="2453">
      <c r="A2453" t="inlineStr">
        <is>
          <t>MEIRAGTX HOLDINGS PLC</t>
        </is>
      </c>
      <c r="B2453" t="inlineStr">
        <is>
          <t>MGTX</t>
        </is>
      </c>
      <c r="C2453" t="inlineStr">
        <is>
          <t>MEIRAGTX HOLDINGS PLC</t>
        </is>
      </c>
      <c r="D2453" t="n">
        <v>2836</v>
      </c>
    </row>
    <row r="2454">
      <c r="A2454" t="inlineStr">
        <is>
          <t>MEIWU TECHNOLOGY CO LTD</t>
        </is>
      </c>
      <c r="B2454" t="inlineStr">
        <is>
          <t>WNW</t>
        </is>
      </c>
      <c r="C2454" t="inlineStr">
        <is>
          <t>MEIWU TECHNOLOGY CO LTD</t>
        </is>
      </c>
      <c r="D2454" t="n">
        <v>5961</v>
      </c>
    </row>
    <row r="2455">
      <c r="A2455" t="inlineStr">
        <is>
          <t>MELCO RESORTS &amp; ENTERTAINMENT LTD</t>
        </is>
      </c>
      <c r="B2455" t="inlineStr">
        <is>
          <t>MLCO</t>
        </is>
      </c>
      <c r="C2455" t="inlineStr">
        <is>
          <t>MELCO RESORTS &amp; ENTERTAINMENT LTD</t>
        </is>
      </c>
      <c r="D2455" t="n">
        <v>7011</v>
      </c>
    </row>
    <row r="2456">
      <c r="A2456" t="inlineStr">
        <is>
          <t>MEMBERSHIP COLLECTIVE GROUP INC.</t>
        </is>
      </c>
      <c r="B2456" t="inlineStr">
        <is>
          <t>MCG</t>
        </is>
      </c>
      <c r="C2456" t="inlineStr">
        <is>
          <t>MEMBERSHIP COLLECTIVE GROUP INC.</t>
        </is>
      </c>
      <c r="D2456" t="n">
        <v>7011</v>
      </c>
    </row>
    <row r="2457">
      <c r="A2457" t="inlineStr">
        <is>
          <t>MERCADOLIBRE INC</t>
        </is>
      </c>
      <c r="B2457" t="inlineStr">
        <is>
          <t>MELI</t>
        </is>
      </c>
      <c r="C2457" t="inlineStr">
        <is>
          <t>MERCADOLIBRE INC</t>
        </is>
      </c>
      <c r="D2457" t="n">
        <v>7389</v>
      </c>
    </row>
    <row r="2458">
      <c r="A2458" t="inlineStr">
        <is>
          <t>MERCANTILE BANK CORP</t>
        </is>
      </c>
      <c r="B2458" t="inlineStr">
        <is>
          <t>MBWM</t>
        </is>
      </c>
      <c r="C2458" t="inlineStr">
        <is>
          <t>MERCANTILE BANK CORP</t>
        </is>
      </c>
      <c r="D2458" t="n">
        <v>6022</v>
      </c>
    </row>
    <row r="2459">
      <c r="A2459" t="inlineStr">
        <is>
          <t>MERCER INTERNATIONAL INC.</t>
        </is>
      </c>
      <c r="B2459" t="inlineStr">
        <is>
          <t>MERC</t>
        </is>
      </c>
      <c r="C2459" t="inlineStr">
        <is>
          <t>MERCER INTERNATIONAL INC.</t>
        </is>
      </c>
      <c r="D2459" t="n">
        <v>2611</v>
      </c>
    </row>
    <row r="2460">
      <c r="A2460" t="inlineStr">
        <is>
          <t>MERCHANTS BANCORP</t>
        </is>
      </c>
      <c r="B2460" t="inlineStr">
        <is>
          <t>MBIN</t>
        </is>
      </c>
      <c r="C2460" t="inlineStr">
        <is>
          <t>MERCHANTS BANCORP</t>
        </is>
      </c>
      <c r="D2460" t="n">
        <v>6022</v>
      </c>
    </row>
    <row r="2461">
      <c r="A2461" t="inlineStr">
        <is>
          <t>MERCK &amp; CO., INC.</t>
        </is>
      </c>
      <c r="B2461" t="inlineStr">
        <is>
          <t>MRK</t>
        </is>
      </c>
      <c r="C2461" t="inlineStr">
        <is>
          <t>MERCK &amp; CO., INC.</t>
        </is>
      </c>
      <c r="D2461" t="n">
        <v>2834</v>
      </c>
    </row>
    <row r="2462">
      <c r="A2462" t="inlineStr">
        <is>
          <t>MERCURY GENERAL CORP</t>
        </is>
      </c>
      <c r="B2462" t="inlineStr">
        <is>
          <t>MCY</t>
        </is>
      </c>
      <c r="C2462" t="inlineStr">
        <is>
          <t>MERCURY GENERAL CORP</t>
        </is>
      </c>
      <c r="D2462" t="n">
        <v>6331</v>
      </c>
    </row>
    <row r="2463">
      <c r="A2463" t="inlineStr">
        <is>
          <t>MERCURY SYSTEMS INC</t>
        </is>
      </c>
      <c r="B2463" t="inlineStr">
        <is>
          <t>MRCY</t>
        </is>
      </c>
      <c r="C2463" t="inlineStr">
        <is>
          <t>MERCURY SYSTEMS INC</t>
        </is>
      </c>
      <c r="D2463" t="n">
        <v>3670</v>
      </c>
    </row>
    <row r="2464">
      <c r="A2464" t="inlineStr">
        <is>
          <t>MERIDIAN BIOSCIENCE INC</t>
        </is>
      </c>
      <c r="B2464" t="inlineStr">
        <is>
          <t>VIVO</t>
        </is>
      </c>
      <c r="C2464" t="inlineStr">
        <is>
          <t>MERIDIAN BIOSCIENCE INC</t>
        </is>
      </c>
      <c r="D2464" t="n">
        <v>2835</v>
      </c>
    </row>
    <row r="2465">
      <c r="A2465" t="inlineStr">
        <is>
          <t>MERIDIAN CORP</t>
        </is>
      </c>
      <c r="B2465" t="inlineStr">
        <is>
          <t>MRBK</t>
        </is>
      </c>
      <c r="C2465" t="inlineStr">
        <is>
          <t>MERIDIAN CORP</t>
        </is>
      </c>
      <c r="D2465" t="n">
        <v>6021</v>
      </c>
    </row>
    <row r="2466">
      <c r="A2466" t="inlineStr">
        <is>
          <t>MERIDIANLINK, INC.</t>
        </is>
      </c>
      <c r="B2466" t="inlineStr">
        <is>
          <t>MLNK</t>
        </is>
      </c>
      <c r="C2466" t="inlineStr">
        <is>
          <t>MERIDIANLINK, INC.</t>
        </is>
      </c>
      <c r="D2466" t="n">
        <v>7372</v>
      </c>
    </row>
    <row r="2467">
      <c r="A2467" t="inlineStr">
        <is>
          <t>MERIT MEDICAL SYSTEMS INC</t>
        </is>
      </c>
      <c r="B2467" t="inlineStr">
        <is>
          <t>MMSI</t>
        </is>
      </c>
      <c r="C2467" t="inlineStr">
        <is>
          <t>MERIT MEDICAL SYSTEMS INC</t>
        </is>
      </c>
      <c r="D2467" t="n">
        <v>3841</v>
      </c>
    </row>
    <row r="2468">
      <c r="A2468" t="inlineStr">
        <is>
          <t>MERITOR, INC.</t>
        </is>
      </c>
      <c r="B2468" t="inlineStr">
        <is>
          <t>MTOR</t>
        </is>
      </c>
      <c r="C2468" t="inlineStr">
        <is>
          <t>MERITOR, INC.</t>
        </is>
      </c>
      <c r="D2468" t="n">
        <v>3714</v>
      </c>
    </row>
    <row r="2469">
      <c r="A2469" t="inlineStr">
        <is>
          <t>MERSANA THERAPEUTICS, INC.</t>
        </is>
      </c>
      <c r="B2469" t="inlineStr">
        <is>
          <t>MRSN</t>
        </is>
      </c>
      <c r="C2469" t="inlineStr">
        <is>
          <t>MERSANA THERAPEUTICS, INC.</t>
        </is>
      </c>
      <c r="D2469" t="n">
        <v>2834</v>
      </c>
    </row>
    <row r="2470">
      <c r="A2470" t="inlineStr">
        <is>
          <t>MERUS N.V.</t>
        </is>
      </c>
      <c r="B2470" t="inlineStr">
        <is>
          <t>MRUS</t>
        </is>
      </c>
      <c r="C2470" t="inlineStr">
        <is>
          <t>MERUS N.V.</t>
        </is>
      </c>
      <c r="D2470" t="n">
        <v>2834</v>
      </c>
    </row>
    <row r="2471">
      <c r="A2471" t="inlineStr">
        <is>
          <t>MESA AIR GROUP INC</t>
        </is>
      </c>
      <c r="B2471" t="inlineStr">
        <is>
          <t>MESA</t>
        </is>
      </c>
      <c r="C2471" t="inlineStr">
        <is>
          <t>MESA AIR GROUP INC</t>
        </is>
      </c>
      <c r="D2471" t="n">
        <v>4512</v>
      </c>
    </row>
    <row r="2472">
      <c r="A2472" t="inlineStr">
        <is>
          <t>MESA LABORATORIES INC /CO/</t>
        </is>
      </c>
      <c r="B2472" t="inlineStr">
        <is>
          <t>MLAB</t>
        </is>
      </c>
      <c r="C2472" t="inlineStr">
        <is>
          <t>MESA LABORATORIES INC /CO/</t>
        </is>
      </c>
      <c r="D2472" t="n">
        <v>3823</v>
      </c>
    </row>
    <row r="2473">
      <c r="A2473" t="inlineStr">
        <is>
          <t>MESABI TRUST</t>
        </is>
      </c>
      <c r="B2473" t="inlineStr">
        <is>
          <t>MSB</t>
        </is>
      </c>
      <c r="C2473" t="inlineStr">
        <is>
          <t>MESABI TRUST</t>
        </is>
      </c>
      <c r="D2473" t="n">
        <v>6795</v>
      </c>
    </row>
    <row r="2474">
      <c r="A2474" t="inlineStr">
        <is>
          <t>META FINANCIAL GROUP INC</t>
        </is>
      </c>
      <c r="B2474" t="inlineStr">
        <is>
          <t>CASH</t>
        </is>
      </c>
      <c r="C2474" t="inlineStr">
        <is>
          <t>META FINANCIAL GROUP INC</t>
        </is>
      </c>
      <c r="D2474" t="n">
        <v>6021</v>
      </c>
    </row>
    <row r="2475">
      <c r="A2475" t="inlineStr">
        <is>
          <t>META MATERIALS INC.</t>
        </is>
      </c>
      <c r="B2475" t="inlineStr">
        <is>
          <t>MMAT</t>
        </is>
      </c>
      <c r="C2475" t="inlineStr">
        <is>
          <t>META MATERIALS INC.</t>
        </is>
      </c>
      <c r="D2475" t="n">
        <v>3674</v>
      </c>
    </row>
    <row r="2476">
      <c r="A2476" t="inlineStr">
        <is>
          <t>METEN HOLDING GROUP LTD.</t>
        </is>
      </c>
      <c r="B2476" t="inlineStr">
        <is>
          <t>METX</t>
        </is>
      </c>
      <c r="C2476" t="inlineStr">
        <is>
          <t>METEN HOLDING GROUP LTD.</t>
        </is>
      </c>
      <c r="D2476" t="n">
        <v>8200</v>
      </c>
    </row>
    <row r="2477">
      <c r="A2477" t="inlineStr">
        <is>
          <t>METHODE ELECTRONICS INC</t>
        </is>
      </c>
      <c r="B2477" t="inlineStr">
        <is>
          <t>MEI</t>
        </is>
      </c>
      <c r="C2477" t="inlineStr">
        <is>
          <t>METHODE ELECTRONICS INC</t>
        </is>
      </c>
      <c r="D2477" t="n">
        <v>3678</v>
      </c>
    </row>
    <row r="2478">
      <c r="A2478" t="inlineStr">
        <is>
          <t>METLIFE INC</t>
        </is>
      </c>
      <c r="B2478" t="inlineStr">
        <is>
          <t>MET</t>
        </is>
      </c>
      <c r="C2478" t="inlineStr">
        <is>
          <t>METLIFE INC</t>
        </is>
      </c>
      <c r="D2478" t="n">
        <v>6311</v>
      </c>
    </row>
    <row r="2479">
      <c r="A2479" t="inlineStr">
        <is>
          <t>METROCITY BANKSHARES, INC.</t>
        </is>
      </c>
      <c r="B2479" t="inlineStr">
        <is>
          <t>MCBS</t>
        </is>
      </c>
      <c r="C2479" t="inlineStr">
        <is>
          <t>METROCITY BANKSHARES, INC.</t>
        </is>
      </c>
      <c r="D2479" t="n">
        <v>6022</v>
      </c>
    </row>
    <row r="2480">
      <c r="A2480" t="inlineStr">
        <is>
          <t>METROMILE, INC.</t>
        </is>
      </c>
      <c r="B2480" t="inlineStr">
        <is>
          <t>MILE</t>
        </is>
      </c>
      <c r="C2480" t="inlineStr">
        <is>
          <t>METROMILE, INC.</t>
        </is>
      </c>
      <c r="D2480" t="n">
        <v>6331</v>
      </c>
    </row>
    <row r="2481">
      <c r="A2481" t="inlineStr">
        <is>
          <t>METROPOLITAN BANK HOLDING CORP.</t>
        </is>
      </c>
      <c r="B2481" t="inlineStr">
        <is>
          <t>MCB</t>
        </is>
      </c>
      <c r="C2481" t="inlineStr">
        <is>
          <t>METROPOLITAN BANK HOLDING CORP.</t>
        </is>
      </c>
      <c r="D2481" t="n">
        <v>6022</v>
      </c>
    </row>
    <row r="2482">
      <c r="A2482" t="inlineStr">
        <is>
          <t>METTLER TOLEDO INTERNATIONAL INC/</t>
        </is>
      </c>
      <c r="B2482" t="inlineStr">
        <is>
          <t>MTD</t>
        </is>
      </c>
      <c r="C2482" t="inlineStr">
        <is>
          <t>METTLER TOLEDO INTERNATIONAL INC/</t>
        </is>
      </c>
      <c r="D2482" t="n">
        <v>3826</v>
      </c>
    </row>
    <row r="2483">
      <c r="A2483" t="inlineStr">
        <is>
          <t>MEXCO ENERGY CORP</t>
        </is>
      </c>
      <c r="B2483" t="inlineStr">
        <is>
          <t>MXC</t>
        </is>
      </c>
      <c r="C2483" t="inlineStr">
        <is>
          <t>MEXCO ENERGY CORP</t>
        </is>
      </c>
      <c r="D2483" t="n">
        <v>1311</v>
      </c>
    </row>
    <row r="2484">
      <c r="A2484" t="inlineStr">
        <is>
          <t>MFA FINANCIAL, INC.</t>
        </is>
      </c>
      <c r="B2484" t="inlineStr">
        <is>
          <t>MFA</t>
        </is>
      </c>
      <c r="C2484" t="inlineStr">
        <is>
          <t>MFA FINANCIAL, INC.</t>
        </is>
      </c>
      <c r="D2484" t="n">
        <v>6798</v>
      </c>
    </row>
    <row r="2485">
      <c r="A2485" t="inlineStr">
        <is>
          <t>MGE ENERGY INC</t>
        </is>
      </c>
      <c r="B2485" t="inlineStr">
        <is>
          <t>MGEE</t>
        </is>
      </c>
      <c r="C2485" t="inlineStr">
        <is>
          <t>MGE ENERGY INC</t>
        </is>
      </c>
      <c r="D2485" t="n">
        <v>4900</v>
      </c>
    </row>
    <row r="2486">
      <c r="A2486" t="inlineStr">
        <is>
          <t>MGIC INVESTMENT CORP</t>
        </is>
      </c>
      <c r="B2486" t="inlineStr">
        <is>
          <t>MTG</t>
        </is>
      </c>
      <c r="C2486" t="inlineStr">
        <is>
          <t>MGIC INVESTMENT CORP</t>
        </is>
      </c>
      <c r="D2486" t="n">
        <v>6351</v>
      </c>
    </row>
    <row r="2487">
      <c r="A2487" t="inlineStr">
        <is>
          <t>MGM RESORTS INTERNATIONAL</t>
        </is>
      </c>
      <c r="B2487" t="inlineStr">
        <is>
          <t>MGM</t>
        </is>
      </c>
      <c r="C2487" t="inlineStr">
        <is>
          <t>MGM RESORTS INTERNATIONAL</t>
        </is>
      </c>
      <c r="D2487" t="n">
        <v>7011</v>
      </c>
    </row>
    <row r="2488">
      <c r="A2488" t="inlineStr">
        <is>
          <t>MGP INGREDIENTS INC</t>
        </is>
      </c>
      <c r="B2488" t="inlineStr">
        <is>
          <t>MGPI</t>
        </is>
      </c>
      <c r="C2488" t="inlineStr">
        <is>
          <t>MGP INGREDIENTS INC</t>
        </is>
      </c>
      <c r="D2488" t="n">
        <v>5180</v>
      </c>
    </row>
    <row r="2489">
      <c r="A2489" t="inlineStr">
        <is>
          <t>MICROCHIP TECHNOLOGY INC</t>
        </is>
      </c>
      <c r="B2489" t="inlineStr">
        <is>
          <t>MCHP</t>
        </is>
      </c>
      <c r="C2489" t="inlineStr">
        <is>
          <t>MICROCHIP TECHNOLOGY INC</t>
        </is>
      </c>
      <c r="D2489" t="n">
        <v>3674</v>
      </c>
    </row>
    <row r="2490">
      <c r="A2490" t="inlineStr">
        <is>
          <t>MICRON TECHNOLOGY INC</t>
        </is>
      </c>
      <c r="B2490" t="inlineStr">
        <is>
          <t>MU</t>
        </is>
      </c>
      <c r="C2490" t="inlineStr">
        <is>
          <t>MICRON TECHNOLOGY INC</t>
        </is>
      </c>
      <c r="D2490" t="n">
        <v>3674</v>
      </c>
    </row>
    <row r="2491">
      <c r="A2491" t="inlineStr">
        <is>
          <t>MICROPAC INDUSTRIES INC</t>
        </is>
      </c>
      <c r="B2491" t="inlineStr">
        <is>
          <t>MPAD</t>
        </is>
      </c>
      <c r="C2491" t="inlineStr">
        <is>
          <t>MICROPAC INDUSTRIES INC</t>
        </is>
      </c>
      <c r="D2491" t="n">
        <v>3674</v>
      </c>
    </row>
    <row r="2492">
      <c r="A2492" t="inlineStr">
        <is>
          <t>MICROSOFT CORP</t>
        </is>
      </c>
      <c r="B2492" t="inlineStr">
        <is>
          <t>MSFT</t>
        </is>
      </c>
      <c r="C2492" t="inlineStr">
        <is>
          <t>MICROSOFT CORP</t>
        </is>
      </c>
      <c r="D2492" t="n">
        <v>7372</v>
      </c>
    </row>
    <row r="2493">
      <c r="A2493" t="inlineStr">
        <is>
          <t>MICROSTRATEGY INC</t>
        </is>
      </c>
      <c r="B2493" t="inlineStr">
        <is>
          <t>MSTR</t>
        </is>
      </c>
      <c r="C2493" t="inlineStr">
        <is>
          <t>MICROSTRATEGY INC</t>
        </is>
      </c>
      <c r="D2493" t="n">
        <v>7372</v>
      </c>
    </row>
    <row r="2494">
      <c r="A2494" t="inlineStr">
        <is>
          <t>MICROVAST HOLDINGS, INC.</t>
        </is>
      </c>
      <c r="B2494" t="inlineStr">
        <is>
          <t>MVST</t>
        </is>
      </c>
      <c r="C2494" t="inlineStr">
        <is>
          <t>MICROVAST HOLDINGS, INC.</t>
        </is>
      </c>
      <c r="D2494" t="n">
        <v>3690</v>
      </c>
    </row>
    <row r="2495">
      <c r="A2495" t="inlineStr">
        <is>
          <t>MICROVISION, INC.</t>
        </is>
      </c>
      <c r="B2495" t="inlineStr">
        <is>
          <t>MVIS</t>
        </is>
      </c>
      <c r="C2495" t="inlineStr">
        <is>
          <t>MICROVISION, INC.</t>
        </is>
      </c>
      <c r="D2495" t="n">
        <v>3679</v>
      </c>
    </row>
    <row r="2496">
      <c r="A2496" t="inlineStr">
        <is>
          <t>MICT, INC.</t>
        </is>
      </c>
      <c r="B2496" t="inlineStr">
        <is>
          <t>MICT</t>
        </is>
      </c>
      <c r="C2496" t="inlineStr">
        <is>
          <t>MICT, INC.</t>
        </is>
      </c>
      <c r="D2496" t="n">
        <v>3670</v>
      </c>
    </row>
    <row r="2497">
      <c r="A2497" t="inlineStr">
        <is>
          <t>MID AMERICA APARTMENT COMMUNITIES INC.</t>
        </is>
      </c>
      <c r="B2497" t="inlineStr">
        <is>
          <t>MAA</t>
        </is>
      </c>
      <c r="C2497" t="inlineStr">
        <is>
          <t>MID AMERICA APARTMENT COMMUNITIES INC.</t>
        </is>
      </c>
      <c r="D2497" t="n">
        <v>6798</v>
      </c>
    </row>
    <row r="2498">
      <c r="A2498" t="inlineStr">
        <is>
          <t>MID PENN BANCORP INC</t>
        </is>
      </c>
      <c r="B2498" t="inlineStr">
        <is>
          <t>MPB</t>
        </is>
      </c>
      <c r="C2498" t="inlineStr">
        <is>
          <t>MID PENN BANCORP INC</t>
        </is>
      </c>
      <c r="D2498" t="n">
        <v>6022</v>
      </c>
    </row>
    <row r="2499">
      <c r="A2499" t="inlineStr">
        <is>
          <t>MID-SOUTHERN BANCORP, INC.</t>
        </is>
      </c>
      <c r="B2499" t="inlineStr">
        <is>
          <t>MSVB</t>
        </is>
      </c>
      <c r="C2499" t="inlineStr">
        <is>
          <t>MID-SOUTHERN BANCORP, INC.</t>
        </is>
      </c>
      <c r="D2499" t="n">
        <v>6035</v>
      </c>
    </row>
    <row r="2500">
      <c r="A2500" t="inlineStr">
        <is>
          <t>MIDDLEBY CORP</t>
        </is>
      </c>
      <c r="B2500" t="inlineStr">
        <is>
          <t>MIDD</t>
        </is>
      </c>
      <c r="C2500" t="inlineStr">
        <is>
          <t>MIDDLEBY CORP</t>
        </is>
      </c>
      <c r="D2500" t="n">
        <v>3580</v>
      </c>
    </row>
    <row r="2501">
      <c r="A2501" t="inlineStr">
        <is>
          <t>MIDDLEFIELD BANC CORP</t>
        </is>
      </c>
      <c r="B2501" t="inlineStr">
        <is>
          <t>MBCN</t>
        </is>
      </c>
      <c r="C2501" t="inlineStr">
        <is>
          <t>MIDDLEFIELD BANC CORP</t>
        </is>
      </c>
      <c r="D2501" t="n">
        <v>6022</v>
      </c>
    </row>
    <row r="2502">
      <c r="A2502" t="inlineStr">
        <is>
          <t>MIDDLESEX WATER CO</t>
        </is>
      </c>
      <c r="B2502" t="inlineStr">
        <is>
          <t>MSEX</t>
        </is>
      </c>
      <c r="C2502" t="inlineStr">
        <is>
          <t>MIDDLESEX WATER CO</t>
        </is>
      </c>
      <c r="D2502" t="n">
        <v>4941</v>
      </c>
    </row>
    <row r="2503">
      <c r="A2503" t="inlineStr">
        <is>
          <t>MIDLAND STATES BANCORP, INC.</t>
        </is>
      </c>
      <c r="B2503" t="inlineStr">
        <is>
          <t>MSBI</t>
        </is>
      </c>
      <c r="C2503" t="inlineStr">
        <is>
          <t>MIDLAND STATES BANCORP, INC.</t>
        </is>
      </c>
      <c r="D2503" t="n">
        <v>6022</v>
      </c>
    </row>
    <row r="2504">
      <c r="A2504" t="inlineStr">
        <is>
          <t>MIDWEST HOLDING INC.</t>
        </is>
      </c>
      <c r="B2504" t="inlineStr">
        <is>
          <t>MDWT</t>
        </is>
      </c>
      <c r="C2504" t="inlineStr">
        <is>
          <t>MIDWEST HOLDING INC.</t>
        </is>
      </c>
      <c r="D2504" t="n">
        <v>6311</v>
      </c>
    </row>
    <row r="2505">
      <c r="A2505" t="inlineStr">
        <is>
          <t>MIDWESTONE FINANCIAL GROUP, INC.</t>
        </is>
      </c>
      <c r="B2505" t="inlineStr">
        <is>
          <t>MOFG</t>
        </is>
      </c>
      <c r="C2505" t="inlineStr">
        <is>
          <t>MIDWESTONE FINANCIAL GROUP, INC.</t>
        </is>
      </c>
      <c r="D2505" t="n">
        <v>6022</v>
      </c>
    </row>
    <row r="2506">
      <c r="A2506" t="inlineStr">
        <is>
          <t>MILESTONE SCIENTIFIC INC.</t>
        </is>
      </c>
      <c r="B2506" t="inlineStr">
        <is>
          <t>MLSS</t>
        </is>
      </c>
      <c r="C2506" t="inlineStr">
        <is>
          <t>MILESTONE SCIENTIFIC INC.</t>
        </is>
      </c>
      <c r="D2506" t="n">
        <v>3842</v>
      </c>
    </row>
    <row r="2507">
      <c r="A2507" t="inlineStr">
        <is>
          <t>MILLER INDUSTRIES INC /TN/</t>
        </is>
      </c>
      <c r="B2507" t="inlineStr">
        <is>
          <t>MLR</t>
        </is>
      </c>
      <c r="C2507" t="inlineStr">
        <is>
          <t>MILLER INDUSTRIES INC /TN/</t>
        </is>
      </c>
      <c r="D2507" t="n">
        <v>3713</v>
      </c>
    </row>
    <row r="2508">
      <c r="A2508" t="inlineStr">
        <is>
          <t>MIMEDX GROUP, INC.</t>
        </is>
      </c>
      <c r="B2508" t="inlineStr">
        <is>
          <t>MDXG</t>
        </is>
      </c>
      <c r="C2508" t="inlineStr">
        <is>
          <t>MIMEDX GROUP, INC.</t>
        </is>
      </c>
      <c r="D2508" t="n">
        <v>3841</v>
      </c>
    </row>
    <row r="2509">
      <c r="A2509" t="inlineStr">
        <is>
          <t>MIND CTI LTD</t>
        </is>
      </c>
      <c r="B2509" t="inlineStr">
        <is>
          <t>MNDO</t>
        </is>
      </c>
      <c r="C2509" t="inlineStr">
        <is>
          <t>MIND CTI LTD</t>
        </is>
      </c>
      <c r="D2509" t="n">
        <v>7371</v>
      </c>
    </row>
    <row r="2510">
      <c r="A2510" t="inlineStr">
        <is>
          <t>MIND TECHNOLOGY, INC</t>
        </is>
      </c>
      <c r="B2510" t="inlineStr">
        <is>
          <t>MIND</t>
        </is>
      </c>
      <c r="C2510" t="inlineStr">
        <is>
          <t>MIND TECHNOLOGY, INC</t>
        </is>
      </c>
      <c r="D2510" t="n">
        <v>3812</v>
      </c>
    </row>
    <row r="2511">
      <c r="A2511" t="inlineStr">
        <is>
          <t>MINERALS TECHNOLOGIES INC</t>
        </is>
      </c>
      <c r="B2511" t="inlineStr">
        <is>
          <t>MTX</t>
        </is>
      </c>
      <c r="C2511" t="inlineStr">
        <is>
          <t>MINERALS TECHNOLOGIES INC</t>
        </is>
      </c>
      <c r="D2511" t="n">
        <v>2810</v>
      </c>
    </row>
    <row r="2512">
      <c r="A2512" t="inlineStr">
        <is>
          <t>MINERVA SURGICAL INC</t>
        </is>
      </c>
      <c r="B2512" t="inlineStr">
        <is>
          <t>UTRS</t>
        </is>
      </c>
      <c r="C2512" t="inlineStr">
        <is>
          <t>MINERVA SURGICAL INC</t>
        </is>
      </c>
      <c r="D2512" t="n">
        <v>3841</v>
      </c>
    </row>
    <row r="2513">
      <c r="A2513" t="inlineStr">
        <is>
          <t>MINGZHU LOGISTICS HOLDINGS LTD</t>
        </is>
      </c>
      <c r="B2513" t="inlineStr">
        <is>
          <t>YGMZ</t>
        </is>
      </c>
      <c r="C2513" t="inlineStr">
        <is>
          <t>MINGZHU LOGISTICS HOLDINGS LTD</t>
        </is>
      </c>
      <c r="D2513" t="n">
        <v>4700</v>
      </c>
    </row>
    <row r="2514">
      <c r="A2514" t="inlineStr">
        <is>
          <t>MINIM, INC.</t>
        </is>
      </c>
      <c r="B2514" t="inlineStr">
        <is>
          <t>MINM</t>
        </is>
      </c>
      <c r="C2514" t="inlineStr">
        <is>
          <t>MINIM, INC.</t>
        </is>
      </c>
      <c r="D2514" t="n">
        <v>3661</v>
      </c>
    </row>
    <row r="2515">
      <c r="A2515" t="inlineStr">
        <is>
          <t>MIRATI THERAPEUTICS, INC.</t>
        </is>
      </c>
      <c r="B2515" t="inlineStr">
        <is>
          <t>MRTX</t>
        </is>
      </c>
      <c r="C2515" t="inlineStr">
        <is>
          <t>MIRATI THERAPEUTICS, INC.</t>
        </is>
      </c>
      <c r="D2515" t="n">
        <v>2834</v>
      </c>
    </row>
    <row r="2516">
      <c r="A2516" t="inlineStr">
        <is>
          <t>MISSION PRODUCE, INC.</t>
        </is>
      </c>
      <c r="B2516" t="inlineStr">
        <is>
          <t>AVO</t>
        </is>
      </c>
      <c r="C2516" t="inlineStr">
        <is>
          <t>MISSION PRODUCE, INC.</t>
        </is>
      </c>
      <c r="D2516" t="n">
        <v>700</v>
      </c>
    </row>
    <row r="2517">
      <c r="A2517" t="inlineStr">
        <is>
          <t>MISTER CAR WASH, INC.</t>
        </is>
      </c>
      <c r="B2517" t="inlineStr">
        <is>
          <t>MCW</t>
        </is>
      </c>
      <c r="C2517" t="inlineStr">
        <is>
          <t>MISTER CAR WASH, INC.</t>
        </is>
      </c>
      <c r="D2517" t="n">
        <v>7500</v>
      </c>
    </row>
    <row r="2518">
      <c r="A2518" t="inlineStr">
        <is>
          <t>MISTRAS GROUP, INC.</t>
        </is>
      </c>
      <c r="B2518" t="inlineStr">
        <is>
          <t>MG</t>
        </is>
      </c>
      <c r="C2518" t="inlineStr">
        <is>
          <t>MISTRAS GROUP, INC.</t>
        </is>
      </c>
      <c r="D2518" t="n">
        <v>8711</v>
      </c>
    </row>
    <row r="2519">
      <c r="A2519" t="inlineStr">
        <is>
          <t>MITEK SYSTEMS INC</t>
        </is>
      </c>
      <c r="B2519" t="inlineStr">
        <is>
          <t>MITK</t>
        </is>
      </c>
      <c r="C2519" t="inlineStr">
        <is>
          <t>MITEK SYSTEMS INC</t>
        </is>
      </c>
      <c r="D2519" t="n">
        <v>3577</v>
      </c>
    </row>
    <row r="2520">
      <c r="A2520" t="inlineStr">
        <is>
          <t>MIX TELEMATICS LTD</t>
        </is>
      </c>
      <c r="B2520" t="inlineStr">
        <is>
          <t>MIXT</t>
        </is>
      </c>
      <c r="C2520" t="inlineStr">
        <is>
          <t>MIX TELEMATICS LTD</t>
        </is>
      </c>
      <c r="D2520" t="n">
        <v>7372</v>
      </c>
    </row>
    <row r="2521">
      <c r="A2521" t="inlineStr">
        <is>
          <t>MKS INSTRUMENTS INC</t>
        </is>
      </c>
      <c r="B2521" t="inlineStr">
        <is>
          <t>MKSI</t>
        </is>
      </c>
      <c r="C2521" t="inlineStr">
        <is>
          <t>MKS INSTRUMENTS INC</t>
        </is>
      </c>
      <c r="D2521" t="n">
        <v>3823</v>
      </c>
    </row>
    <row r="2522">
      <c r="A2522" t="inlineStr">
        <is>
          <t>MODEL N, INC.</t>
        </is>
      </c>
      <c r="B2522" t="inlineStr">
        <is>
          <t>MODN</t>
        </is>
      </c>
      <c r="C2522" t="inlineStr">
        <is>
          <t>MODEL N, INC.</t>
        </is>
      </c>
      <c r="D2522" t="n">
        <v>7370</v>
      </c>
    </row>
    <row r="2523">
      <c r="A2523" t="inlineStr">
        <is>
          <t>MODERNA, INC.</t>
        </is>
      </c>
      <c r="B2523" t="inlineStr">
        <is>
          <t>MRNA</t>
        </is>
      </c>
      <c r="C2523" t="inlineStr">
        <is>
          <t>MODERNA, INC.</t>
        </is>
      </c>
      <c r="D2523" t="n">
        <v>2836</v>
      </c>
    </row>
    <row r="2524">
      <c r="A2524" t="inlineStr">
        <is>
          <t>MODINE MANUFACTURING CO</t>
        </is>
      </c>
      <c r="B2524" t="inlineStr">
        <is>
          <t>MOD</t>
        </is>
      </c>
      <c r="C2524" t="inlineStr">
        <is>
          <t>MODINE MANUFACTURING CO</t>
        </is>
      </c>
      <c r="D2524" t="n">
        <v>3714</v>
      </c>
    </row>
    <row r="2525">
      <c r="A2525" t="inlineStr">
        <is>
          <t>MODIVCARE INC</t>
        </is>
      </c>
      <c r="B2525" t="inlineStr">
        <is>
          <t>MODV</t>
        </is>
      </c>
      <c r="C2525" t="inlineStr">
        <is>
          <t>MODIVCARE INC</t>
        </is>
      </c>
      <c r="D2525" t="n">
        <v>4700</v>
      </c>
    </row>
    <row r="2526">
      <c r="A2526" t="inlineStr">
        <is>
          <t>MOELIS &amp; CO</t>
        </is>
      </c>
      <c r="B2526" t="inlineStr">
        <is>
          <t>MC</t>
        </is>
      </c>
      <c r="C2526" t="inlineStr">
        <is>
          <t>MOELIS &amp; CO</t>
        </is>
      </c>
      <c r="D2526" t="n">
        <v>6282</v>
      </c>
    </row>
    <row r="2527">
      <c r="A2527" t="inlineStr">
        <is>
          <t>MOGU INC.</t>
        </is>
      </c>
      <c r="B2527" t="inlineStr">
        <is>
          <t>MOGU</t>
        </is>
      </c>
      <c r="C2527" t="inlineStr">
        <is>
          <t>MOGU INC.</t>
        </is>
      </c>
      <c r="D2527" t="n">
        <v>7389</v>
      </c>
    </row>
    <row r="2528">
      <c r="A2528" t="inlineStr">
        <is>
          <t>MOHAWK INDUSTRIES INC</t>
        </is>
      </c>
      <c r="B2528" t="inlineStr">
        <is>
          <t>MHK</t>
        </is>
      </c>
      <c r="C2528" t="inlineStr">
        <is>
          <t>MOHAWK INDUSTRIES INC</t>
        </is>
      </c>
      <c r="D2528" t="n">
        <v>2273</v>
      </c>
    </row>
    <row r="2529">
      <c r="A2529" t="inlineStr">
        <is>
          <t>MOLECULAR DATA INC.</t>
        </is>
      </c>
      <c r="B2529" t="inlineStr">
        <is>
          <t>MKD</t>
        </is>
      </c>
      <c r="C2529" t="inlineStr">
        <is>
          <t>MOLECULAR DATA INC.</t>
        </is>
      </c>
      <c r="D2529" t="n">
        <v>7389</v>
      </c>
    </row>
    <row r="2530">
      <c r="A2530" t="inlineStr">
        <is>
          <t>MOLECULIN BIOTECH, INC.</t>
        </is>
      </c>
      <c r="B2530" t="inlineStr">
        <is>
          <t>MBRX</t>
        </is>
      </c>
      <c r="C2530" t="inlineStr">
        <is>
          <t>MOLECULIN BIOTECH, INC.</t>
        </is>
      </c>
      <c r="D2530" t="n">
        <v>2834</v>
      </c>
    </row>
    <row r="2531">
      <c r="A2531" t="inlineStr">
        <is>
          <t>MOLINA HEALTHCARE, INC.</t>
        </is>
      </c>
      <c r="B2531" t="inlineStr">
        <is>
          <t>MOH</t>
        </is>
      </c>
      <c r="C2531" t="inlineStr">
        <is>
          <t>MOLINA HEALTHCARE, INC.</t>
        </is>
      </c>
      <c r="D2531" t="n">
        <v>6324</v>
      </c>
    </row>
    <row r="2532">
      <c r="A2532" t="inlineStr">
        <is>
          <t>MOLSON COORS BEVERAGE CO</t>
        </is>
      </c>
      <c r="B2532" t="inlineStr">
        <is>
          <t>TAP</t>
        </is>
      </c>
      <c r="C2532" t="inlineStr">
        <is>
          <t>MOLSON COORS BEVERAGE CO</t>
        </is>
      </c>
      <c r="D2532" t="n">
        <v>2082</v>
      </c>
    </row>
    <row r="2533">
      <c r="A2533" t="inlineStr">
        <is>
          <t>MOMENTIVE GLOBAL INC.</t>
        </is>
      </c>
      <c r="B2533" t="inlineStr">
        <is>
          <t>MNTV</t>
        </is>
      </c>
      <c r="C2533" t="inlineStr">
        <is>
          <t>MOMENTIVE GLOBAL INC.</t>
        </is>
      </c>
      <c r="D2533" t="n">
        <v>7370</v>
      </c>
    </row>
    <row r="2534">
      <c r="A2534" t="inlineStr">
        <is>
          <t>MOMENTUS INC.</t>
        </is>
      </c>
      <c r="B2534" t="inlineStr">
        <is>
          <t>MNTS</t>
        </is>
      </c>
      <c r="C2534" t="inlineStr">
        <is>
          <t>MOMENTUS INC.</t>
        </is>
      </c>
      <c r="D2534" t="n">
        <v>3760</v>
      </c>
    </row>
    <row r="2535">
      <c r="A2535" t="inlineStr">
        <is>
          <t>MONARCH CASINO &amp; RESORT INC</t>
        </is>
      </c>
      <c r="B2535" t="inlineStr">
        <is>
          <t>MCRI</t>
        </is>
      </c>
      <c r="C2535" t="inlineStr">
        <is>
          <t>MONARCH CASINO &amp; RESORT INC</t>
        </is>
      </c>
      <c r="D2535" t="n">
        <v>7011</v>
      </c>
    </row>
    <row r="2536">
      <c r="A2536" t="inlineStr">
        <is>
          <t>MONDAY.COM LTD.</t>
        </is>
      </c>
      <c r="B2536" t="inlineStr">
        <is>
          <t>MNDY</t>
        </is>
      </c>
      <c r="C2536" t="inlineStr">
        <is>
          <t>MONDAY.COM LTD.</t>
        </is>
      </c>
      <c r="D2536" t="n">
        <v>7372</v>
      </c>
    </row>
    <row r="2537">
      <c r="A2537" t="inlineStr">
        <is>
          <t>MONDELEZ INTERNATIONAL, INC.</t>
        </is>
      </c>
      <c r="B2537" t="inlineStr">
        <is>
          <t>MDLZ</t>
        </is>
      </c>
      <c r="C2537" t="inlineStr">
        <is>
          <t>MONDELEZ INTERNATIONAL, INC.</t>
        </is>
      </c>
      <c r="D2537" t="n">
        <v>2000</v>
      </c>
    </row>
    <row r="2538">
      <c r="A2538" t="inlineStr">
        <is>
          <t>MONEYGRAM INTERNATIONAL INC</t>
        </is>
      </c>
      <c r="B2538" t="inlineStr">
        <is>
          <t>MGI</t>
        </is>
      </c>
      <c r="C2538" t="inlineStr">
        <is>
          <t>MONEYGRAM INTERNATIONAL INC</t>
        </is>
      </c>
      <c r="D2538" t="n">
        <v>7389</v>
      </c>
    </row>
    <row r="2539">
      <c r="A2539" t="inlineStr">
        <is>
          <t>MONEYLION INC.</t>
        </is>
      </c>
      <c r="B2539" t="inlineStr">
        <is>
          <t>ML</t>
        </is>
      </c>
      <c r="C2539" t="inlineStr">
        <is>
          <t>MONEYLION INC.</t>
        </is>
      </c>
      <c r="D2539" t="n">
        <v>6199</v>
      </c>
    </row>
    <row r="2540">
      <c r="A2540" t="inlineStr">
        <is>
          <t>MONGODB, INC.</t>
        </is>
      </c>
      <c r="B2540" t="inlineStr">
        <is>
          <t>MDB</t>
        </is>
      </c>
      <c r="C2540" t="inlineStr">
        <is>
          <t>MONGODB, INC.</t>
        </is>
      </c>
      <c r="D2540" t="n">
        <v>7372</v>
      </c>
    </row>
    <row r="2541">
      <c r="A2541" t="inlineStr">
        <is>
          <t>MONOLITHIC POWER SYSTEMS INC</t>
        </is>
      </c>
      <c r="B2541" t="inlineStr">
        <is>
          <t>MPWR</t>
        </is>
      </c>
      <c r="C2541" t="inlineStr">
        <is>
          <t>MONOLITHIC POWER SYSTEMS INC</t>
        </is>
      </c>
      <c r="D2541" t="n">
        <v>3674</v>
      </c>
    </row>
    <row r="2542">
      <c r="A2542" t="inlineStr">
        <is>
          <t>MONOPAR THERAPEUTICS</t>
        </is>
      </c>
      <c r="B2542" t="inlineStr">
        <is>
          <t>MNPR</t>
        </is>
      </c>
      <c r="C2542" t="inlineStr">
        <is>
          <t>MONOPAR THERAPEUTICS</t>
        </is>
      </c>
      <c r="D2542" t="n">
        <v>2834</v>
      </c>
    </row>
    <row r="2543">
      <c r="A2543" t="inlineStr">
        <is>
          <t>MONRO, INC.</t>
        </is>
      </c>
      <c r="B2543" t="inlineStr">
        <is>
          <t>MNRO</t>
        </is>
      </c>
      <c r="C2543" t="inlineStr">
        <is>
          <t>MONRO, INC.</t>
        </is>
      </c>
      <c r="D2543" t="n">
        <v>7500</v>
      </c>
    </row>
    <row r="2544">
      <c r="A2544" t="inlineStr">
        <is>
          <t>MONSTER BEVERAGE CORP</t>
        </is>
      </c>
      <c r="B2544" t="inlineStr">
        <is>
          <t>MNST</t>
        </is>
      </c>
      <c r="C2544" t="inlineStr">
        <is>
          <t>MONSTER BEVERAGE CORP</t>
        </is>
      </c>
      <c r="D2544" t="n">
        <v>2086</v>
      </c>
    </row>
    <row r="2545">
      <c r="A2545" t="inlineStr">
        <is>
          <t>MONTAUK RENEWABLES, INC.</t>
        </is>
      </c>
      <c r="B2545" t="inlineStr">
        <is>
          <t>MNTK</t>
        </is>
      </c>
      <c r="C2545" t="inlineStr">
        <is>
          <t>MONTAUK RENEWABLES, INC.</t>
        </is>
      </c>
      <c r="D2545" t="n">
        <v>4932</v>
      </c>
    </row>
    <row r="2546">
      <c r="A2546" t="inlineStr">
        <is>
          <t>MONTROSE ENVIRONMENTAL GROUP, INC.</t>
        </is>
      </c>
      <c r="B2546" t="inlineStr">
        <is>
          <t>MEG</t>
        </is>
      </c>
      <c r="C2546" t="inlineStr">
        <is>
          <t>MONTROSE ENVIRONMENTAL GROUP, INC.</t>
        </is>
      </c>
      <c r="D2546" t="n">
        <v>8742</v>
      </c>
    </row>
    <row r="2547">
      <c r="A2547" t="inlineStr">
        <is>
          <t>MOODYS CORP /DE/</t>
        </is>
      </c>
      <c r="B2547" t="inlineStr">
        <is>
          <t>MCO</t>
        </is>
      </c>
      <c r="C2547" t="inlineStr">
        <is>
          <t>MOODYS CORP /DE/</t>
        </is>
      </c>
      <c r="D2547" t="n">
        <v>7320</v>
      </c>
    </row>
    <row r="2548">
      <c r="A2548" t="inlineStr">
        <is>
          <t>MOOG INC.</t>
        </is>
      </c>
      <c r="B2548" t="inlineStr">
        <is>
          <t>MOG-A</t>
        </is>
      </c>
      <c r="C2548" t="inlineStr">
        <is>
          <t>MOOG INC.</t>
        </is>
      </c>
      <c r="D2548" t="n">
        <v>3590</v>
      </c>
    </row>
    <row r="2549">
      <c r="A2549" t="inlineStr">
        <is>
          <t>MORGAN STANLEY</t>
        </is>
      </c>
      <c r="B2549" t="inlineStr">
        <is>
          <t>MS</t>
        </is>
      </c>
      <c r="C2549" t="inlineStr">
        <is>
          <t>MORGAN STANLEY</t>
        </is>
      </c>
      <c r="D2549" t="n">
        <v>6211</v>
      </c>
    </row>
    <row r="2550">
      <c r="A2550" t="inlineStr">
        <is>
          <t>MORNINGSTAR, INC.</t>
        </is>
      </c>
      <c r="B2550" t="inlineStr">
        <is>
          <t>MORN</t>
        </is>
      </c>
      <c r="C2550" t="inlineStr">
        <is>
          <t>MORNINGSTAR, INC.</t>
        </is>
      </c>
      <c r="D2550" t="n">
        <v>6282</v>
      </c>
    </row>
    <row r="2551">
      <c r="A2551" t="inlineStr">
        <is>
          <t>MORPHIC HOLDING, INC.</t>
        </is>
      </c>
      <c r="B2551" t="inlineStr">
        <is>
          <t>MORF</t>
        </is>
      </c>
      <c r="C2551" t="inlineStr">
        <is>
          <t>MORPHIC HOLDING, INC.</t>
        </is>
      </c>
      <c r="D2551" t="n">
        <v>2834</v>
      </c>
    </row>
    <row r="2552">
      <c r="A2552" t="inlineStr">
        <is>
          <t>MOSAIC CO</t>
        </is>
      </c>
      <c r="B2552" t="inlineStr">
        <is>
          <t>MOS</t>
        </is>
      </c>
      <c r="C2552" t="inlineStr">
        <is>
          <t>MOSAIC CO</t>
        </is>
      </c>
      <c r="D2552" t="n">
        <v>2870</v>
      </c>
    </row>
    <row r="2553">
      <c r="A2553" t="inlineStr">
        <is>
          <t>MOTORCAR PARTS AMERICA INC</t>
        </is>
      </c>
      <c r="B2553" t="inlineStr">
        <is>
          <t>MPAA</t>
        </is>
      </c>
      <c r="C2553" t="inlineStr">
        <is>
          <t>MOTORCAR PARTS AMERICA INC</t>
        </is>
      </c>
      <c r="D2553" t="n">
        <v>3714</v>
      </c>
    </row>
    <row r="2554">
      <c r="A2554" t="inlineStr">
        <is>
          <t>MOTOROLA SOLUTIONS, INC.</t>
        </is>
      </c>
      <c r="B2554" t="inlineStr">
        <is>
          <t>MSI</t>
        </is>
      </c>
      <c r="C2554" t="inlineStr">
        <is>
          <t>MOTOROLA SOLUTIONS, INC.</t>
        </is>
      </c>
      <c r="D2554" t="n">
        <v>3663</v>
      </c>
    </row>
    <row r="2555">
      <c r="A2555" t="inlineStr">
        <is>
          <t>MOTUS GI HOLDINGS, INC.</t>
        </is>
      </c>
      <c r="B2555" t="inlineStr">
        <is>
          <t>MOTS</t>
        </is>
      </c>
      <c r="C2555" t="inlineStr">
        <is>
          <t>MOTUS GI HOLDINGS, INC.</t>
        </is>
      </c>
      <c r="D2555" t="n">
        <v>3841</v>
      </c>
    </row>
    <row r="2556">
      <c r="A2556" t="inlineStr">
        <is>
          <t>MOVADO GROUP INC</t>
        </is>
      </c>
      <c r="B2556" t="inlineStr">
        <is>
          <t>MOV</t>
        </is>
      </c>
      <c r="C2556" t="inlineStr">
        <is>
          <t>MOVADO GROUP INC</t>
        </is>
      </c>
      <c r="D2556" t="n">
        <v>3873</v>
      </c>
    </row>
    <row r="2557">
      <c r="A2557" t="inlineStr">
        <is>
          <t>MP MATERIALS CORP. / DE</t>
        </is>
      </c>
      <c r="B2557" t="inlineStr">
        <is>
          <t>MP</t>
        </is>
      </c>
      <c r="C2557" t="inlineStr">
        <is>
          <t>MP MATERIALS CORP. / DE</t>
        </is>
      </c>
      <c r="D2557" t="n">
        <v>1000</v>
      </c>
    </row>
    <row r="2558">
      <c r="A2558" t="inlineStr">
        <is>
          <t>MPLX LP</t>
        </is>
      </c>
      <c r="B2558" t="inlineStr">
        <is>
          <t>MPLX</t>
        </is>
      </c>
      <c r="C2558" t="inlineStr">
        <is>
          <t>MPLX LP</t>
        </is>
      </c>
      <c r="D2558" t="n">
        <v>4610</v>
      </c>
    </row>
    <row r="2559">
      <c r="A2559" t="inlineStr">
        <is>
          <t>MR. COOPER GROUP INC.</t>
        </is>
      </c>
      <c r="B2559" t="inlineStr">
        <is>
          <t>COOP</t>
        </is>
      </c>
      <c r="C2559" t="inlineStr">
        <is>
          <t>MR. COOPER GROUP INC.</t>
        </is>
      </c>
      <c r="D2559" t="n">
        <v>6199</v>
      </c>
    </row>
    <row r="2560">
      <c r="A2560" t="inlineStr">
        <is>
          <t>MRC GLOBAL INC.</t>
        </is>
      </c>
      <c r="B2560" t="inlineStr">
        <is>
          <t>MRC</t>
        </is>
      </c>
      <c r="C2560" t="inlineStr">
        <is>
          <t>MRC GLOBAL INC.</t>
        </is>
      </c>
      <c r="D2560" t="n">
        <v>5084</v>
      </c>
    </row>
    <row r="2561">
      <c r="A2561" t="inlineStr">
        <is>
          <t>MSA SAFETY INC</t>
        </is>
      </c>
      <c r="B2561" t="inlineStr">
        <is>
          <t>MSA</t>
        </is>
      </c>
      <c r="C2561" t="inlineStr">
        <is>
          <t>MSA SAFETY INC</t>
        </is>
      </c>
      <c r="D2561" t="n">
        <v>3842</v>
      </c>
    </row>
    <row r="2562">
      <c r="A2562" t="inlineStr">
        <is>
          <t>MSC INDUSTRIAL DIRECT CO INC</t>
        </is>
      </c>
      <c r="B2562" t="inlineStr">
        <is>
          <t>MSM</t>
        </is>
      </c>
      <c r="C2562" t="inlineStr">
        <is>
          <t>MSC INDUSTRIAL DIRECT CO INC</t>
        </is>
      </c>
      <c r="D2562" t="n">
        <v>5084</v>
      </c>
    </row>
    <row r="2563">
      <c r="A2563" t="inlineStr">
        <is>
          <t>MSCI INC.</t>
        </is>
      </c>
      <c r="B2563" t="inlineStr">
        <is>
          <t>MSCI</t>
        </is>
      </c>
      <c r="C2563" t="inlineStr">
        <is>
          <t>MSCI INC.</t>
        </is>
      </c>
      <c r="D2563" t="n">
        <v>7389</v>
      </c>
    </row>
    <row r="2564">
      <c r="A2564" t="inlineStr">
        <is>
          <t>MUELLER INDUSTRIES INC</t>
        </is>
      </c>
      <c r="B2564" t="inlineStr">
        <is>
          <t>MLI</t>
        </is>
      </c>
      <c r="C2564" t="inlineStr">
        <is>
          <t>MUELLER INDUSTRIES INC</t>
        </is>
      </c>
      <c r="D2564" t="n">
        <v>3350</v>
      </c>
    </row>
    <row r="2565">
      <c r="A2565" t="inlineStr">
        <is>
          <t>MUELLER WATER PRODUCTS, INC.</t>
        </is>
      </c>
      <c r="B2565" t="inlineStr">
        <is>
          <t>MWA</t>
        </is>
      </c>
      <c r="C2565" t="inlineStr">
        <is>
          <t>MUELLER WATER PRODUCTS, INC.</t>
        </is>
      </c>
      <c r="D2565" t="n">
        <v>3490</v>
      </c>
    </row>
    <row r="2566">
      <c r="A2566" t="inlineStr">
        <is>
          <t>MULIANG VIAGOO TECHNOLOGY, INC.</t>
        </is>
      </c>
      <c r="B2566" t="inlineStr">
        <is>
          <t>MULG</t>
        </is>
      </c>
      <c r="C2566" t="inlineStr">
        <is>
          <t>MULIANG VIAGOO TECHNOLOGY, INC.</t>
        </is>
      </c>
      <c r="D2566" t="n">
        <v>2870</v>
      </c>
    </row>
    <row r="2567">
      <c r="A2567" t="inlineStr">
        <is>
          <t>MULTIPLAN CORP</t>
        </is>
      </c>
      <c r="B2567" t="inlineStr">
        <is>
          <t>MPLN</t>
        </is>
      </c>
      <c r="C2567" t="inlineStr">
        <is>
          <t>MULTIPLAN CORP</t>
        </is>
      </c>
      <c r="D2567" t="n">
        <v>7389</v>
      </c>
    </row>
    <row r="2568">
      <c r="A2568" t="inlineStr">
        <is>
          <t>MURPHY OIL CORP</t>
        </is>
      </c>
      <c r="B2568" t="inlineStr">
        <is>
          <t>MUR</t>
        </is>
      </c>
      <c r="C2568" t="inlineStr">
        <is>
          <t>MURPHY OIL CORP</t>
        </is>
      </c>
      <c r="D2568" t="n">
        <v>1311</v>
      </c>
    </row>
    <row r="2569">
      <c r="A2569" t="inlineStr">
        <is>
          <t>MURPHY USA INC.</t>
        </is>
      </c>
      <c r="B2569" t="inlineStr">
        <is>
          <t>MUSA</t>
        </is>
      </c>
      <c r="C2569" t="inlineStr">
        <is>
          <t>MURPHY USA INC.</t>
        </is>
      </c>
      <c r="D2569" t="n">
        <v>5500</v>
      </c>
    </row>
    <row r="2570">
      <c r="A2570" t="inlineStr">
        <is>
          <t>MVB FINANCIAL CORP</t>
        </is>
      </c>
      <c r="B2570" t="inlineStr">
        <is>
          <t>MVBF</t>
        </is>
      </c>
      <c r="C2570" t="inlineStr">
        <is>
          <t>MVB FINANCIAL CORP</t>
        </is>
      </c>
      <c r="D2570" t="n">
        <v>6022</v>
      </c>
    </row>
    <row r="2571">
      <c r="A2571" t="inlineStr">
        <is>
          <t>MYERS INDUSTRIES INC</t>
        </is>
      </c>
      <c r="B2571" t="inlineStr">
        <is>
          <t>MYE</t>
        </is>
      </c>
      <c r="C2571" t="inlineStr">
        <is>
          <t>MYERS INDUSTRIES INC</t>
        </is>
      </c>
      <c r="D2571" t="n">
        <v>3089</v>
      </c>
    </row>
    <row r="2572">
      <c r="A2572" t="inlineStr">
        <is>
          <t>MYOMO, INC.</t>
        </is>
      </c>
      <c r="B2572" t="inlineStr">
        <is>
          <t>MYO</t>
        </is>
      </c>
      <c r="C2572" t="inlineStr">
        <is>
          <t>MYOMO, INC.</t>
        </is>
      </c>
      <c r="D2572" t="n">
        <v>3842</v>
      </c>
    </row>
    <row r="2573">
      <c r="A2573" t="inlineStr">
        <is>
          <t>MYOVANT SCIENCES LTD.</t>
        </is>
      </c>
      <c r="B2573" t="inlineStr">
        <is>
          <t>MYOV</t>
        </is>
      </c>
      <c r="C2573" t="inlineStr">
        <is>
          <t>MYOVANT SCIENCES LTD.</t>
        </is>
      </c>
      <c r="D2573" t="n">
        <v>2834</v>
      </c>
    </row>
    <row r="2574">
      <c r="A2574" t="inlineStr">
        <is>
          <t>MYR GROUP INC.</t>
        </is>
      </c>
      <c r="B2574" t="inlineStr">
        <is>
          <t>MYRG</t>
        </is>
      </c>
      <c r="C2574" t="inlineStr">
        <is>
          <t>MYR GROUP INC.</t>
        </is>
      </c>
      <c r="D2574" t="n">
        <v>1623</v>
      </c>
    </row>
    <row r="2575">
      <c r="A2575" t="inlineStr">
        <is>
          <t>MYRIAD GENETICS INC</t>
        </is>
      </c>
      <c r="B2575" t="inlineStr">
        <is>
          <t>MYGN</t>
        </is>
      </c>
      <c r="C2575" t="inlineStr">
        <is>
          <t>MYRIAD GENETICS INC</t>
        </is>
      </c>
      <c r="D2575" t="n">
        <v>2835</v>
      </c>
    </row>
    <row r="2576">
      <c r="A2576" t="inlineStr">
        <is>
          <t>N-ABLE, INC.</t>
        </is>
      </c>
      <c r="B2576" t="inlineStr">
        <is>
          <t>NABL</t>
        </is>
      </c>
      <c r="C2576" t="inlineStr">
        <is>
          <t>N-ABLE, INC.</t>
        </is>
      </c>
      <c r="D2576" t="n">
        <v>7372</v>
      </c>
    </row>
    <row r="2577">
      <c r="A2577" t="inlineStr">
        <is>
          <t>NABORS INDUSTRIES LTD</t>
        </is>
      </c>
      <c r="B2577" t="inlineStr">
        <is>
          <t>NBR</t>
        </is>
      </c>
      <c r="C2577" t="inlineStr">
        <is>
          <t>NABORS INDUSTRIES LTD</t>
        </is>
      </c>
      <c r="D2577" t="n">
        <v>1381</v>
      </c>
    </row>
    <row r="2578">
      <c r="A2578" t="inlineStr">
        <is>
          <t>NACCO INDUSTRIES INC</t>
        </is>
      </c>
      <c r="B2578" t="inlineStr">
        <is>
          <t>NC</t>
        </is>
      </c>
      <c r="C2578" t="inlineStr">
        <is>
          <t>NACCO INDUSTRIES INC</t>
        </is>
      </c>
      <c r="D2578" t="n">
        <v>3630</v>
      </c>
    </row>
    <row r="2579">
      <c r="A2579" t="inlineStr">
        <is>
          <t>NAM TAI PROPERTY INC.</t>
        </is>
      </c>
      <c r="B2579" t="inlineStr">
        <is>
          <t>NTP</t>
        </is>
      </c>
      <c r="C2579" t="inlineStr">
        <is>
          <t>NAM TAI PROPERTY INC.</t>
        </is>
      </c>
      <c r="D2579" t="n">
        <v>6500</v>
      </c>
    </row>
    <row r="2580">
      <c r="A2580" t="inlineStr">
        <is>
          <t>NANOPHASE TECHNOLOGIES CORP</t>
        </is>
      </c>
      <c r="B2580" t="inlineStr">
        <is>
          <t>NANX</t>
        </is>
      </c>
      <c r="C2580" t="inlineStr">
        <is>
          <t>NANOPHASE TECHNOLOGIES CORP</t>
        </is>
      </c>
      <c r="D2580" t="n">
        <v>3390</v>
      </c>
    </row>
    <row r="2581">
      <c r="A2581" t="inlineStr">
        <is>
          <t>NANOSTRING TECHNOLOGIES INC</t>
        </is>
      </c>
      <c r="B2581" t="inlineStr">
        <is>
          <t>NSTG</t>
        </is>
      </c>
      <c r="C2581" t="inlineStr">
        <is>
          <t>NANOSTRING TECHNOLOGIES INC</t>
        </is>
      </c>
      <c r="D2581" t="n">
        <v>2836</v>
      </c>
    </row>
    <row r="2582">
      <c r="A2582" t="inlineStr">
        <is>
          <t>NANTHEALTH, INC.</t>
        </is>
      </c>
      <c r="B2582" t="inlineStr">
        <is>
          <t>NH</t>
        </is>
      </c>
      <c r="C2582" t="inlineStr">
        <is>
          <t>NANTHEALTH, INC.</t>
        </is>
      </c>
      <c r="D2582" t="n">
        <v>7374</v>
      </c>
    </row>
    <row r="2583">
      <c r="A2583" t="inlineStr">
        <is>
          <t>NAPCO SECURITY TECHNOLOGIES, INC</t>
        </is>
      </c>
      <c r="B2583" t="inlineStr">
        <is>
          <t>NSSC</t>
        </is>
      </c>
      <c r="C2583" t="inlineStr">
        <is>
          <t>NAPCO SECURITY TECHNOLOGIES, INC</t>
        </is>
      </c>
      <c r="D2583" t="n">
        <v>3669</v>
      </c>
    </row>
    <row r="2584">
      <c r="A2584" t="inlineStr">
        <is>
          <t>NASDAQ, INC.</t>
        </is>
      </c>
      <c r="B2584" t="inlineStr">
        <is>
          <t>NDAQ</t>
        </is>
      </c>
      <c r="C2584" t="inlineStr">
        <is>
          <t>NASDAQ, INC.</t>
        </is>
      </c>
      <c r="D2584" t="n">
        <v>6200</v>
      </c>
    </row>
    <row r="2585">
      <c r="A2585" t="inlineStr">
        <is>
          <t>NATERA, INC.</t>
        </is>
      </c>
      <c r="B2585" t="inlineStr">
        <is>
          <t>NTRA</t>
        </is>
      </c>
      <c r="C2585" t="inlineStr">
        <is>
          <t>NATERA, INC.</t>
        </is>
      </c>
      <c r="D2585" t="n">
        <v>8071</v>
      </c>
    </row>
    <row r="2586">
      <c r="A2586" t="inlineStr">
        <is>
          <t>NATHANS FAMOUS, INC.</t>
        </is>
      </c>
      <c r="B2586" t="inlineStr">
        <is>
          <t>NATH</t>
        </is>
      </c>
      <c r="C2586" t="inlineStr">
        <is>
          <t>NATHANS FAMOUS, INC.</t>
        </is>
      </c>
      <c r="D2586" t="n">
        <v>5812</v>
      </c>
    </row>
    <row r="2587">
      <c r="A2587" t="inlineStr">
        <is>
          <t>NATIONAL BANK HOLDINGS CORP</t>
        </is>
      </c>
      <c r="B2587" t="inlineStr">
        <is>
          <t>NBHC</t>
        </is>
      </c>
      <c r="C2587" t="inlineStr">
        <is>
          <t>NATIONAL BANK HOLDINGS CORP</t>
        </is>
      </c>
      <c r="D2587" t="n">
        <v>6021</v>
      </c>
    </row>
    <row r="2588">
      <c r="A2588" t="inlineStr">
        <is>
          <t>NATIONAL BANKSHARES INC</t>
        </is>
      </c>
      <c r="B2588" t="inlineStr">
        <is>
          <t>NKSH</t>
        </is>
      </c>
      <c r="C2588" t="inlineStr">
        <is>
          <t>NATIONAL BANKSHARES INC</t>
        </is>
      </c>
      <c r="D2588" t="n">
        <v>6021</v>
      </c>
    </row>
    <row r="2589">
      <c r="A2589" t="inlineStr">
        <is>
          <t>NATIONAL BEVERAGE CORP</t>
        </is>
      </c>
      <c r="B2589" t="inlineStr">
        <is>
          <t>FIZZ</t>
        </is>
      </c>
      <c r="C2589" t="inlineStr">
        <is>
          <t>NATIONAL BEVERAGE CORP</t>
        </is>
      </c>
      <c r="D2589" t="n">
        <v>2086</v>
      </c>
    </row>
    <row r="2590">
      <c r="A2590" t="inlineStr">
        <is>
          <t>NATIONAL CINEMEDIA, INC.</t>
        </is>
      </c>
      <c r="B2590" t="inlineStr">
        <is>
          <t>NCMI</t>
        </is>
      </c>
      <c r="C2590" t="inlineStr">
        <is>
          <t>NATIONAL CINEMEDIA, INC.</t>
        </is>
      </c>
      <c r="D2590" t="n">
        <v>7310</v>
      </c>
    </row>
    <row r="2591">
      <c r="A2591" t="inlineStr">
        <is>
          <t>NATIONAL FUEL GAS CO</t>
        </is>
      </c>
      <c r="B2591" t="inlineStr">
        <is>
          <t>NFG</t>
        </is>
      </c>
      <c r="C2591" t="inlineStr">
        <is>
          <t>NATIONAL FUEL GAS CO</t>
        </is>
      </c>
      <c r="D2591" t="n">
        <v>4924</v>
      </c>
    </row>
    <row r="2592">
      <c r="A2592" t="inlineStr">
        <is>
          <t>NATIONAL HEALTH INVESTORS INC</t>
        </is>
      </c>
      <c r="B2592" t="inlineStr">
        <is>
          <t>NHI</t>
        </is>
      </c>
      <c r="C2592" t="inlineStr">
        <is>
          <t>NATIONAL HEALTH INVESTORS INC</t>
        </is>
      </c>
      <c r="D2592" t="n">
        <v>6798</v>
      </c>
    </row>
    <row r="2593">
      <c r="A2593" t="inlineStr">
        <is>
          <t>NATIONAL HEALTHCARE CORP</t>
        </is>
      </c>
      <c r="B2593" t="inlineStr">
        <is>
          <t>NHC</t>
        </is>
      </c>
      <c r="C2593" t="inlineStr">
        <is>
          <t>NATIONAL HEALTHCARE CORP</t>
        </is>
      </c>
      <c r="D2593" t="n">
        <v>8051</v>
      </c>
    </row>
    <row r="2594">
      <c r="A2594" t="inlineStr">
        <is>
          <t>NATIONAL INSTRUMENTS CORP</t>
        </is>
      </c>
      <c r="B2594" t="inlineStr">
        <is>
          <t>NATI</t>
        </is>
      </c>
      <c r="C2594" t="inlineStr">
        <is>
          <t>NATIONAL INSTRUMENTS CORP</t>
        </is>
      </c>
      <c r="D2594" t="n">
        <v>7372</v>
      </c>
    </row>
    <row r="2595">
      <c r="A2595" t="inlineStr">
        <is>
          <t>NATIONAL PRESTO INDUSTRIES INC</t>
        </is>
      </c>
      <c r="B2595" t="inlineStr">
        <is>
          <t>NPK</t>
        </is>
      </c>
      <c r="C2595" t="inlineStr">
        <is>
          <t>NATIONAL PRESTO INDUSTRIES INC</t>
        </is>
      </c>
      <c r="D2595" t="n">
        <v>3480</v>
      </c>
    </row>
    <row r="2596">
      <c r="A2596" t="inlineStr">
        <is>
          <t>NATIONAL RESEARCH CORP</t>
        </is>
      </c>
      <c r="B2596" t="inlineStr">
        <is>
          <t>NRC</t>
        </is>
      </c>
      <c r="C2596" t="inlineStr">
        <is>
          <t>NATIONAL RESEARCH CORP</t>
        </is>
      </c>
      <c r="D2596" t="n">
        <v>8731</v>
      </c>
    </row>
    <row r="2597">
      <c r="A2597" t="inlineStr">
        <is>
          <t>NATIONAL RETAIL PROPERTIES, INC.</t>
        </is>
      </c>
      <c r="B2597" t="inlineStr">
        <is>
          <t>NNN</t>
        </is>
      </c>
      <c r="C2597" t="inlineStr">
        <is>
          <t>NATIONAL RETAIL PROPERTIES, INC.</t>
        </is>
      </c>
      <c r="D2597" t="n">
        <v>6798</v>
      </c>
    </row>
    <row r="2598">
      <c r="A2598" t="inlineStr">
        <is>
          <t>NATIONAL STORAGE AFFILIATES TRUST</t>
        </is>
      </c>
      <c r="B2598" t="inlineStr">
        <is>
          <t>NSA</t>
        </is>
      </c>
      <c r="C2598" t="inlineStr">
        <is>
          <t>NATIONAL STORAGE AFFILIATES TRUST</t>
        </is>
      </c>
      <c r="D2598" t="n">
        <v>6798</v>
      </c>
    </row>
    <row r="2599">
      <c r="A2599" t="inlineStr">
        <is>
          <t>NATIONAL VISION HOLDINGS, INC.</t>
        </is>
      </c>
      <c r="B2599" t="inlineStr">
        <is>
          <t>EYE</t>
        </is>
      </c>
      <c r="C2599" t="inlineStr">
        <is>
          <t>NATIONAL VISION HOLDINGS, INC.</t>
        </is>
      </c>
      <c r="D2599" t="n">
        <v>3851</v>
      </c>
    </row>
    <row r="2600">
      <c r="A2600" t="inlineStr">
        <is>
          <t>NATIONAL WESTERN LIFE GROUP, INC.</t>
        </is>
      </c>
      <c r="B2600" t="inlineStr">
        <is>
          <t>NWLI</t>
        </is>
      </c>
      <c r="C2600" t="inlineStr">
        <is>
          <t>NATIONAL WESTERN LIFE GROUP, INC.</t>
        </is>
      </c>
      <c r="D2600" t="n">
        <v>6311</v>
      </c>
    </row>
    <row r="2601">
      <c r="A2601" t="inlineStr">
        <is>
          <t>NATURAL ALTERNATIVES INTERNATIONAL INC</t>
        </is>
      </c>
      <c r="B2601" t="inlineStr">
        <is>
          <t>NAII</t>
        </is>
      </c>
      <c r="C2601" t="inlineStr">
        <is>
          <t>NATURAL ALTERNATIVES INTERNATIONAL INC</t>
        </is>
      </c>
      <c r="D2601" t="n">
        <v>2833</v>
      </c>
    </row>
    <row r="2602">
      <c r="A2602" t="inlineStr">
        <is>
          <t>NATURAL GAS SERVICES GROUP INC</t>
        </is>
      </c>
      <c r="B2602" t="inlineStr">
        <is>
          <t>NGS</t>
        </is>
      </c>
      <c r="C2602" t="inlineStr">
        <is>
          <t>NATURAL GAS SERVICES GROUP INC</t>
        </is>
      </c>
      <c r="D2602" t="n">
        <v>1389</v>
      </c>
    </row>
    <row r="2603">
      <c r="A2603" t="inlineStr">
        <is>
          <t>NATURAL GROCERS BY VITAMIN COTTAGE, INC.</t>
        </is>
      </c>
      <c r="B2603" t="inlineStr">
        <is>
          <t>NGVC</t>
        </is>
      </c>
      <c r="C2603" t="inlineStr">
        <is>
          <t>NATURAL GROCERS BY VITAMIN COTTAGE, INC.</t>
        </is>
      </c>
      <c r="D2603" t="n">
        <v>5411</v>
      </c>
    </row>
    <row r="2604">
      <c r="A2604" t="inlineStr">
        <is>
          <t>NATURAL HEALTH TRENDS CORP</t>
        </is>
      </c>
      <c r="B2604" t="inlineStr">
        <is>
          <t>NHTC</t>
        </is>
      </c>
      <c r="C2604" t="inlineStr">
        <is>
          <t>NATURAL HEALTH TRENDS CORP</t>
        </is>
      </c>
      <c r="D2604" t="n">
        <v>5190</v>
      </c>
    </row>
    <row r="2605">
      <c r="A2605" t="inlineStr">
        <is>
          <t>NATURAL RESOURCE PARTNERS LP</t>
        </is>
      </c>
      <c r="B2605" t="inlineStr">
        <is>
          <t>NRP</t>
        </is>
      </c>
      <c r="C2605" t="inlineStr">
        <is>
          <t>NATURAL RESOURCE PARTNERS LP</t>
        </is>
      </c>
      <c r="D2605" t="n">
        <v>1221</v>
      </c>
    </row>
    <row r="2606">
      <c r="A2606" t="inlineStr">
        <is>
          <t>NATURES SUNSHINE PRODUCTS INC</t>
        </is>
      </c>
      <c r="B2606" t="inlineStr">
        <is>
          <t>NATR</t>
        </is>
      </c>
      <c r="C2606" t="inlineStr">
        <is>
          <t>NATURES SUNSHINE PRODUCTS INC</t>
        </is>
      </c>
      <c r="D2606" t="n">
        <v>2834</v>
      </c>
    </row>
    <row r="2607">
      <c r="A2607" t="inlineStr">
        <is>
          <t>NATUS MEDICAL INC</t>
        </is>
      </c>
      <c r="B2607" t="inlineStr">
        <is>
          <t>NTUS</t>
        </is>
      </c>
      <c r="C2607" t="inlineStr">
        <is>
          <t>NATUS MEDICAL INC</t>
        </is>
      </c>
      <c r="D2607" t="n">
        <v>3845</v>
      </c>
    </row>
    <row r="2608">
      <c r="A2608" t="inlineStr">
        <is>
          <t>NAVIENT CORP</t>
        </is>
      </c>
      <c r="B2608" t="inlineStr">
        <is>
          <t>NAVI</t>
        </is>
      </c>
      <c r="C2608" t="inlineStr">
        <is>
          <t>NAVIENT CORP</t>
        </is>
      </c>
      <c r="D2608" t="n">
        <v>6211</v>
      </c>
    </row>
    <row r="2609">
      <c r="A2609" t="inlineStr">
        <is>
          <t>NAVIGATOR HOLDINGS LTD.</t>
        </is>
      </c>
      <c r="B2609" t="inlineStr">
        <is>
          <t>NVGS</t>
        </is>
      </c>
      <c r="C2609" t="inlineStr">
        <is>
          <t>NAVIGATOR HOLDINGS LTD.</t>
        </is>
      </c>
      <c r="D2609" t="n">
        <v>4412</v>
      </c>
    </row>
    <row r="2610">
      <c r="A2610" t="inlineStr">
        <is>
          <t>NAVIOS MARITIME HOLDINGS INC.</t>
        </is>
      </c>
      <c r="B2610" t="inlineStr">
        <is>
          <t>NM</t>
        </is>
      </c>
      <c r="C2610" t="inlineStr">
        <is>
          <t>NAVIOS MARITIME HOLDINGS INC.</t>
        </is>
      </c>
      <c r="D2610" t="n">
        <v>4412</v>
      </c>
    </row>
    <row r="2611">
      <c r="A2611" t="inlineStr">
        <is>
          <t>NAVIOS MARITIME PARTNERS L.P.</t>
        </is>
      </c>
      <c r="B2611" t="inlineStr">
        <is>
          <t>NMM</t>
        </is>
      </c>
      <c r="C2611" t="inlineStr">
        <is>
          <t>NAVIOS MARITIME PARTNERS L.P.</t>
        </is>
      </c>
      <c r="D2611" t="n">
        <v>4412</v>
      </c>
    </row>
    <row r="2612">
      <c r="A2612" t="inlineStr">
        <is>
          <t>NAVITAS SEMICONDUCTOR CORP</t>
        </is>
      </c>
      <c r="B2612" t="inlineStr">
        <is>
          <t>NVTS</t>
        </is>
      </c>
      <c r="C2612" t="inlineStr">
        <is>
          <t>NAVITAS SEMICONDUCTOR CORP</t>
        </is>
      </c>
      <c r="D2612" t="n">
        <v>3674</v>
      </c>
    </row>
    <row r="2613">
      <c r="A2613" t="inlineStr">
        <is>
          <t>NBT BANCORP INC</t>
        </is>
      </c>
      <c r="B2613" t="inlineStr">
        <is>
          <t>NBTB</t>
        </is>
      </c>
      <c r="C2613" t="inlineStr">
        <is>
          <t>NBT BANCORP INC</t>
        </is>
      </c>
      <c r="D2613" t="n">
        <v>6021</v>
      </c>
    </row>
    <row r="2614">
      <c r="A2614" t="inlineStr">
        <is>
          <t>NCINO, INC.</t>
        </is>
      </c>
      <c r="B2614" t="inlineStr">
        <is>
          <t>NCNO</t>
        </is>
      </c>
      <c r="C2614" t="inlineStr">
        <is>
          <t>NCINO, INC.</t>
        </is>
      </c>
      <c r="D2614" t="n">
        <v>7372</v>
      </c>
    </row>
    <row r="2615">
      <c r="A2615" t="inlineStr">
        <is>
          <t>NCR CORP</t>
        </is>
      </c>
      <c r="B2615" t="inlineStr">
        <is>
          <t>NCR</t>
        </is>
      </c>
      <c r="C2615" t="inlineStr">
        <is>
          <t>NCR CORP</t>
        </is>
      </c>
      <c r="D2615" t="n">
        <v>3578</v>
      </c>
    </row>
    <row r="2616">
      <c r="A2616" t="inlineStr">
        <is>
          <t>NCS MULTISTAGE HOLDINGS, INC.</t>
        </is>
      </c>
      <c r="B2616" t="inlineStr">
        <is>
          <t>NCSM</t>
        </is>
      </c>
      <c r="C2616" t="inlineStr">
        <is>
          <t>NCS MULTISTAGE HOLDINGS, INC.</t>
        </is>
      </c>
      <c r="D2616" t="n">
        <v>1389</v>
      </c>
    </row>
    <row r="2617">
      <c r="A2617" t="inlineStr">
        <is>
          <t>NEENAH INC</t>
        </is>
      </c>
      <c r="B2617" t="inlineStr">
        <is>
          <t>NP</t>
        </is>
      </c>
      <c r="C2617" t="inlineStr">
        <is>
          <t>NEENAH INC</t>
        </is>
      </c>
      <c r="D2617" t="n">
        <v>2621</v>
      </c>
    </row>
    <row r="2618">
      <c r="A2618" t="inlineStr">
        <is>
          <t>NEKTAR THERAPEUTICS</t>
        </is>
      </c>
      <c r="B2618" t="inlineStr">
        <is>
          <t>NKTR</t>
        </is>
      </c>
      <c r="C2618" t="inlineStr">
        <is>
          <t>NEKTAR THERAPEUTICS</t>
        </is>
      </c>
      <c r="D2618" t="n">
        <v>2834</v>
      </c>
    </row>
    <row r="2619">
      <c r="A2619" t="inlineStr">
        <is>
          <t>NELNET INC</t>
        </is>
      </c>
      <c r="B2619" t="inlineStr">
        <is>
          <t>NNI</t>
        </is>
      </c>
      <c r="C2619" t="inlineStr">
        <is>
          <t>NELNET INC</t>
        </is>
      </c>
      <c r="D2619" t="n">
        <v>6141</v>
      </c>
    </row>
    <row r="2620">
      <c r="A2620" t="inlineStr">
        <is>
          <t>NEOGEN CORP</t>
        </is>
      </c>
      <c r="B2620" t="inlineStr">
        <is>
          <t>NEOG</t>
        </is>
      </c>
      <c r="C2620" t="inlineStr">
        <is>
          <t>NEOGEN CORP</t>
        </is>
      </c>
      <c r="D2620" t="n">
        <v>2835</v>
      </c>
    </row>
    <row r="2621">
      <c r="A2621" t="inlineStr">
        <is>
          <t>NEOGENOMICS INC</t>
        </is>
      </c>
      <c r="B2621" t="inlineStr">
        <is>
          <t>NEO</t>
        </is>
      </c>
      <c r="C2621" t="inlineStr">
        <is>
          <t>NEOGENOMICS INC</t>
        </is>
      </c>
      <c r="D2621" t="n">
        <v>8734</v>
      </c>
    </row>
    <row r="2622">
      <c r="A2622" t="inlineStr">
        <is>
          <t>NEONODE INC.</t>
        </is>
      </c>
      <c r="B2622" t="inlineStr">
        <is>
          <t>NEON</t>
        </is>
      </c>
      <c r="C2622" t="inlineStr">
        <is>
          <t>NEONODE INC.</t>
        </is>
      </c>
      <c r="D2622" t="n">
        <v>3679</v>
      </c>
    </row>
    <row r="2623">
      <c r="A2623" t="inlineStr">
        <is>
          <t>NEOPHOTONICS CORP</t>
        </is>
      </c>
      <c r="B2623" t="inlineStr">
        <is>
          <t>NPTN</t>
        </is>
      </c>
      <c r="C2623" t="inlineStr">
        <is>
          <t>NEOPHOTONICS CORP</t>
        </is>
      </c>
      <c r="D2623" t="n">
        <v>3674</v>
      </c>
    </row>
    <row r="2624">
      <c r="A2624" t="inlineStr">
        <is>
          <t>NEPHROS INC</t>
        </is>
      </c>
      <c r="B2624" t="inlineStr">
        <is>
          <t>NEPH</t>
        </is>
      </c>
      <c r="C2624" t="inlineStr">
        <is>
          <t>NEPHROS INC</t>
        </is>
      </c>
      <c r="D2624" t="n">
        <v>3841</v>
      </c>
    </row>
    <row r="2625">
      <c r="A2625" t="inlineStr">
        <is>
          <t>NERDWALLET, INC.</t>
        </is>
      </c>
      <c r="B2625" t="inlineStr">
        <is>
          <t>NRDS</t>
        </is>
      </c>
      <c r="C2625" t="inlineStr">
        <is>
          <t>NERDWALLET, INC.</t>
        </is>
      </c>
      <c r="D2625" t="n">
        <v>7374</v>
      </c>
    </row>
    <row r="2626">
      <c r="A2626" t="inlineStr">
        <is>
          <t>NERDY INC.</t>
        </is>
      </c>
      <c r="B2626" t="inlineStr">
        <is>
          <t>NRDY</t>
        </is>
      </c>
      <c r="C2626" t="inlineStr">
        <is>
          <t>NERDY INC.</t>
        </is>
      </c>
      <c r="D2626" t="n">
        <v>7372</v>
      </c>
    </row>
    <row r="2627">
      <c r="A2627" t="inlineStr">
        <is>
          <t>NET ELEMENT, INC.</t>
        </is>
      </c>
      <c r="B2627" t="inlineStr">
        <is>
          <t>MULN</t>
        </is>
      </c>
      <c r="C2627" t="inlineStr">
        <is>
          <t>NET ELEMENT, INC.</t>
        </is>
      </c>
      <c r="D2627" t="n">
        <v>7374</v>
      </c>
    </row>
    <row r="2628">
      <c r="A2628" t="inlineStr">
        <is>
          <t>NETAPP, INC.</t>
        </is>
      </c>
      <c r="B2628" t="inlineStr">
        <is>
          <t>NTAP</t>
        </is>
      </c>
      <c r="C2628" t="inlineStr">
        <is>
          <t>NETAPP, INC.</t>
        </is>
      </c>
      <c r="D2628" t="n">
        <v>3572</v>
      </c>
    </row>
    <row r="2629">
      <c r="A2629" t="inlineStr">
        <is>
          <t>NETEASE, INC.</t>
        </is>
      </c>
      <c r="B2629" t="inlineStr">
        <is>
          <t>NTES</t>
        </is>
      </c>
      <c r="C2629" t="inlineStr">
        <is>
          <t>NETEASE, INC.</t>
        </is>
      </c>
      <c r="D2629" t="n">
        <v>7372</v>
      </c>
    </row>
    <row r="2630">
      <c r="A2630" t="inlineStr">
        <is>
          <t>NETFLIX INC</t>
        </is>
      </c>
      <c r="B2630" t="inlineStr">
        <is>
          <t>NFLX</t>
        </is>
      </c>
      <c r="C2630" t="inlineStr">
        <is>
          <t>NETFLIX INC</t>
        </is>
      </c>
      <c r="D2630" t="n">
        <v>7841</v>
      </c>
    </row>
    <row r="2631">
      <c r="A2631" t="inlineStr">
        <is>
          <t>NETGEAR, INC.</t>
        </is>
      </c>
      <c r="B2631" t="inlineStr">
        <is>
          <t>NTGR</t>
        </is>
      </c>
      <c r="C2631" t="inlineStr">
        <is>
          <t>NETGEAR, INC.</t>
        </is>
      </c>
      <c r="D2631" t="n">
        <v>3661</v>
      </c>
    </row>
    <row r="2632">
      <c r="A2632" t="inlineStr">
        <is>
          <t>NETLIST INC</t>
        </is>
      </c>
      <c r="B2632" t="inlineStr">
        <is>
          <t>NLST</t>
        </is>
      </c>
      <c r="C2632" t="inlineStr">
        <is>
          <t>NETLIST INC</t>
        </is>
      </c>
      <c r="D2632" t="n">
        <v>3674</v>
      </c>
    </row>
    <row r="2633">
      <c r="A2633" t="inlineStr">
        <is>
          <t>NETSCOUT SYSTEMS INC</t>
        </is>
      </c>
      <c r="B2633" t="inlineStr">
        <is>
          <t>NTCT</t>
        </is>
      </c>
      <c r="C2633" t="inlineStr">
        <is>
          <t>NETSCOUT SYSTEMS INC</t>
        </is>
      </c>
      <c r="D2633" t="n">
        <v>7373</v>
      </c>
    </row>
    <row r="2634">
      <c r="A2634" t="inlineStr">
        <is>
          <t>NETSOL TECHNOLOGIES INC</t>
        </is>
      </c>
      <c r="B2634" t="inlineStr">
        <is>
          <t>NTWK</t>
        </is>
      </c>
      <c r="C2634" t="inlineStr">
        <is>
          <t>NETSOL TECHNOLOGIES INC</t>
        </is>
      </c>
      <c r="D2634" t="n">
        <v>7372</v>
      </c>
    </row>
    <row r="2635">
      <c r="A2635" t="inlineStr">
        <is>
          <t>NETWORK-1 TECHNOLOGIES, INC.</t>
        </is>
      </c>
      <c r="B2635" t="inlineStr">
        <is>
          <t>NTIP</t>
        </is>
      </c>
      <c r="C2635" t="inlineStr">
        <is>
          <t>NETWORK-1 TECHNOLOGIES, INC.</t>
        </is>
      </c>
      <c r="D2635" t="n">
        <v>6794</v>
      </c>
    </row>
    <row r="2636">
      <c r="A2636" t="inlineStr">
        <is>
          <t>NEUROBO PHARMACEUTICALS, INC.</t>
        </is>
      </c>
      <c r="B2636" t="inlineStr">
        <is>
          <t>NRBO</t>
        </is>
      </c>
      <c r="C2636" t="inlineStr">
        <is>
          <t>NEUROBO PHARMACEUTICALS, INC.</t>
        </is>
      </c>
      <c r="D2636" t="n">
        <v>2834</v>
      </c>
    </row>
    <row r="2637">
      <c r="A2637" t="inlineStr">
        <is>
          <t>NEUROCRINE BIOSCIENCES INC</t>
        </is>
      </c>
      <c r="B2637" t="inlineStr">
        <is>
          <t>NBIX</t>
        </is>
      </c>
      <c r="C2637" t="inlineStr">
        <is>
          <t>NEUROCRINE BIOSCIENCES INC</t>
        </is>
      </c>
      <c r="D2637" t="n">
        <v>2836</v>
      </c>
    </row>
    <row r="2638">
      <c r="A2638" t="inlineStr">
        <is>
          <t>NEURONETICS, INC.</t>
        </is>
      </c>
      <c r="B2638" t="inlineStr">
        <is>
          <t>STIM</t>
        </is>
      </c>
      <c r="C2638" t="inlineStr">
        <is>
          <t>NEURONETICS, INC.</t>
        </is>
      </c>
      <c r="D2638" t="n">
        <v>3841</v>
      </c>
    </row>
    <row r="2639">
      <c r="A2639" t="inlineStr">
        <is>
          <t>NEUROPACE INC</t>
        </is>
      </c>
      <c r="B2639" t="inlineStr">
        <is>
          <t>NPCE</t>
        </is>
      </c>
      <c r="C2639" t="inlineStr">
        <is>
          <t>NEUROPACE INC</t>
        </is>
      </c>
      <c r="D2639" t="n">
        <v>3841</v>
      </c>
    </row>
    <row r="2640">
      <c r="A2640" t="inlineStr">
        <is>
          <t>NEVRO CORP</t>
        </is>
      </c>
      <c r="B2640" t="inlineStr">
        <is>
          <t>NVRO</t>
        </is>
      </c>
      <c r="C2640" t="inlineStr">
        <is>
          <t>NEVRO CORP</t>
        </is>
      </c>
      <c r="D2640" t="n">
        <v>3841</v>
      </c>
    </row>
    <row r="2641">
      <c r="A2641" t="inlineStr">
        <is>
          <t>NEW ENGLAND REALTY ASSOCIATES LIMITED PARTNERSHIP</t>
        </is>
      </c>
      <c r="B2641" t="inlineStr">
        <is>
          <t>NEN</t>
        </is>
      </c>
      <c r="C2641" t="inlineStr">
        <is>
          <t>NEW ENGLAND REALTY ASSOCIATES LIMITED PARTNERSHIP</t>
        </is>
      </c>
      <c r="D2641" t="n">
        <v>6513</v>
      </c>
    </row>
    <row r="2642">
      <c r="A2642" t="inlineStr">
        <is>
          <t>NEW FORTRESS ENERGY INC.</t>
        </is>
      </c>
      <c r="B2642" t="inlineStr">
        <is>
          <t>NFE</t>
        </is>
      </c>
      <c r="C2642" t="inlineStr">
        <is>
          <t>NEW FORTRESS ENERGY INC.</t>
        </is>
      </c>
      <c r="D2642" t="n">
        <v>4924</v>
      </c>
    </row>
    <row r="2643">
      <c r="A2643" t="inlineStr">
        <is>
          <t>NEW JERSEY RESOURCES CORP</t>
        </is>
      </c>
      <c r="B2643" t="inlineStr">
        <is>
          <t>NJR</t>
        </is>
      </c>
      <c r="C2643" t="inlineStr">
        <is>
          <t>NEW JERSEY RESOURCES CORP</t>
        </is>
      </c>
      <c r="D2643" t="n">
        <v>4924</v>
      </c>
    </row>
    <row r="2644">
      <c r="A2644" t="inlineStr">
        <is>
          <t>NEW ORIENTAL EDUCATION &amp; TECHNOLOGY GROUP INC.</t>
        </is>
      </c>
      <c r="B2644" t="inlineStr">
        <is>
          <t>EDU</t>
        </is>
      </c>
      <c r="C2644" t="inlineStr">
        <is>
          <t>NEW ORIENTAL EDUCATION &amp; TECHNOLOGY GROUP INC.</t>
        </is>
      </c>
      <c r="D2644" t="n">
        <v>8200</v>
      </c>
    </row>
    <row r="2645">
      <c r="A2645" t="inlineStr">
        <is>
          <t>NEW PEOPLES BANKSHARES INC</t>
        </is>
      </c>
      <c r="B2645" t="inlineStr">
        <is>
          <t>NWPP</t>
        </is>
      </c>
      <c r="C2645" t="inlineStr">
        <is>
          <t>NEW PEOPLES BANKSHARES INC</t>
        </is>
      </c>
      <c r="D2645" t="n">
        <v>6022</v>
      </c>
    </row>
    <row r="2646">
      <c r="A2646" t="inlineStr">
        <is>
          <t>NEW RELIC, INC.</t>
        </is>
      </c>
      <c r="B2646" t="inlineStr">
        <is>
          <t>NEWR</t>
        </is>
      </c>
      <c r="C2646" t="inlineStr">
        <is>
          <t>NEW RELIC, INC.</t>
        </is>
      </c>
      <c r="D2646" t="n">
        <v>7372</v>
      </c>
    </row>
    <row r="2647">
      <c r="A2647" t="inlineStr">
        <is>
          <t>NEW RESIDENTIAL INVESTMENT CORP.</t>
        </is>
      </c>
      <c r="B2647" t="inlineStr">
        <is>
          <t>NRZ</t>
        </is>
      </c>
      <c r="C2647" t="inlineStr">
        <is>
          <t>NEW RESIDENTIAL INVESTMENT CORP.</t>
        </is>
      </c>
      <c r="D2647" t="n">
        <v>6798</v>
      </c>
    </row>
    <row r="2648">
      <c r="A2648" t="inlineStr">
        <is>
          <t>NEW YORK COMMUNITY BANCORP INC</t>
        </is>
      </c>
      <c r="B2648" t="inlineStr">
        <is>
          <t>NYCB</t>
        </is>
      </c>
      <c r="C2648" t="inlineStr">
        <is>
          <t>NEW YORK COMMUNITY BANCORP INC</t>
        </is>
      </c>
      <c r="D2648" t="n">
        <v>6036</v>
      </c>
    </row>
    <row r="2649">
      <c r="A2649" t="inlineStr">
        <is>
          <t>NEW YORK MORTGAGE TRUST INC</t>
        </is>
      </c>
      <c r="B2649" t="inlineStr">
        <is>
          <t>NYMT</t>
        </is>
      </c>
      <c r="C2649" t="inlineStr">
        <is>
          <t>NEW YORK MORTGAGE TRUST INC</t>
        </is>
      </c>
      <c r="D2649" t="n">
        <v>6798</v>
      </c>
    </row>
    <row r="2650">
      <c r="A2650" t="inlineStr">
        <is>
          <t>NEW YORK TIMES CO</t>
        </is>
      </c>
      <c r="B2650" t="inlineStr">
        <is>
          <t>NYT</t>
        </is>
      </c>
      <c r="C2650" t="inlineStr">
        <is>
          <t>NEW YORK TIMES CO</t>
        </is>
      </c>
      <c r="D2650" t="n">
        <v>2711</v>
      </c>
    </row>
    <row r="2651">
      <c r="A2651" t="inlineStr">
        <is>
          <t>NEWAGE, INC.</t>
        </is>
      </c>
      <c r="B2651" t="inlineStr">
        <is>
          <t>NBEV</t>
        </is>
      </c>
      <c r="C2651" t="inlineStr">
        <is>
          <t>NEWAGE, INC.</t>
        </is>
      </c>
      <c r="D2651" t="n">
        <v>2082</v>
      </c>
    </row>
    <row r="2652">
      <c r="A2652" t="inlineStr">
        <is>
          <t>NEWEGG COMMERCE, INC.</t>
        </is>
      </c>
      <c r="B2652" t="inlineStr">
        <is>
          <t>NEGG</t>
        </is>
      </c>
      <c r="C2652" t="inlineStr">
        <is>
          <t>NEWEGG COMMERCE, INC.</t>
        </is>
      </c>
      <c r="D2652" t="n">
        <v>5990</v>
      </c>
    </row>
    <row r="2653">
      <c r="A2653" t="inlineStr">
        <is>
          <t>NEWELL BRANDS INC.</t>
        </is>
      </c>
      <c r="B2653" t="inlineStr">
        <is>
          <t>NWL</t>
        </is>
      </c>
      <c r="C2653" t="inlineStr">
        <is>
          <t>NEWELL BRANDS INC.</t>
        </is>
      </c>
      <c r="D2653" t="n">
        <v>3089</v>
      </c>
    </row>
    <row r="2654">
      <c r="A2654" t="inlineStr">
        <is>
          <t>NEWLAKE CAPITAL PARTNERS, INC.</t>
        </is>
      </c>
      <c r="B2654" t="inlineStr">
        <is>
          <t>NLCP</t>
        </is>
      </c>
      <c r="C2654" t="inlineStr">
        <is>
          <t>NEWLAKE CAPITAL PARTNERS, INC.</t>
        </is>
      </c>
      <c r="D2654" t="n">
        <v>6798</v>
      </c>
    </row>
    <row r="2655">
      <c r="A2655" t="inlineStr">
        <is>
          <t>NEWMARK GROUP, INC.</t>
        </is>
      </c>
      <c r="B2655" t="inlineStr">
        <is>
          <t>NMRK</t>
        </is>
      </c>
      <c r="C2655" t="inlineStr">
        <is>
          <t>NEWMARK GROUP, INC.</t>
        </is>
      </c>
      <c r="D2655" t="n">
        <v>6531</v>
      </c>
    </row>
    <row r="2656">
      <c r="A2656" t="inlineStr">
        <is>
          <t>NEWMARKET CORP</t>
        </is>
      </c>
      <c r="B2656" t="inlineStr">
        <is>
          <t>NEU</t>
        </is>
      </c>
      <c r="C2656" t="inlineStr">
        <is>
          <t>NEWMARKET CORP</t>
        </is>
      </c>
      <c r="D2656" t="n">
        <v>2860</v>
      </c>
    </row>
    <row r="2657">
      <c r="A2657" t="inlineStr">
        <is>
          <t>NEWMONT CORP /DE/</t>
        </is>
      </c>
      <c r="B2657" t="inlineStr">
        <is>
          <t>NEM</t>
        </is>
      </c>
      <c r="C2657" t="inlineStr">
        <is>
          <t>NEWMONT CORP /DE/</t>
        </is>
      </c>
      <c r="D2657" t="n">
        <v>1040</v>
      </c>
    </row>
    <row r="2658">
      <c r="A2658" t="inlineStr">
        <is>
          <t>NEWPARK RESOURCES INC</t>
        </is>
      </c>
      <c r="B2658" t="inlineStr">
        <is>
          <t>NR</t>
        </is>
      </c>
      <c r="C2658" t="inlineStr">
        <is>
          <t>NEWPARK RESOURCES INC</t>
        </is>
      </c>
      <c r="D2658" t="n">
        <v>3533</v>
      </c>
    </row>
    <row r="2659">
      <c r="A2659" t="inlineStr">
        <is>
          <t>NEWS CORP</t>
        </is>
      </c>
      <c r="B2659" t="inlineStr">
        <is>
          <t>NWSA</t>
        </is>
      </c>
      <c r="C2659" t="inlineStr">
        <is>
          <t>NEWS CORP</t>
        </is>
      </c>
      <c r="D2659" t="n">
        <v>2711</v>
      </c>
    </row>
    <row r="2660">
      <c r="A2660" t="inlineStr">
        <is>
          <t>NEXPOINT REAL ESTATE FINANCE, INC.</t>
        </is>
      </c>
      <c r="B2660" t="inlineStr">
        <is>
          <t>NREF</t>
        </is>
      </c>
      <c r="C2660" t="inlineStr">
        <is>
          <t>NEXPOINT REAL ESTATE FINANCE, INC.</t>
        </is>
      </c>
      <c r="D2660" t="n">
        <v>6798</v>
      </c>
    </row>
    <row r="2661">
      <c r="A2661" t="inlineStr">
        <is>
          <t>NEXPOINT RESIDENTIAL TRUST, INC.</t>
        </is>
      </c>
      <c r="B2661" t="inlineStr">
        <is>
          <t>NXRT</t>
        </is>
      </c>
      <c r="C2661" t="inlineStr">
        <is>
          <t>NEXPOINT RESIDENTIAL TRUST, INC.</t>
        </is>
      </c>
      <c r="D2661" t="n">
        <v>6798</v>
      </c>
    </row>
    <row r="2662">
      <c r="A2662" t="inlineStr">
        <is>
          <t>NEXSTAR MEDIA GROUP, INC.</t>
        </is>
      </c>
      <c r="B2662" t="inlineStr">
        <is>
          <t>NXST</t>
        </is>
      </c>
      <c r="C2662" t="inlineStr">
        <is>
          <t>NEXSTAR MEDIA GROUP, INC.</t>
        </is>
      </c>
      <c r="D2662" t="n">
        <v>4833</v>
      </c>
    </row>
    <row r="2663">
      <c r="A2663" t="inlineStr">
        <is>
          <t>NEXTCURE, INC.</t>
        </is>
      </c>
      <c r="B2663" t="inlineStr">
        <is>
          <t>NXTC</t>
        </is>
      </c>
      <c r="C2663" t="inlineStr">
        <is>
          <t>NEXTCURE, INC.</t>
        </is>
      </c>
      <c r="D2663" t="n">
        <v>2834</v>
      </c>
    </row>
    <row r="2664">
      <c r="A2664" t="inlineStr">
        <is>
          <t>NEXTDOOR HOLDINGS, INC.</t>
        </is>
      </c>
      <c r="B2664" t="inlineStr">
        <is>
          <t>KIND</t>
        </is>
      </c>
      <c r="C2664" t="inlineStr">
        <is>
          <t>NEXTDOOR HOLDINGS, INC.</t>
        </is>
      </c>
      <c r="D2664" t="n">
        <v>7370</v>
      </c>
    </row>
    <row r="2665">
      <c r="A2665" t="inlineStr">
        <is>
          <t>NEXTERA ENERGY INC</t>
        </is>
      </c>
      <c r="B2665" t="inlineStr">
        <is>
          <t>NEE</t>
        </is>
      </c>
      <c r="C2665" t="inlineStr">
        <is>
          <t>NEXTERA ENERGY INC</t>
        </is>
      </c>
      <c r="D2665" t="n">
        <v>4911</v>
      </c>
    </row>
    <row r="2666">
      <c r="A2666" t="inlineStr">
        <is>
          <t>NEXTERA ENERGY PARTNERS, LP</t>
        </is>
      </c>
      <c r="B2666" t="inlineStr">
        <is>
          <t>NEP</t>
        </is>
      </c>
      <c r="C2666" t="inlineStr">
        <is>
          <t>NEXTERA ENERGY PARTNERS, LP</t>
        </is>
      </c>
      <c r="D2666" t="n">
        <v>4911</v>
      </c>
    </row>
    <row r="2667">
      <c r="A2667" t="inlineStr">
        <is>
          <t>NEXTGEN HEALTHCARE, INC.</t>
        </is>
      </c>
      <c r="B2667" t="inlineStr">
        <is>
          <t>NXGN</t>
        </is>
      </c>
      <c r="C2667" t="inlineStr">
        <is>
          <t>NEXTGEN HEALTHCARE, INC.</t>
        </is>
      </c>
      <c r="D2667" t="n">
        <v>7373</v>
      </c>
    </row>
    <row r="2668">
      <c r="A2668" t="inlineStr">
        <is>
          <t>NEXTIER OILFIELD SOLUTIONS INC.</t>
        </is>
      </c>
      <c r="B2668" t="inlineStr">
        <is>
          <t>NEX</t>
        </is>
      </c>
      <c r="C2668" t="inlineStr">
        <is>
          <t>NEXTIER OILFIELD SOLUTIONS INC.</t>
        </is>
      </c>
      <c r="D2668" t="n">
        <v>1389</v>
      </c>
    </row>
    <row r="2669">
      <c r="A2669" t="inlineStr">
        <is>
          <t>NEXTNAV INC.</t>
        </is>
      </c>
      <c r="B2669" t="inlineStr">
        <is>
          <t>NN</t>
        </is>
      </c>
      <c r="C2669" t="inlineStr">
        <is>
          <t>NEXTNAV INC.</t>
        </is>
      </c>
      <c r="D2669" t="n">
        <v>3812</v>
      </c>
    </row>
    <row r="2670">
      <c r="A2670" t="inlineStr">
        <is>
          <t>NEXTPLAY TECHNOLOGIES INC.</t>
        </is>
      </c>
      <c r="B2670" t="inlineStr">
        <is>
          <t>NXTP</t>
        </is>
      </c>
      <c r="C2670" t="inlineStr">
        <is>
          <t>NEXTPLAY TECHNOLOGIES INC.</t>
        </is>
      </c>
      <c r="D2670" t="n">
        <v>7389</v>
      </c>
    </row>
    <row r="2671">
      <c r="A2671" t="inlineStr">
        <is>
          <t>NGL ENERGY PARTNERS LP</t>
        </is>
      </c>
      <c r="B2671" t="inlineStr">
        <is>
          <t>NGL</t>
        </is>
      </c>
      <c r="C2671" t="inlineStr">
        <is>
          <t>NGL ENERGY PARTNERS LP</t>
        </is>
      </c>
      <c r="D2671" t="n">
        <v>4922</v>
      </c>
    </row>
    <row r="2672">
      <c r="A2672" t="inlineStr">
        <is>
          <t>NGM BIOPHARMACEUTICALS INC</t>
        </is>
      </c>
      <c r="B2672" t="inlineStr">
        <is>
          <t>NGM</t>
        </is>
      </c>
      <c r="C2672" t="inlineStr">
        <is>
          <t>NGM BIOPHARMACEUTICALS INC</t>
        </is>
      </c>
      <c r="D2672" t="n">
        <v>2834</v>
      </c>
    </row>
    <row r="2673">
      <c r="A2673" t="inlineStr">
        <is>
          <t>NI HOLDINGS, INC.</t>
        </is>
      </c>
      <c r="B2673" t="inlineStr">
        <is>
          <t>NODK</t>
        </is>
      </c>
      <c r="C2673" t="inlineStr">
        <is>
          <t>NI HOLDINGS, INC.</t>
        </is>
      </c>
      <c r="D2673" t="n">
        <v>6331</v>
      </c>
    </row>
    <row r="2674">
      <c r="A2674" t="inlineStr">
        <is>
          <t>NICE LTD.</t>
        </is>
      </c>
      <c r="B2674" t="inlineStr">
        <is>
          <t>NICE</t>
        </is>
      </c>
      <c r="C2674" t="inlineStr">
        <is>
          <t>NICE LTD.</t>
        </is>
      </c>
      <c r="D2674" t="n">
        <v>7372</v>
      </c>
    </row>
    <row r="2675">
      <c r="A2675" t="inlineStr">
        <is>
          <t>NICHOLAS FINANCIAL INC</t>
        </is>
      </c>
      <c r="B2675" t="inlineStr">
        <is>
          <t>NICK</t>
        </is>
      </c>
      <c r="C2675" t="inlineStr">
        <is>
          <t>NICHOLAS FINANCIAL INC</t>
        </is>
      </c>
      <c r="D2675" t="n">
        <v>6153</v>
      </c>
    </row>
    <row r="2676">
      <c r="A2676" t="inlineStr">
        <is>
          <t>NIELSEN HOLDINGS PLC</t>
        </is>
      </c>
      <c r="B2676" t="inlineStr">
        <is>
          <t>NLSN</t>
        </is>
      </c>
      <c r="C2676" t="inlineStr">
        <is>
          <t>NIELSEN HOLDINGS PLC</t>
        </is>
      </c>
      <c r="D2676" t="n">
        <v>7389</v>
      </c>
    </row>
    <row r="2677">
      <c r="A2677" t="inlineStr">
        <is>
          <t>NIKE, INC.</t>
        </is>
      </c>
      <c r="B2677" t="inlineStr">
        <is>
          <t>NKE</t>
        </is>
      </c>
      <c r="C2677" t="inlineStr">
        <is>
          <t>NIKE, INC.</t>
        </is>
      </c>
      <c r="D2677" t="n">
        <v>3021</v>
      </c>
    </row>
    <row r="2678">
      <c r="A2678" t="inlineStr">
        <is>
          <t>NIKOLA CORP</t>
        </is>
      </c>
      <c r="B2678" t="inlineStr">
        <is>
          <t>NKLA</t>
        </is>
      </c>
      <c r="C2678" t="inlineStr">
        <is>
          <t>NIKOLA CORP</t>
        </is>
      </c>
      <c r="D2678" t="n">
        <v>3711</v>
      </c>
    </row>
    <row r="2679">
      <c r="A2679" t="inlineStr">
        <is>
          <t>NINE ENERGY SERVICE, INC.</t>
        </is>
      </c>
      <c r="B2679" t="inlineStr">
        <is>
          <t>NINE</t>
        </is>
      </c>
      <c r="C2679" t="inlineStr">
        <is>
          <t>NINE ENERGY SERVICE, INC.</t>
        </is>
      </c>
      <c r="D2679" t="n">
        <v>1389</v>
      </c>
    </row>
    <row r="2680">
      <c r="A2680" t="inlineStr">
        <is>
          <t>NIO INC.</t>
        </is>
      </c>
      <c r="B2680" t="inlineStr">
        <is>
          <t>NIO</t>
        </is>
      </c>
      <c r="C2680" t="inlineStr">
        <is>
          <t>NIO INC.</t>
        </is>
      </c>
      <c r="D2680" t="n">
        <v>3711</v>
      </c>
    </row>
    <row r="2681">
      <c r="A2681" t="inlineStr">
        <is>
          <t>NISOURCE INC.</t>
        </is>
      </c>
      <c r="B2681" t="inlineStr">
        <is>
          <t>NI</t>
        </is>
      </c>
      <c r="C2681" t="inlineStr">
        <is>
          <t>NISOURCE INC.</t>
        </is>
      </c>
      <c r="D2681" t="n">
        <v>4931</v>
      </c>
    </row>
    <row r="2682">
      <c r="A2682" t="inlineStr">
        <is>
          <t>NISUN INTERNATIONAL ENTERPRISE DEVELOPMENT GROUP CO., LTD</t>
        </is>
      </c>
      <c r="B2682" t="inlineStr">
        <is>
          <t>NISN</t>
        </is>
      </c>
      <c r="C2682" t="inlineStr">
        <is>
          <t>NISUN INTERNATIONAL ENTERPRISE DEVELOPMENT GROUP CO., LTD</t>
        </is>
      </c>
      <c r="D2682" t="n">
        <v>3490</v>
      </c>
    </row>
    <row r="2683">
      <c r="A2683" t="inlineStr">
        <is>
          <t>NIU TECHNOLOGIES</t>
        </is>
      </c>
      <c r="B2683" t="inlineStr">
        <is>
          <t>NIU</t>
        </is>
      </c>
      <c r="C2683" t="inlineStr">
        <is>
          <t>NIU TECHNOLOGIES</t>
        </is>
      </c>
      <c r="D2683" t="n">
        <v>3711</v>
      </c>
    </row>
    <row r="2684">
      <c r="A2684" t="inlineStr">
        <is>
          <t>NL INDUSTRIES INC</t>
        </is>
      </c>
      <c r="B2684" t="inlineStr">
        <is>
          <t>NL</t>
        </is>
      </c>
      <c r="C2684" t="inlineStr">
        <is>
          <t>NL INDUSTRIES INC</t>
        </is>
      </c>
      <c r="D2684" t="n">
        <v>2810</v>
      </c>
    </row>
    <row r="2685">
      <c r="A2685" t="inlineStr">
        <is>
          <t>NLIGHT, INC.</t>
        </is>
      </c>
      <c r="B2685" t="inlineStr">
        <is>
          <t>LASR</t>
        </is>
      </c>
      <c r="C2685" t="inlineStr">
        <is>
          <t>NLIGHT, INC.</t>
        </is>
      </c>
      <c r="D2685" t="n">
        <v>3674</v>
      </c>
    </row>
    <row r="2686">
      <c r="A2686" t="inlineStr">
        <is>
          <t>NMI HOLDINGS, INC.</t>
        </is>
      </c>
      <c r="B2686" t="inlineStr">
        <is>
          <t>NMIH</t>
        </is>
      </c>
      <c r="C2686" t="inlineStr">
        <is>
          <t>NMI HOLDINGS, INC.</t>
        </is>
      </c>
      <c r="D2686" t="n">
        <v>6351</v>
      </c>
    </row>
    <row r="2687">
      <c r="A2687" t="inlineStr">
        <is>
          <t>NN INC</t>
        </is>
      </c>
      <c r="B2687" t="inlineStr">
        <is>
          <t>NNBR</t>
        </is>
      </c>
      <c r="C2687" t="inlineStr">
        <is>
          <t>NN INC</t>
        </is>
      </c>
      <c r="D2687" t="n">
        <v>3540</v>
      </c>
    </row>
    <row r="2688">
      <c r="A2688" t="inlineStr">
        <is>
          <t>NOAH HOLDINGS LTD</t>
        </is>
      </c>
      <c r="B2688" t="inlineStr">
        <is>
          <t>NOAH</t>
        </is>
      </c>
      <c r="C2688" t="inlineStr">
        <is>
          <t>NOAH HOLDINGS LTD</t>
        </is>
      </c>
      <c r="D2688" t="n">
        <v>6282</v>
      </c>
    </row>
    <row r="2689">
      <c r="A2689" t="inlineStr">
        <is>
          <t>NOBILITY HOMES INC</t>
        </is>
      </c>
      <c r="B2689" t="inlineStr">
        <is>
          <t>NOBH</t>
        </is>
      </c>
      <c r="C2689" t="inlineStr">
        <is>
          <t>NOBILITY HOMES INC</t>
        </is>
      </c>
      <c r="D2689" t="n">
        <v>2451</v>
      </c>
    </row>
    <row r="2690">
      <c r="A2690" t="inlineStr">
        <is>
          <t>NOBLE CORP</t>
        </is>
      </c>
      <c r="B2690" t="inlineStr">
        <is>
          <t>NE</t>
        </is>
      </c>
      <c r="C2690" t="inlineStr">
        <is>
          <t>NOBLE CORP</t>
        </is>
      </c>
      <c r="D2690" t="n">
        <v>1381</v>
      </c>
    </row>
    <row r="2691">
      <c r="A2691" t="inlineStr">
        <is>
          <t>NOBLE VICI GROUP, INC.</t>
        </is>
      </c>
      <c r="B2691" t="inlineStr">
        <is>
          <t>NVGI</t>
        </is>
      </c>
      <c r="C2691" t="inlineStr">
        <is>
          <t>NOBLE VICI GROUP, INC.</t>
        </is>
      </c>
      <c r="D2691" t="n">
        <v>7389</v>
      </c>
    </row>
    <row r="2692">
      <c r="A2692" t="inlineStr">
        <is>
          <t>NOODLES &amp; CO</t>
        </is>
      </c>
      <c r="B2692" t="inlineStr">
        <is>
          <t>NDLS</t>
        </is>
      </c>
      <c r="C2692" t="inlineStr">
        <is>
          <t>NOODLES &amp; CO</t>
        </is>
      </c>
      <c r="D2692" t="n">
        <v>5812</v>
      </c>
    </row>
    <row r="2693">
      <c r="A2693" t="inlineStr">
        <is>
          <t>NORDIC AMERICAN TANKERS LTD</t>
        </is>
      </c>
      <c r="B2693" t="inlineStr">
        <is>
          <t>NAT</t>
        </is>
      </c>
      <c r="C2693" t="inlineStr">
        <is>
          <t>NORDIC AMERICAN TANKERS LTD</t>
        </is>
      </c>
      <c r="D2693" t="n">
        <v>4400</v>
      </c>
    </row>
    <row r="2694">
      <c r="A2694" t="inlineStr">
        <is>
          <t>NORDSON CORP</t>
        </is>
      </c>
      <c r="B2694" t="inlineStr">
        <is>
          <t>NDSN</t>
        </is>
      </c>
      <c r="C2694" t="inlineStr">
        <is>
          <t>NORDSON CORP</t>
        </is>
      </c>
      <c r="D2694" t="n">
        <v>3569</v>
      </c>
    </row>
    <row r="2695">
      <c r="A2695" t="inlineStr">
        <is>
          <t>NORDSTROM INC</t>
        </is>
      </c>
      <c r="B2695" t="inlineStr">
        <is>
          <t>JWN</t>
        </is>
      </c>
      <c r="C2695" t="inlineStr">
        <is>
          <t>NORDSTROM INC</t>
        </is>
      </c>
      <c r="D2695" t="n">
        <v>5651</v>
      </c>
    </row>
    <row r="2696">
      <c r="A2696" t="inlineStr">
        <is>
          <t>NORFOLK SOUTHERN CORP</t>
        </is>
      </c>
      <c r="B2696" t="inlineStr">
        <is>
          <t>NSC</t>
        </is>
      </c>
      <c r="C2696" t="inlineStr">
        <is>
          <t>NORFOLK SOUTHERN CORP</t>
        </is>
      </c>
      <c r="D2696" t="n">
        <v>4011</v>
      </c>
    </row>
    <row r="2697">
      <c r="A2697" t="inlineStr">
        <is>
          <t>NORTECH SYSTEMS INC</t>
        </is>
      </c>
      <c r="B2697" t="inlineStr">
        <is>
          <t>NSYS</t>
        </is>
      </c>
      <c r="C2697" t="inlineStr">
        <is>
          <t>NORTECH SYSTEMS INC</t>
        </is>
      </c>
      <c r="D2697" t="n">
        <v>3679</v>
      </c>
    </row>
    <row r="2698">
      <c r="A2698" t="inlineStr">
        <is>
          <t>NORTHEAST COMMUNITY BANCORP, INC./MD/</t>
        </is>
      </c>
      <c r="B2698" t="inlineStr">
        <is>
          <t>NECB</t>
        </is>
      </c>
      <c r="C2698" t="inlineStr">
        <is>
          <t>NORTHEAST COMMUNITY BANCORP, INC./MD/</t>
        </is>
      </c>
      <c r="D2698" t="n">
        <v>6036</v>
      </c>
    </row>
    <row r="2699">
      <c r="A2699" t="inlineStr">
        <is>
          <t>NORTHERN OIL &amp; GAS, INC.</t>
        </is>
      </c>
      <c r="B2699" t="inlineStr">
        <is>
          <t>NOG</t>
        </is>
      </c>
      <c r="C2699" t="inlineStr">
        <is>
          <t>NORTHERN OIL &amp; GAS, INC.</t>
        </is>
      </c>
      <c r="D2699" t="n">
        <v>1311</v>
      </c>
    </row>
    <row r="2700">
      <c r="A2700" t="inlineStr">
        <is>
          <t>NORTHERN TECHNOLOGIES INTERNATIONAL CORP</t>
        </is>
      </c>
      <c r="B2700" t="inlineStr">
        <is>
          <t>NTIC</t>
        </is>
      </c>
      <c r="C2700" t="inlineStr">
        <is>
          <t>NORTHERN TECHNOLOGIES INTERNATIONAL CORP</t>
        </is>
      </c>
      <c r="D2700" t="n">
        <v>3470</v>
      </c>
    </row>
    <row r="2701">
      <c r="A2701" t="inlineStr">
        <is>
          <t>NORTHERN TRUST CORP</t>
        </is>
      </c>
      <c r="B2701" t="inlineStr">
        <is>
          <t>NTRS</t>
        </is>
      </c>
      <c r="C2701" t="inlineStr">
        <is>
          <t>NORTHERN TRUST CORP</t>
        </is>
      </c>
      <c r="D2701" t="n">
        <v>6022</v>
      </c>
    </row>
    <row r="2702">
      <c r="A2702" t="inlineStr">
        <is>
          <t>NORTHFIELD BANCORP, INC.</t>
        </is>
      </c>
      <c r="B2702" t="inlineStr">
        <is>
          <t>NFBK</t>
        </is>
      </c>
      <c r="C2702" t="inlineStr">
        <is>
          <t>NORTHFIELD BANCORP, INC.</t>
        </is>
      </c>
      <c r="D2702" t="n">
        <v>6035</v>
      </c>
    </row>
    <row r="2703">
      <c r="A2703" t="inlineStr">
        <is>
          <t>NORTHRIM BANCORP INC</t>
        </is>
      </c>
      <c r="B2703" t="inlineStr">
        <is>
          <t>NRIM</t>
        </is>
      </c>
      <c r="C2703" t="inlineStr">
        <is>
          <t>NORTHRIM BANCORP INC</t>
        </is>
      </c>
      <c r="D2703" t="n">
        <v>6035</v>
      </c>
    </row>
    <row r="2704">
      <c r="A2704" t="inlineStr">
        <is>
          <t>NORTHROP GRUMMAN CORP /DE/</t>
        </is>
      </c>
      <c r="B2704" t="inlineStr">
        <is>
          <t>NOC</t>
        </is>
      </c>
      <c r="C2704" t="inlineStr">
        <is>
          <t>NORTHROP GRUMMAN CORP /DE/</t>
        </is>
      </c>
      <c r="D2704" t="n">
        <v>3812</v>
      </c>
    </row>
    <row r="2705">
      <c r="A2705" t="inlineStr">
        <is>
          <t>NORTHSTAR HEALTHCARE INCOME, INC.</t>
        </is>
      </c>
      <c r="B2705" t="inlineStr">
        <is>
          <t>NHHS</t>
        </is>
      </c>
      <c r="C2705" t="inlineStr">
        <is>
          <t>NORTHSTAR HEALTHCARE INCOME, INC.</t>
        </is>
      </c>
      <c r="D2705" t="n">
        <v>6798</v>
      </c>
    </row>
    <row r="2706">
      <c r="A2706" t="inlineStr">
        <is>
          <t>NORTHWEST BANCSHARES, INC.</t>
        </is>
      </c>
      <c r="B2706" t="inlineStr">
        <is>
          <t>NWBI</t>
        </is>
      </c>
      <c r="C2706" t="inlineStr">
        <is>
          <t>NORTHWEST BANCSHARES, INC.</t>
        </is>
      </c>
      <c r="D2706" t="n">
        <v>6021</v>
      </c>
    </row>
    <row r="2707">
      <c r="A2707" t="inlineStr">
        <is>
          <t>NORTHWEST BIOTHERAPEUTICS INC</t>
        </is>
      </c>
      <c r="B2707" t="inlineStr">
        <is>
          <t>NWBO</t>
        </is>
      </c>
      <c r="C2707" t="inlineStr">
        <is>
          <t>NORTHWEST BIOTHERAPEUTICS INC</t>
        </is>
      </c>
      <c r="D2707" t="n">
        <v>2834</v>
      </c>
    </row>
    <row r="2708">
      <c r="A2708" t="inlineStr">
        <is>
          <t>NORTHWEST NATURAL HOLDING CO</t>
        </is>
      </c>
      <c r="B2708" t="inlineStr">
        <is>
          <t>NWN</t>
        </is>
      </c>
      <c r="C2708" t="inlineStr">
        <is>
          <t>NORTHWEST NATURAL HOLDING CO</t>
        </is>
      </c>
      <c r="D2708" t="n">
        <v>4924</v>
      </c>
    </row>
    <row r="2709">
      <c r="A2709" t="inlineStr">
        <is>
          <t>NORTHWEST PIPE CO</t>
        </is>
      </c>
      <c r="B2709" t="inlineStr">
        <is>
          <t>NWPX</t>
        </is>
      </c>
      <c r="C2709" t="inlineStr">
        <is>
          <t>NORTHWEST PIPE CO</t>
        </is>
      </c>
      <c r="D2709" t="n">
        <v>3317</v>
      </c>
    </row>
    <row r="2710">
      <c r="A2710" t="inlineStr">
        <is>
          <t>NORTHWESTERN CORP</t>
        </is>
      </c>
      <c r="B2710" t="inlineStr">
        <is>
          <t>NWE</t>
        </is>
      </c>
      <c r="C2710" t="inlineStr">
        <is>
          <t>NORTHWESTERN CORP</t>
        </is>
      </c>
      <c r="D2710" t="n">
        <v>4931</v>
      </c>
    </row>
    <row r="2711">
      <c r="A2711" t="inlineStr">
        <is>
          <t>NORTONLIFELOCK INC.</t>
        </is>
      </c>
      <c r="B2711" t="inlineStr">
        <is>
          <t>NLOK</t>
        </is>
      </c>
      <c r="C2711" t="inlineStr">
        <is>
          <t>NORTONLIFELOCK INC.</t>
        </is>
      </c>
      <c r="D2711" t="n">
        <v>7372</v>
      </c>
    </row>
    <row r="2712">
      <c r="A2712" t="inlineStr">
        <is>
          <t>NORWEGIAN CRUISE LINE HOLDINGS LTD.</t>
        </is>
      </c>
      <c r="B2712" t="inlineStr">
        <is>
          <t>NCLH</t>
        </is>
      </c>
      <c r="C2712" t="inlineStr">
        <is>
          <t>NORWEGIAN CRUISE LINE HOLDINGS LTD.</t>
        </is>
      </c>
      <c r="D2712" t="n">
        <v>4400</v>
      </c>
    </row>
    <row r="2713">
      <c r="A2713" t="inlineStr">
        <is>
          <t>NORWOOD FINANCIAL CORP</t>
        </is>
      </c>
      <c r="B2713" t="inlineStr">
        <is>
          <t>NWFL</t>
        </is>
      </c>
      <c r="C2713" t="inlineStr">
        <is>
          <t>NORWOOD FINANCIAL CORP</t>
        </is>
      </c>
      <c r="D2713" t="n">
        <v>6022</v>
      </c>
    </row>
    <row r="2714">
      <c r="A2714" t="inlineStr">
        <is>
          <t>NOV INC.</t>
        </is>
      </c>
      <c r="B2714" t="inlineStr">
        <is>
          <t>NOV</t>
        </is>
      </c>
      <c r="C2714" t="inlineStr">
        <is>
          <t>NOV INC.</t>
        </is>
      </c>
      <c r="D2714" t="n">
        <v>3533</v>
      </c>
    </row>
    <row r="2715">
      <c r="A2715" t="inlineStr">
        <is>
          <t>NOVA LTD.</t>
        </is>
      </c>
      <c r="B2715" t="inlineStr">
        <is>
          <t>NVMI</t>
        </is>
      </c>
      <c r="C2715" t="inlineStr">
        <is>
          <t>NOVA LTD.</t>
        </is>
      </c>
      <c r="D2715" t="n">
        <v>3827</v>
      </c>
    </row>
    <row r="2716">
      <c r="A2716" t="inlineStr">
        <is>
          <t>NOVABAY PHARMACEUTICALS, INC.</t>
        </is>
      </c>
      <c r="B2716" t="inlineStr">
        <is>
          <t>NBY</t>
        </is>
      </c>
      <c r="C2716" t="inlineStr">
        <is>
          <t>NOVABAY PHARMACEUTICALS, INC.</t>
        </is>
      </c>
      <c r="D2716" t="n">
        <v>2834</v>
      </c>
    </row>
    <row r="2717">
      <c r="A2717" t="inlineStr">
        <is>
          <t>NOVAN, INC.</t>
        </is>
      </c>
      <c r="B2717" t="inlineStr">
        <is>
          <t>NOVN</t>
        </is>
      </c>
      <c r="C2717" t="inlineStr">
        <is>
          <t>NOVAN, INC.</t>
        </is>
      </c>
      <c r="D2717" t="n">
        <v>2834</v>
      </c>
    </row>
    <row r="2718">
      <c r="A2718" t="inlineStr">
        <is>
          <t>NOVANTA INC</t>
        </is>
      </c>
      <c r="B2718" t="inlineStr">
        <is>
          <t>NOVT</t>
        </is>
      </c>
      <c r="C2718" t="inlineStr">
        <is>
          <t>NOVANTA INC</t>
        </is>
      </c>
      <c r="D2718" t="n">
        <v>3690</v>
      </c>
    </row>
    <row r="2719">
      <c r="A2719" t="inlineStr">
        <is>
          <t>NOVAVAX INC</t>
        </is>
      </c>
      <c r="B2719" t="inlineStr">
        <is>
          <t>NVAX</t>
        </is>
      </c>
      <c r="C2719" t="inlineStr">
        <is>
          <t>NOVAVAX INC</t>
        </is>
      </c>
      <c r="D2719" t="n">
        <v>2836</v>
      </c>
    </row>
    <row r="2720">
      <c r="A2720" t="inlineStr">
        <is>
          <t>NOVO INTEGRATED SCIENCES, INC.</t>
        </is>
      </c>
      <c r="B2720" t="inlineStr">
        <is>
          <t>NVOS</t>
        </is>
      </c>
      <c r="C2720" t="inlineStr">
        <is>
          <t>NOVO INTEGRATED SCIENCES, INC.</t>
        </is>
      </c>
      <c r="D2720" t="n">
        <v>3510</v>
      </c>
    </row>
    <row r="2721">
      <c r="A2721" t="inlineStr">
        <is>
          <t>NOVOCURE LTD</t>
        </is>
      </c>
      <c r="B2721" t="inlineStr">
        <is>
          <t>NVCR</t>
        </is>
      </c>
      <c r="C2721" t="inlineStr">
        <is>
          <t>NOVOCURE LTD</t>
        </is>
      </c>
      <c r="D2721" t="n">
        <v>3841</v>
      </c>
    </row>
    <row r="2722">
      <c r="A2722" t="inlineStr">
        <is>
          <t>NOW INC.</t>
        </is>
      </c>
      <c r="B2722" t="inlineStr">
        <is>
          <t>DNOW</t>
        </is>
      </c>
      <c r="C2722" t="inlineStr">
        <is>
          <t>NOW INC.</t>
        </is>
      </c>
      <c r="D2722" t="n">
        <v>3533</v>
      </c>
    </row>
    <row r="2723">
      <c r="A2723" t="inlineStr">
        <is>
          <t>NRG ENERGY, INC.</t>
        </is>
      </c>
      <c r="B2723" t="inlineStr">
        <is>
          <t>NRG</t>
        </is>
      </c>
      <c r="C2723" t="inlineStr">
        <is>
          <t>NRG ENERGY, INC.</t>
        </is>
      </c>
      <c r="D2723" t="n">
        <v>4911</v>
      </c>
    </row>
    <row r="2724">
      <c r="A2724" t="inlineStr">
        <is>
          <t>NU SKIN ENTERPRISES, INC.</t>
        </is>
      </c>
      <c r="B2724" t="inlineStr">
        <is>
          <t>NUS</t>
        </is>
      </c>
      <c r="C2724" t="inlineStr">
        <is>
          <t>NU SKIN ENTERPRISES, INC.</t>
        </is>
      </c>
      <c r="D2724" t="n">
        <v>5122</v>
      </c>
    </row>
    <row r="2725">
      <c r="A2725" t="inlineStr">
        <is>
          <t>NUCOR CORP</t>
        </is>
      </c>
      <c r="B2725" t="inlineStr">
        <is>
          <t>NUE</t>
        </is>
      </c>
      <c r="C2725" t="inlineStr">
        <is>
          <t>NUCOR CORP</t>
        </is>
      </c>
      <c r="D2725" t="n">
        <v>3312</v>
      </c>
    </row>
    <row r="2726">
      <c r="A2726" t="inlineStr">
        <is>
          <t>NURIX THERAPEUTICS, INC.</t>
        </is>
      </c>
      <c r="B2726" t="inlineStr">
        <is>
          <t>NRIX</t>
        </is>
      </c>
      <c r="C2726" t="inlineStr">
        <is>
          <t>NURIX THERAPEUTICS, INC.</t>
        </is>
      </c>
      <c r="D2726" t="n">
        <v>2834</v>
      </c>
    </row>
    <row r="2727">
      <c r="A2727" t="inlineStr">
        <is>
          <t>NUSTAR ENERGY L.P.</t>
        </is>
      </c>
      <c r="B2727" t="inlineStr">
        <is>
          <t>NS</t>
        </is>
      </c>
      <c r="C2727" t="inlineStr">
        <is>
          <t>NUSTAR ENERGY L.P.</t>
        </is>
      </c>
      <c r="D2727" t="n">
        <v>4610</v>
      </c>
    </row>
    <row r="2728">
      <c r="A2728" t="inlineStr">
        <is>
          <t>NUTANIX, INC.</t>
        </is>
      </c>
      <c r="B2728" t="inlineStr">
        <is>
          <t>NTNX</t>
        </is>
      </c>
      <c r="C2728" t="inlineStr">
        <is>
          <t>NUTANIX, INC.</t>
        </is>
      </c>
      <c r="D2728" t="n">
        <v>7372</v>
      </c>
    </row>
    <row r="2729">
      <c r="A2729" t="inlineStr">
        <is>
          <t>NUVASIVE INC</t>
        </is>
      </c>
      <c r="B2729" t="inlineStr">
        <is>
          <t>NUVA</t>
        </is>
      </c>
      <c r="C2729" t="inlineStr">
        <is>
          <t>NUVASIVE INC</t>
        </is>
      </c>
      <c r="D2729" t="n">
        <v>3841</v>
      </c>
    </row>
    <row r="2730">
      <c r="A2730" t="inlineStr">
        <is>
          <t>NUVERA COMMUNICATIONS, INC.</t>
        </is>
      </c>
      <c r="B2730" t="inlineStr">
        <is>
          <t>NUVR</t>
        </is>
      </c>
      <c r="C2730" t="inlineStr">
        <is>
          <t>NUVERA COMMUNICATIONS, INC.</t>
        </is>
      </c>
      <c r="D2730" t="n">
        <v>4813</v>
      </c>
    </row>
    <row r="2731">
      <c r="A2731" t="inlineStr">
        <is>
          <t>NV5 GLOBAL, INC.</t>
        </is>
      </c>
      <c r="B2731" t="inlineStr">
        <is>
          <t>NVEE</t>
        </is>
      </c>
      <c r="C2731" t="inlineStr">
        <is>
          <t>NV5 GLOBAL, INC.</t>
        </is>
      </c>
      <c r="D2731" t="n">
        <v>7380</v>
      </c>
    </row>
    <row r="2732">
      <c r="A2732" t="inlineStr">
        <is>
          <t>NVE CORP /NEW/</t>
        </is>
      </c>
      <c r="B2732" t="inlineStr">
        <is>
          <t>NVEC</t>
        </is>
      </c>
      <c r="C2732" t="inlineStr">
        <is>
          <t>NVE CORP /NEW/</t>
        </is>
      </c>
      <c r="D2732" t="n">
        <v>3674</v>
      </c>
    </row>
    <row r="2733">
      <c r="A2733" t="inlineStr">
        <is>
          <t>NVENT ELECTRIC PLC</t>
        </is>
      </c>
      <c r="B2733" t="inlineStr">
        <is>
          <t>NVT</t>
        </is>
      </c>
      <c r="C2733" t="inlineStr">
        <is>
          <t>NVENT ELECTRIC PLC</t>
        </is>
      </c>
      <c r="D2733" t="n">
        <v>3550</v>
      </c>
    </row>
    <row r="2734">
      <c r="A2734" t="inlineStr">
        <is>
          <t>NVIDIA CORP</t>
        </is>
      </c>
      <c r="B2734" t="inlineStr">
        <is>
          <t>NVDA</t>
        </is>
      </c>
      <c r="C2734" t="inlineStr">
        <is>
          <t>NVIDIA CORP</t>
        </is>
      </c>
      <c r="D2734" t="n">
        <v>3674</v>
      </c>
    </row>
    <row r="2735">
      <c r="A2735" t="inlineStr">
        <is>
          <t>NVR INC</t>
        </is>
      </c>
      <c r="B2735" t="inlineStr">
        <is>
          <t>NVR</t>
        </is>
      </c>
      <c r="C2735" t="inlineStr">
        <is>
          <t>NVR INC</t>
        </is>
      </c>
      <c r="D2735" t="n">
        <v>1531</v>
      </c>
    </row>
    <row r="2736">
      <c r="A2736" t="inlineStr">
        <is>
          <t>NXP SEMICONDUCTORS N.V.</t>
        </is>
      </c>
      <c r="B2736" t="inlineStr">
        <is>
          <t>NXPI</t>
        </is>
      </c>
      <c r="C2736" t="inlineStr">
        <is>
          <t>NXP SEMICONDUCTORS N.V.</t>
        </is>
      </c>
      <c r="D2736" t="n">
        <v>3674</v>
      </c>
    </row>
    <row r="2737">
      <c r="A2737" t="inlineStr">
        <is>
          <t>NXT ENERGY SOLUTIONS INC.</t>
        </is>
      </c>
      <c r="B2737" t="inlineStr">
        <is>
          <t>NSFDF</t>
        </is>
      </c>
      <c r="C2737" t="inlineStr">
        <is>
          <t>NXT ENERGY SOLUTIONS INC.</t>
        </is>
      </c>
      <c r="D2737" t="n">
        <v>1382</v>
      </c>
    </row>
    <row r="2738">
      <c r="A2738" t="inlineStr">
        <is>
          <t>O REILLY AUTOMOTIVE INC</t>
        </is>
      </c>
      <c r="B2738" t="inlineStr">
        <is>
          <t>ORLY</t>
        </is>
      </c>
      <c r="C2738" t="inlineStr">
        <is>
          <t>O REILLY AUTOMOTIVE INC</t>
        </is>
      </c>
      <c r="D2738" t="n">
        <v>5531</v>
      </c>
    </row>
    <row r="2739">
      <c r="A2739" t="inlineStr">
        <is>
          <t>O-I GLASS, INC. /DE/</t>
        </is>
      </c>
      <c r="B2739" t="inlineStr">
        <is>
          <t>OI</t>
        </is>
      </c>
      <c r="C2739" t="inlineStr">
        <is>
          <t>O-I GLASS, INC. /DE/</t>
        </is>
      </c>
      <c r="D2739" t="n">
        <v>3221</v>
      </c>
    </row>
    <row r="2740">
      <c r="A2740" t="inlineStr">
        <is>
          <t>O2MICRO INTERNATIONAL LTD</t>
        </is>
      </c>
      <c r="B2740" t="inlineStr">
        <is>
          <t>OIIM</t>
        </is>
      </c>
      <c r="C2740" t="inlineStr">
        <is>
          <t>O2MICRO INTERNATIONAL LTD</t>
        </is>
      </c>
      <c r="D2740" t="n">
        <v>3674</v>
      </c>
    </row>
    <row r="2741">
      <c r="A2741" t="inlineStr">
        <is>
          <t>OAK VALLEY BANCORP</t>
        </is>
      </c>
      <c r="B2741" t="inlineStr">
        <is>
          <t>OVLY</t>
        </is>
      </c>
      <c r="C2741" t="inlineStr">
        <is>
          <t>OAK VALLEY BANCORP</t>
        </is>
      </c>
      <c r="D2741" t="n">
        <v>6022</v>
      </c>
    </row>
    <row r="2742">
      <c r="A2742" t="inlineStr">
        <is>
          <t>OCCIDENTAL PETROLEUM CORP /DE/</t>
        </is>
      </c>
      <c r="B2742" t="inlineStr">
        <is>
          <t>OXY</t>
        </is>
      </c>
      <c r="C2742" t="inlineStr">
        <is>
          <t>OCCIDENTAL PETROLEUM CORP /DE/</t>
        </is>
      </c>
      <c r="D2742" t="n">
        <v>1311</v>
      </c>
    </row>
    <row r="2743">
      <c r="A2743" t="inlineStr">
        <is>
          <t>OCEAN BIO CHEM INC</t>
        </is>
      </c>
      <c r="B2743" t="inlineStr">
        <is>
          <t>OBCI</t>
        </is>
      </c>
      <c r="C2743" t="inlineStr">
        <is>
          <t>OCEAN BIO CHEM INC</t>
        </is>
      </c>
      <c r="D2743" t="n">
        <v>2842</v>
      </c>
    </row>
    <row r="2744">
      <c r="A2744" t="inlineStr">
        <is>
          <t>OCEAN POWER TECHNOLOGIES, INC.</t>
        </is>
      </c>
      <c r="B2744" t="inlineStr">
        <is>
          <t>OPTT</t>
        </is>
      </c>
      <c r="C2744" t="inlineStr">
        <is>
          <t>OCEAN POWER TECHNOLOGIES, INC.</t>
        </is>
      </c>
      <c r="D2744" t="n">
        <v>4911</v>
      </c>
    </row>
    <row r="2745">
      <c r="A2745" t="inlineStr">
        <is>
          <t>OCEANEERING INTERNATIONAL INC</t>
        </is>
      </c>
      <c r="B2745" t="inlineStr">
        <is>
          <t>OII</t>
        </is>
      </c>
      <c r="C2745" t="inlineStr">
        <is>
          <t>OCEANEERING INTERNATIONAL INC</t>
        </is>
      </c>
      <c r="D2745" t="n">
        <v>1389</v>
      </c>
    </row>
    <row r="2746">
      <c r="A2746" t="inlineStr">
        <is>
          <t>OCEANFIRST FINANCIAL CORP</t>
        </is>
      </c>
      <c r="B2746" t="inlineStr">
        <is>
          <t>OCFC</t>
        </is>
      </c>
      <c r="C2746" t="inlineStr">
        <is>
          <t>OCEANFIRST FINANCIAL CORP</t>
        </is>
      </c>
      <c r="D2746" t="n">
        <v>6035</v>
      </c>
    </row>
    <row r="2747">
      <c r="A2747" t="inlineStr">
        <is>
          <t>OCONEE FEDERAL FINANCIAL CORP.</t>
        </is>
      </c>
      <c r="B2747" t="inlineStr">
        <is>
          <t>OFED</t>
        </is>
      </c>
      <c r="C2747" t="inlineStr">
        <is>
          <t>OCONEE FEDERAL FINANCIAL CORP.</t>
        </is>
      </c>
      <c r="D2747" t="n">
        <v>6035</v>
      </c>
    </row>
    <row r="2748">
      <c r="A2748" t="inlineStr">
        <is>
          <t>OCULAR THERAPEUTIX, INC</t>
        </is>
      </c>
      <c r="B2748" t="inlineStr">
        <is>
          <t>OCUL</t>
        </is>
      </c>
      <c r="C2748" t="inlineStr">
        <is>
          <t>OCULAR THERAPEUTIX, INC</t>
        </is>
      </c>
      <c r="D2748" t="n">
        <v>2834</v>
      </c>
    </row>
    <row r="2749">
      <c r="A2749" t="inlineStr">
        <is>
          <t>OCWEN FINANCIAL CORP</t>
        </is>
      </c>
      <c r="B2749" t="inlineStr">
        <is>
          <t>OCN</t>
        </is>
      </c>
      <c r="C2749" t="inlineStr">
        <is>
          <t>OCWEN FINANCIAL CORP</t>
        </is>
      </c>
      <c r="D2749" t="n">
        <v>6162</v>
      </c>
    </row>
    <row r="2750">
      <c r="A2750" t="inlineStr">
        <is>
          <t>ODP CORP</t>
        </is>
      </c>
      <c r="B2750" t="inlineStr">
        <is>
          <t>ODP</t>
        </is>
      </c>
      <c r="C2750" t="inlineStr">
        <is>
          <t>ODP CORP</t>
        </is>
      </c>
      <c r="D2750" t="n">
        <v>5940</v>
      </c>
    </row>
    <row r="2751">
      <c r="A2751" t="inlineStr">
        <is>
          <t>OFFERPAD SOLUTIONS INC.</t>
        </is>
      </c>
      <c r="B2751" t="inlineStr">
        <is>
          <t>OPAD</t>
        </is>
      </c>
      <c r="C2751" t="inlineStr">
        <is>
          <t>OFFERPAD SOLUTIONS INC.</t>
        </is>
      </c>
      <c r="D2751" t="n">
        <v>6531</v>
      </c>
    </row>
    <row r="2752">
      <c r="A2752" t="inlineStr">
        <is>
          <t>OFG BANCORP</t>
        </is>
      </c>
      <c r="B2752" t="inlineStr">
        <is>
          <t>OFG</t>
        </is>
      </c>
      <c r="C2752" t="inlineStr">
        <is>
          <t>OFG BANCORP</t>
        </is>
      </c>
      <c r="D2752" t="n">
        <v>6022</v>
      </c>
    </row>
    <row r="2753">
      <c r="A2753" t="inlineStr">
        <is>
          <t>OGE ENERGY CORP.</t>
        </is>
      </c>
      <c r="B2753" t="inlineStr">
        <is>
          <t>OGE</t>
        </is>
      </c>
      <c r="C2753" t="inlineStr">
        <is>
          <t>OGE ENERGY CORP.</t>
        </is>
      </c>
      <c r="D2753" t="n">
        <v>4911</v>
      </c>
    </row>
    <row r="2754">
      <c r="A2754" t="inlineStr">
        <is>
          <t>OHIO VALLEY BANC CORP</t>
        </is>
      </c>
      <c r="B2754" t="inlineStr">
        <is>
          <t>OVBC</t>
        </is>
      </c>
      <c r="C2754" t="inlineStr">
        <is>
          <t>OHIO VALLEY BANC CORP</t>
        </is>
      </c>
      <c r="D2754" t="n">
        <v>6022</v>
      </c>
    </row>
    <row r="2755">
      <c r="A2755" t="inlineStr">
        <is>
          <t>OIL STATES INTERNATIONAL, INC</t>
        </is>
      </c>
      <c r="B2755" t="inlineStr">
        <is>
          <t>OIS</t>
        </is>
      </c>
      <c r="C2755" t="inlineStr">
        <is>
          <t>OIL STATES INTERNATIONAL, INC</t>
        </is>
      </c>
      <c r="D2755" t="n">
        <v>3533</v>
      </c>
    </row>
    <row r="2756">
      <c r="A2756" t="inlineStr">
        <is>
          <t>OIL-DRI CORP OF AMERICA</t>
        </is>
      </c>
      <c r="B2756" t="inlineStr">
        <is>
          <t>ODC</t>
        </is>
      </c>
      <c r="C2756" t="inlineStr">
        <is>
          <t>OIL-DRI CORP OF AMERICA</t>
        </is>
      </c>
      <c r="D2756" t="n">
        <v>3990</v>
      </c>
    </row>
    <row r="2757">
      <c r="A2757" t="inlineStr">
        <is>
          <t>OKTA, INC.</t>
        </is>
      </c>
      <c r="B2757" t="inlineStr">
        <is>
          <t>OKTA</t>
        </is>
      </c>
      <c r="C2757" t="inlineStr">
        <is>
          <t>OKTA, INC.</t>
        </is>
      </c>
      <c r="D2757" t="n">
        <v>7372</v>
      </c>
    </row>
    <row r="2758">
      <c r="A2758" t="inlineStr">
        <is>
          <t>OLAPLEX HOLDINGS, INC.</t>
        </is>
      </c>
      <c r="B2758" t="inlineStr">
        <is>
          <t>OLPX</t>
        </is>
      </c>
      <c r="C2758" t="inlineStr">
        <is>
          <t>OLAPLEX HOLDINGS, INC.</t>
        </is>
      </c>
      <c r="D2758" t="n">
        <v>2844</v>
      </c>
    </row>
    <row r="2759">
      <c r="A2759" t="inlineStr">
        <is>
          <t>OLD DOMINION FREIGHT LINE, INC.</t>
        </is>
      </c>
      <c r="B2759" t="inlineStr">
        <is>
          <t>ODFL</t>
        </is>
      </c>
      <c r="C2759" t="inlineStr">
        <is>
          <t>OLD DOMINION FREIGHT LINE, INC.</t>
        </is>
      </c>
      <c r="D2759" t="n">
        <v>4213</v>
      </c>
    </row>
    <row r="2760">
      <c r="A2760" t="inlineStr">
        <is>
          <t>OLD NATIONAL BANCORP /IN/</t>
        </is>
      </c>
      <c r="B2760" t="inlineStr">
        <is>
          <t>ONB</t>
        </is>
      </c>
      <c r="C2760" t="inlineStr">
        <is>
          <t>OLD NATIONAL BANCORP /IN/</t>
        </is>
      </c>
      <c r="D2760" t="n">
        <v>6021</v>
      </c>
    </row>
    <row r="2761">
      <c r="A2761" t="inlineStr">
        <is>
          <t>OLD POINT FINANCIAL CORP</t>
        </is>
      </c>
      <c r="B2761" t="inlineStr">
        <is>
          <t>OPOF</t>
        </is>
      </c>
      <c r="C2761" t="inlineStr">
        <is>
          <t>OLD POINT FINANCIAL CORP</t>
        </is>
      </c>
      <c r="D2761" t="n">
        <v>6021</v>
      </c>
    </row>
    <row r="2762">
      <c r="A2762" t="inlineStr">
        <is>
          <t>OLD REPUBLIC INTERNATIONAL CORP</t>
        </is>
      </c>
      <c r="B2762" t="inlineStr">
        <is>
          <t>ORI</t>
        </is>
      </c>
      <c r="C2762" t="inlineStr">
        <is>
          <t>OLD REPUBLIC INTERNATIONAL CORP</t>
        </is>
      </c>
      <c r="D2762" t="n">
        <v>6351</v>
      </c>
    </row>
    <row r="2763">
      <c r="A2763" t="inlineStr">
        <is>
          <t>OLD SECOND BANCORP INC</t>
        </is>
      </c>
      <c r="B2763" t="inlineStr">
        <is>
          <t>OSBC</t>
        </is>
      </c>
      <c r="C2763" t="inlineStr">
        <is>
          <t>OLD SECOND BANCORP INC</t>
        </is>
      </c>
      <c r="D2763" t="n">
        <v>6022</v>
      </c>
    </row>
    <row r="2764">
      <c r="A2764" t="inlineStr">
        <is>
          <t>OLIN CORP</t>
        </is>
      </c>
      <c r="B2764" t="inlineStr">
        <is>
          <t>OLN</t>
        </is>
      </c>
      <c r="C2764" t="inlineStr">
        <is>
          <t>OLIN CORP</t>
        </is>
      </c>
      <c r="D2764" t="n">
        <v>2800</v>
      </c>
    </row>
    <row r="2765">
      <c r="A2765" t="inlineStr">
        <is>
          <t>OLLIE'S BARGAIN OUTLET HOLDINGS, INC.</t>
        </is>
      </c>
      <c r="B2765" t="inlineStr">
        <is>
          <t>OLLI</t>
        </is>
      </c>
      <c r="C2765" t="inlineStr">
        <is>
          <t>OLLIE'S BARGAIN OUTLET HOLDINGS, INC.</t>
        </is>
      </c>
      <c r="D2765" t="n">
        <v>5331</v>
      </c>
    </row>
    <row r="2766">
      <c r="A2766" t="inlineStr">
        <is>
          <t>OLO INC.</t>
        </is>
      </c>
      <c r="B2766" t="inlineStr">
        <is>
          <t>OLO</t>
        </is>
      </c>
      <c r="C2766" t="inlineStr">
        <is>
          <t>OLO INC.</t>
        </is>
      </c>
      <c r="D2766" t="n">
        <v>7389</v>
      </c>
    </row>
    <row r="2767">
      <c r="A2767" t="inlineStr">
        <is>
          <t>OLYMPIC STEEL INC</t>
        </is>
      </c>
      <c r="B2767" t="inlineStr">
        <is>
          <t>ZEUS</t>
        </is>
      </c>
      <c r="C2767" t="inlineStr">
        <is>
          <t>OLYMPIC STEEL INC</t>
        </is>
      </c>
      <c r="D2767" t="n">
        <v>5051</v>
      </c>
    </row>
    <row r="2768">
      <c r="A2768" t="inlineStr">
        <is>
          <t>OMEGA FLEX, INC.</t>
        </is>
      </c>
      <c r="B2768" t="inlineStr">
        <is>
          <t>OFLX</t>
        </is>
      </c>
      <c r="C2768" t="inlineStr">
        <is>
          <t>OMEGA FLEX, INC.</t>
        </is>
      </c>
      <c r="D2768" t="n">
        <v>3430</v>
      </c>
    </row>
    <row r="2769">
      <c r="A2769" t="inlineStr">
        <is>
          <t>OMEGA HEALTHCARE INVESTORS INC</t>
        </is>
      </c>
      <c r="B2769" t="inlineStr">
        <is>
          <t>OHI</t>
        </is>
      </c>
      <c r="C2769" t="inlineStr">
        <is>
          <t>OMEGA HEALTHCARE INVESTORS INC</t>
        </is>
      </c>
      <c r="D2769" t="n">
        <v>6798</v>
      </c>
    </row>
    <row r="2770">
      <c r="A2770" t="inlineStr">
        <is>
          <t>OMEROS CORP</t>
        </is>
      </c>
      <c r="B2770" t="inlineStr">
        <is>
          <t>OMER</t>
        </is>
      </c>
      <c r="C2770" t="inlineStr">
        <is>
          <t>OMEROS CORP</t>
        </is>
      </c>
      <c r="D2770" t="n">
        <v>2834</v>
      </c>
    </row>
    <row r="2771">
      <c r="A2771" t="inlineStr">
        <is>
          <t>OMNICOM GROUP INC.</t>
        </is>
      </c>
      <c r="B2771" t="inlineStr">
        <is>
          <t>OMC</t>
        </is>
      </c>
      <c r="C2771" t="inlineStr">
        <is>
          <t>OMNICOM GROUP INC.</t>
        </is>
      </c>
      <c r="D2771" t="n">
        <v>7311</v>
      </c>
    </row>
    <row r="2772">
      <c r="A2772" t="inlineStr">
        <is>
          <t>OMNIQ CORP.</t>
        </is>
      </c>
      <c r="B2772" t="inlineStr">
        <is>
          <t>OMQS</t>
        </is>
      </c>
      <c r="C2772" t="inlineStr">
        <is>
          <t>OMNIQ CORP.</t>
        </is>
      </c>
      <c r="D2772" t="n">
        <v>7373</v>
      </c>
    </row>
    <row r="2773">
      <c r="A2773" t="inlineStr">
        <is>
          <t>ON SEMICONDUCTOR CORP</t>
        </is>
      </c>
      <c r="B2773" t="inlineStr">
        <is>
          <t>ON</t>
        </is>
      </c>
      <c r="C2773" t="inlineStr">
        <is>
          <t>ON SEMICONDUCTOR CORP</t>
        </is>
      </c>
      <c r="D2773" t="n">
        <v>3674</v>
      </c>
    </row>
    <row r="2774">
      <c r="A2774" t="inlineStr">
        <is>
          <t>ON24 INC.</t>
        </is>
      </c>
      <c r="B2774" t="inlineStr">
        <is>
          <t>ONTF</t>
        </is>
      </c>
      <c r="C2774" t="inlineStr">
        <is>
          <t>ON24 INC.</t>
        </is>
      </c>
      <c r="D2774" t="n">
        <v>7372</v>
      </c>
    </row>
    <row r="2775">
      <c r="A2775" t="inlineStr">
        <is>
          <t>ONCOCYTE CORP</t>
        </is>
      </c>
      <c r="B2775" t="inlineStr">
        <is>
          <t>OCX</t>
        </is>
      </c>
      <c r="C2775" t="inlineStr">
        <is>
          <t>ONCOCYTE CORP</t>
        </is>
      </c>
      <c r="D2775" t="n">
        <v>2835</v>
      </c>
    </row>
    <row r="2776">
      <c r="A2776" t="inlineStr">
        <is>
          <t>ONCOLOGY INSTITUTE, INC.</t>
        </is>
      </c>
      <c r="B2776" t="inlineStr">
        <is>
          <t>TOI</t>
        </is>
      </c>
      <c r="C2776" t="inlineStr">
        <is>
          <t>ONCOLOGY INSTITUTE, INC.</t>
        </is>
      </c>
      <c r="D2776" t="n">
        <v>8011</v>
      </c>
    </row>
    <row r="2777">
      <c r="A2777" t="inlineStr">
        <is>
          <t>ONCONOVA THERAPEUTICS, INC.</t>
        </is>
      </c>
      <c r="B2777" t="inlineStr">
        <is>
          <t>ONTX</t>
        </is>
      </c>
      <c r="C2777" t="inlineStr">
        <is>
          <t>ONCONOVA THERAPEUTICS, INC.</t>
        </is>
      </c>
      <c r="D2777" t="n">
        <v>2834</v>
      </c>
    </row>
    <row r="2778">
      <c r="A2778" t="inlineStr">
        <is>
          <t>ONCTERNAL THERAPEUTICS, INC.</t>
        </is>
      </c>
      <c r="B2778" t="inlineStr">
        <is>
          <t>ONCT</t>
        </is>
      </c>
      <c r="C2778" t="inlineStr">
        <is>
          <t>ONCTERNAL THERAPEUTICS, INC.</t>
        </is>
      </c>
      <c r="D2778" t="n">
        <v>2834</v>
      </c>
    </row>
    <row r="2779">
      <c r="A2779" t="inlineStr">
        <is>
          <t>ONDAS HOLDINGS INC.</t>
        </is>
      </c>
      <c r="B2779" t="inlineStr">
        <is>
          <t>ONDS</t>
        </is>
      </c>
      <c r="C2779" t="inlineStr">
        <is>
          <t>ONDAS HOLDINGS INC.</t>
        </is>
      </c>
      <c r="D2779" t="n">
        <v>3663</v>
      </c>
    </row>
    <row r="2780">
      <c r="A2780" t="inlineStr">
        <is>
          <t>ONE GAS, INC.</t>
        </is>
      </c>
      <c r="B2780" t="inlineStr">
        <is>
          <t>OGS</t>
        </is>
      </c>
      <c r="C2780" t="inlineStr">
        <is>
          <t>ONE GAS, INC.</t>
        </is>
      </c>
      <c r="D2780" t="n">
        <v>4924</v>
      </c>
    </row>
    <row r="2781">
      <c r="A2781" t="inlineStr">
        <is>
          <t>ONE GROUP HOSPITALITY, INC.</t>
        </is>
      </c>
      <c r="B2781" t="inlineStr">
        <is>
          <t>STKS</t>
        </is>
      </c>
      <c r="C2781" t="inlineStr">
        <is>
          <t>ONE GROUP HOSPITALITY, INC.</t>
        </is>
      </c>
      <c r="D2781" t="n">
        <v>5812</v>
      </c>
    </row>
    <row r="2782">
      <c r="A2782" t="inlineStr">
        <is>
          <t>ONE LIBERTY PROPERTIES INC</t>
        </is>
      </c>
      <c r="B2782" t="inlineStr">
        <is>
          <t>OLP</t>
        </is>
      </c>
      <c r="C2782" t="inlineStr">
        <is>
          <t>ONE LIBERTY PROPERTIES INC</t>
        </is>
      </c>
      <c r="D2782" t="n">
        <v>6798</v>
      </c>
    </row>
    <row r="2783">
      <c r="A2783" t="inlineStr">
        <is>
          <t>ONE STOP SYSTEMS, INC.</t>
        </is>
      </c>
      <c r="B2783" t="inlineStr">
        <is>
          <t>OSS</t>
        </is>
      </c>
      <c r="C2783" t="inlineStr">
        <is>
          <t>ONE STOP SYSTEMS, INC.</t>
        </is>
      </c>
      <c r="D2783" t="n">
        <v>3571</v>
      </c>
    </row>
    <row r="2784">
      <c r="A2784" t="inlineStr">
        <is>
          <t>ONEMAIN HOLDINGS, INC.</t>
        </is>
      </c>
      <c r="B2784" t="inlineStr">
        <is>
          <t>OMF</t>
        </is>
      </c>
      <c r="C2784" t="inlineStr">
        <is>
          <t>ONEMAIN HOLDINGS, INC.</t>
        </is>
      </c>
      <c r="D2784" t="n">
        <v>6141</v>
      </c>
    </row>
    <row r="2785">
      <c r="A2785" t="inlineStr">
        <is>
          <t>ONEOK INC /NEW/</t>
        </is>
      </c>
      <c r="B2785" t="inlineStr">
        <is>
          <t>OKE</t>
        </is>
      </c>
      <c r="C2785" t="inlineStr">
        <is>
          <t>ONEOK INC /NEW/</t>
        </is>
      </c>
      <c r="D2785" t="n">
        <v>4923</v>
      </c>
    </row>
    <row r="2786">
      <c r="A2786" t="inlineStr">
        <is>
          <t>ONESPAN INC.</t>
        </is>
      </c>
      <c r="B2786" t="inlineStr">
        <is>
          <t>OSPN</t>
        </is>
      </c>
      <c r="C2786" t="inlineStr">
        <is>
          <t>ONESPAN INC.</t>
        </is>
      </c>
      <c r="D2786" t="n">
        <v>7373</v>
      </c>
    </row>
    <row r="2787">
      <c r="A2787" t="inlineStr">
        <is>
          <t>ONESPAWORLD HOLDINGS LTD</t>
        </is>
      </c>
      <c r="B2787" t="inlineStr">
        <is>
          <t>OSW</t>
        </is>
      </c>
      <c r="C2787" t="inlineStr">
        <is>
          <t>ONESPAWORLD HOLDINGS LTD</t>
        </is>
      </c>
      <c r="D2787" t="n">
        <v>7997</v>
      </c>
    </row>
    <row r="2788">
      <c r="A2788" t="inlineStr">
        <is>
          <t>ONEWATER MARINE INC.</t>
        </is>
      </c>
      <c r="B2788" t="inlineStr">
        <is>
          <t>ONEW</t>
        </is>
      </c>
      <c r="C2788" t="inlineStr">
        <is>
          <t>ONEWATER MARINE INC.</t>
        </is>
      </c>
      <c r="D2788" t="n">
        <v>5531</v>
      </c>
    </row>
    <row r="2789">
      <c r="A2789" t="inlineStr">
        <is>
          <t>ONTO INNOVATION INC.</t>
        </is>
      </c>
      <c r="B2789" t="inlineStr">
        <is>
          <t>ONTO</t>
        </is>
      </c>
      <c r="C2789" t="inlineStr">
        <is>
          <t>ONTO INNOVATION INC.</t>
        </is>
      </c>
      <c r="D2789" t="n">
        <v>3829</v>
      </c>
    </row>
    <row r="2790">
      <c r="A2790" t="inlineStr">
        <is>
          <t>ONTRAK, INC.</t>
        </is>
      </c>
      <c r="B2790" t="inlineStr">
        <is>
          <t>OTRK</t>
        </is>
      </c>
      <c r="C2790" t="inlineStr">
        <is>
          <t>ONTRAK, INC.</t>
        </is>
      </c>
      <c r="D2790" t="n">
        <v>8090</v>
      </c>
    </row>
    <row r="2791">
      <c r="A2791" t="inlineStr">
        <is>
          <t>OOMA INC</t>
        </is>
      </c>
      <c r="B2791" t="inlineStr">
        <is>
          <t>OOMA</t>
        </is>
      </c>
      <c r="C2791" t="inlineStr">
        <is>
          <t>OOMA INC</t>
        </is>
      </c>
      <c r="D2791" t="n">
        <v>7374</v>
      </c>
    </row>
    <row r="2792">
      <c r="A2792" t="inlineStr">
        <is>
          <t>OP BANCORP</t>
        </is>
      </c>
      <c r="B2792" t="inlineStr">
        <is>
          <t>OPBK</t>
        </is>
      </c>
      <c r="C2792" t="inlineStr">
        <is>
          <t>OP BANCORP</t>
        </is>
      </c>
      <c r="D2792" t="n">
        <v>6022</v>
      </c>
    </row>
    <row r="2793">
      <c r="A2793" t="inlineStr">
        <is>
          <t>OPEN LENDING CORP</t>
        </is>
      </c>
      <c r="B2793" t="inlineStr">
        <is>
          <t>LPRO</t>
        </is>
      </c>
      <c r="C2793" t="inlineStr">
        <is>
          <t>OPEN LENDING CORP</t>
        </is>
      </c>
      <c r="D2793" t="n">
        <v>6141</v>
      </c>
    </row>
    <row r="2794">
      <c r="A2794" t="inlineStr">
        <is>
          <t>OPEN TEXT CORP</t>
        </is>
      </c>
      <c r="B2794" t="inlineStr">
        <is>
          <t>OTEX</t>
        </is>
      </c>
      <c r="C2794" t="inlineStr">
        <is>
          <t>OPEN TEXT CORP</t>
        </is>
      </c>
      <c r="D2794" t="n">
        <v>7373</v>
      </c>
    </row>
    <row r="2795">
      <c r="A2795" t="inlineStr">
        <is>
          <t>OPENDOOR TECHNOLOGIES INC.</t>
        </is>
      </c>
      <c r="B2795" t="inlineStr">
        <is>
          <t>OPEN</t>
        </is>
      </c>
      <c r="C2795" t="inlineStr">
        <is>
          <t>OPENDOOR TECHNOLOGIES INC.</t>
        </is>
      </c>
      <c r="D2795" t="n">
        <v>6531</v>
      </c>
    </row>
    <row r="2796">
      <c r="A2796" t="inlineStr">
        <is>
          <t>OPGEN INC</t>
        </is>
      </c>
      <c r="B2796" t="inlineStr">
        <is>
          <t>OPGN</t>
        </is>
      </c>
      <c r="C2796" t="inlineStr">
        <is>
          <t>OPGEN INC</t>
        </is>
      </c>
      <c r="D2796" t="n">
        <v>8071</v>
      </c>
    </row>
    <row r="2797">
      <c r="A2797" t="inlineStr">
        <is>
          <t>OPIANT PHARMACEUTICALS, INC.</t>
        </is>
      </c>
      <c r="B2797" t="inlineStr">
        <is>
          <t>OPNT</t>
        </is>
      </c>
      <c r="C2797" t="inlineStr">
        <is>
          <t>OPIANT PHARMACEUTICALS, INC.</t>
        </is>
      </c>
      <c r="D2797" t="n">
        <v>2834</v>
      </c>
    </row>
    <row r="2798">
      <c r="A2798" t="inlineStr">
        <is>
          <t>OPKO HEALTH, INC.</t>
        </is>
      </c>
      <c r="B2798" t="inlineStr">
        <is>
          <t>OPK</t>
        </is>
      </c>
      <c r="C2798" t="inlineStr">
        <is>
          <t>OPKO HEALTH, INC.</t>
        </is>
      </c>
      <c r="D2798" t="n">
        <v>2834</v>
      </c>
    </row>
    <row r="2799">
      <c r="A2799" t="inlineStr">
        <is>
          <t>OPORTUN FINANCIAL CORP</t>
        </is>
      </c>
      <c r="B2799" t="inlineStr">
        <is>
          <t>OPRT</t>
        </is>
      </c>
      <c r="C2799" t="inlineStr">
        <is>
          <t>OPORTUN FINANCIAL CORP</t>
        </is>
      </c>
      <c r="D2799" t="n">
        <v>6199</v>
      </c>
    </row>
    <row r="2800">
      <c r="A2800" t="inlineStr">
        <is>
          <t>OPPENHEIMER HOLDINGS INC</t>
        </is>
      </c>
      <c r="B2800" t="inlineStr">
        <is>
          <t>OPY</t>
        </is>
      </c>
      <c r="C2800" t="inlineStr">
        <is>
          <t>OPPENHEIMER HOLDINGS INC</t>
        </is>
      </c>
      <c r="D2800" t="n">
        <v>6211</v>
      </c>
    </row>
    <row r="2801">
      <c r="A2801" t="inlineStr">
        <is>
          <t>OPPFI INC.</t>
        </is>
      </c>
      <c r="B2801" t="inlineStr">
        <is>
          <t>OPFI</t>
        </is>
      </c>
      <c r="C2801" t="inlineStr">
        <is>
          <t>OPPFI INC.</t>
        </is>
      </c>
      <c r="D2801" t="n">
        <v>6199</v>
      </c>
    </row>
    <row r="2802">
      <c r="A2802" t="inlineStr">
        <is>
          <t>OPTEX SYSTEMS HOLDINGS INC</t>
        </is>
      </c>
      <c r="B2802" t="inlineStr">
        <is>
          <t>OPXS</t>
        </is>
      </c>
      <c r="C2802" t="inlineStr">
        <is>
          <t>OPTEX SYSTEMS HOLDINGS INC</t>
        </is>
      </c>
      <c r="D2802" t="n">
        <v>3827</v>
      </c>
    </row>
    <row r="2803">
      <c r="A2803" t="inlineStr">
        <is>
          <t>OPTICAL CABLE CORP</t>
        </is>
      </c>
      <c r="B2803" t="inlineStr">
        <is>
          <t>OCC</t>
        </is>
      </c>
      <c r="C2803" t="inlineStr">
        <is>
          <t>OPTICAL CABLE CORP</t>
        </is>
      </c>
      <c r="D2803" t="n">
        <v>3357</v>
      </c>
    </row>
    <row r="2804">
      <c r="A2804" t="inlineStr">
        <is>
          <t>OPTIMIZERX CORP</t>
        </is>
      </c>
      <c r="B2804" t="inlineStr">
        <is>
          <t>OPRX</t>
        </is>
      </c>
      <c r="C2804" t="inlineStr">
        <is>
          <t>OPTIMIZERX CORP</t>
        </is>
      </c>
      <c r="D2804" t="n">
        <v>7389</v>
      </c>
    </row>
    <row r="2805">
      <c r="A2805" t="inlineStr">
        <is>
          <t>OPTIMUMBANK HOLDINGS, INC.</t>
        </is>
      </c>
      <c r="B2805" t="inlineStr">
        <is>
          <t>OPHC</t>
        </is>
      </c>
      <c r="C2805" t="inlineStr">
        <is>
          <t>OPTIMUMBANK HOLDINGS, INC.</t>
        </is>
      </c>
      <c r="D2805" t="n">
        <v>6021</v>
      </c>
    </row>
    <row r="2806">
      <c r="A2806" t="inlineStr">
        <is>
          <t>OPTINOSE, INC.</t>
        </is>
      </c>
      <c r="B2806" t="inlineStr">
        <is>
          <t>OPTN</t>
        </is>
      </c>
      <c r="C2806" t="inlineStr">
        <is>
          <t>OPTINOSE, INC.</t>
        </is>
      </c>
      <c r="D2806" t="n">
        <v>2834</v>
      </c>
    </row>
    <row r="2807">
      <c r="A2807" t="inlineStr">
        <is>
          <t>OPTION CARE HEALTH, INC.</t>
        </is>
      </c>
      <c r="B2807" t="inlineStr">
        <is>
          <t>OPCH</t>
        </is>
      </c>
      <c r="C2807" t="inlineStr">
        <is>
          <t>OPTION CARE HEALTH, INC.</t>
        </is>
      </c>
      <c r="D2807" t="n">
        <v>8082</v>
      </c>
    </row>
    <row r="2808">
      <c r="A2808" t="inlineStr">
        <is>
          <t>ORACLE CORP</t>
        </is>
      </c>
      <c r="B2808" t="inlineStr">
        <is>
          <t>ORCL</t>
        </is>
      </c>
      <c r="C2808" t="inlineStr">
        <is>
          <t>ORACLE CORP</t>
        </is>
      </c>
      <c r="D2808" t="n">
        <v>7372</v>
      </c>
    </row>
    <row r="2809">
      <c r="A2809" t="inlineStr">
        <is>
          <t>ORAMED PHARMACEUTICALS INC.</t>
        </is>
      </c>
      <c r="B2809" t="inlineStr">
        <is>
          <t>ORMP</t>
        </is>
      </c>
      <c r="C2809" t="inlineStr">
        <is>
          <t>ORAMED PHARMACEUTICALS INC.</t>
        </is>
      </c>
      <c r="D2809" t="n">
        <v>2834</v>
      </c>
    </row>
    <row r="2810">
      <c r="A2810" t="inlineStr">
        <is>
          <t>ORANGE COUNTY BANCORP, INC. /DE/</t>
        </is>
      </c>
      <c r="B2810" t="inlineStr">
        <is>
          <t>OBT</t>
        </is>
      </c>
      <c r="C2810" t="inlineStr">
        <is>
          <t>ORANGE COUNTY BANCORP, INC. /DE/</t>
        </is>
      </c>
      <c r="D2810" t="n">
        <v>6022</v>
      </c>
    </row>
    <row r="2811">
      <c r="A2811" t="inlineStr">
        <is>
          <t>ORASURE TECHNOLOGIES INC</t>
        </is>
      </c>
      <c r="B2811" t="inlineStr">
        <is>
          <t>OSUR</t>
        </is>
      </c>
      <c r="C2811" t="inlineStr">
        <is>
          <t>ORASURE TECHNOLOGIES INC</t>
        </is>
      </c>
      <c r="D2811" t="n">
        <v>3841</v>
      </c>
    </row>
    <row r="2812">
      <c r="A2812" t="inlineStr">
        <is>
          <t>ORBITAL ENERGY GROUP, INC.</t>
        </is>
      </c>
      <c r="B2812" t="inlineStr">
        <is>
          <t>OEG</t>
        </is>
      </c>
      <c r="C2812" t="inlineStr">
        <is>
          <t>ORBITAL ENERGY GROUP, INC.</t>
        </is>
      </c>
      <c r="D2812" t="n">
        <v>5065</v>
      </c>
    </row>
    <row r="2813">
      <c r="A2813" t="inlineStr">
        <is>
          <t>ORCHARD THERAPEUTICS PLC</t>
        </is>
      </c>
      <c r="B2813" t="inlineStr">
        <is>
          <t>ORTX</t>
        </is>
      </c>
      <c r="C2813" t="inlineStr">
        <is>
          <t>ORCHARD THERAPEUTICS PLC</t>
        </is>
      </c>
      <c r="D2813" t="n">
        <v>2836</v>
      </c>
    </row>
    <row r="2814">
      <c r="A2814" t="inlineStr">
        <is>
          <t>ORCHID ISLAND CAPITAL, INC.</t>
        </is>
      </c>
      <c r="B2814" t="inlineStr">
        <is>
          <t>ORC</t>
        </is>
      </c>
      <c r="C2814" t="inlineStr">
        <is>
          <t>ORCHID ISLAND CAPITAL, INC.</t>
        </is>
      </c>
      <c r="D2814" t="n">
        <v>6798</v>
      </c>
    </row>
    <row r="2815">
      <c r="A2815" t="inlineStr">
        <is>
          <t>ORGANOGENESIS HOLDINGS INC.</t>
        </is>
      </c>
      <c r="B2815" t="inlineStr">
        <is>
          <t>ORGO</t>
        </is>
      </c>
      <c r="C2815" t="inlineStr">
        <is>
          <t>ORGANOGENESIS HOLDINGS INC.</t>
        </is>
      </c>
      <c r="D2815" t="n">
        <v>2834</v>
      </c>
    </row>
    <row r="2816">
      <c r="A2816" t="inlineStr">
        <is>
          <t>ORGANON &amp; CO.</t>
        </is>
      </c>
      <c r="B2816" t="inlineStr">
        <is>
          <t>OGN</t>
        </is>
      </c>
      <c r="C2816" t="inlineStr">
        <is>
          <t>ORGANON &amp; CO.</t>
        </is>
      </c>
      <c r="D2816" t="n">
        <v>2834</v>
      </c>
    </row>
    <row r="2817">
      <c r="A2817" t="inlineStr">
        <is>
          <t>ORGENESIS INC.</t>
        </is>
      </c>
      <c r="B2817" t="inlineStr">
        <is>
          <t>ORGS</t>
        </is>
      </c>
      <c r="C2817" t="inlineStr">
        <is>
          <t>ORGENESIS INC.</t>
        </is>
      </c>
      <c r="D2817" t="n">
        <v>2834</v>
      </c>
    </row>
    <row r="2818">
      <c r="A2818" t="inlineStr">
        <is>
          <t>ORIENTAL CULTURE HOLDING LTD</t>
        </is>
      </c>
      <c r="B2818" t="inlineStr">
        <is>
          <t>OCG</t>
        </is>
      </c>
      <c r="C2818" t="inlineStr">
        <is>
          <t>ORIENTAL CULTURE HOLDING LTD</t>
        </is>
      </c>
      <c r="D2818" t="n">
        <v>7380</v>
      </c>
    </row>
    <row r="2819">
      <c r="A2819" t="inlineStr">
        <is>
          <t>ORIGIN AGRITECH LTD</t>
        </is>
      </c>
      <c r="B2819" t="inlineStr">
        <is>
          <t>SEED</t>
        </is>
      </c>
      <c r="C2819" t="inlineStr">
        <is>
          <t>ORIGIN AGRITECH LTD</t>
        </is>
      </c>
      <c r="D2819" t="n">
        <v>100</v>
      </c>
    </row>
    <row r="2820">
      <c r="A2820" t="inlineStr">
        <is>
          <t>ORIGIN BANCORP, INC.</t>
        </is>
      </c>
      <c r="B2820" t="inlineStr">
        <is>
          <t>OBNK</t>
        </is>
      </c>
      <c r="C2820" t="inlineStr">
        <is>
          <t>ORIGIN BANCORP, INC.</t>
        </is>
      </c>
      <c r="D2820" t="n">
        <v>6022</v>
      </c>
    </row>
    <row r="2821">
      <c r="A2821" t="inlineStr">
        <is>
          <t>ORION ENERGY SYSTEMS, INC.</t>
        </is>
      </c>
      <c r="B2821" t="inlineStr">
        <is>
          <t>OESX</t>
        </is>
      </c>
      <c r="C2821" t="inlineStr">
        <is>
          <t>ORION ENERGY SYSTEMS, INC.</t>
        </is>
      </c>
      <c r="D2821" t="n">
        <v>3640</v>
      </c>
    </row>
    <row r="2822">
      <c r="A2822" t="inlineStr">
        <is>
          <t>ORION ENGINEERED CARBONS S.A.</t>
        </is>
      </c>
      <c r="B2822" t="inlineStr">
        <is>
          <t>OEC</t>
        </is>
      </c>
      <c r="C2822" t="inlineStr">
        <is>
          <t>ORION ENGINEERED CARBONS S.A.</t>
        </is>
      </c>
      <c r="D2822" t="n">
        <v>2890</v>
      </c>
    </row>
    <row r="2823">
      <c r="A2823" t="inlineStr">
        <is>
          <t>ORION GROUP HOLDINGS INC</t>
        </is>
      </c>
      <c r="B2823" t="inlineStr">
        <is>
          <t>ORN</t>
        </is>
      </c>
      <c r="C2823" t="inlineStr">
        <is>
          <t>ORION GROUP HOLDINGS INC</t>
        </is>
      </c>
      <c r="D2823" t="n">
        <v>1600</v>
      </c>
    </row>
    <row r="2824">
      <c r="A2824" t="inlineStr">
        <is>
          <t>ORION OFFICE REIT INC.</t>
        </is>
      </c>
      <c r="B2824" t="inlineStr">
        <is>
          <t>ONL</t>
        </is>
      </c>
      <c r="C2824" t="inlineStr">
        <is>
          <t>ORION OFFICE REIT INC.</t>
        </is>
      </c>
      <c r="D2824" t="n">
        <v>6798</v>
      </c>
    </row>
    <row r="2825">
      <c r="A2825" t="inlineStr">
        <is>
          <t>ORMAT TECHNOLOGIES, INC.</t>
        </is>
      </c>
      <c r="B2825" t="inlineStr">
        <is>
          <t>ORA</t>
        </is>
      </c>
      <c r="C2825" t="inlineStr">
        <is>
          <t>ORMAT TECHNOLOGIES, INC.</t>
        </is>
      </c>
      <c r="D2825" t="n">
        <v>4911</v>
      </c>
    </row>
    <row r="2826">
      <c r="A2826" t="inlineStr">
        <is>
          <t>ORRSTOWN FINANCIAL SERVICES INC</t>
        </is>
      </c>
      <c r="B2826" t="inlineStr">
        <is>
          <t>ORRF</t>
        </is>
      </c>
      <c r="C2826" t="inlineStr">
        <is>
          <t>ORRSTOWN FINANCIAL SERVICES INC</t>
        </is>
      </c>
      <c r="D2826" t="n">
        <v>6022</v>
      </c>
    </row>
    <row r="2827">
      <c r="A2827" t="inlineStr">
        <is>
          <t>ORTHOFIX MEDICAL INC.</t>
        </is>
      </c>
      <c r="B2827" t="inlineStr">
        <is>
          <t>OFIX</t>
        </is>
      </c>
      <c r="C2827" t="inlineStr">
        <is>
          <t>ORTHOFIX MEDICAL INC.</t>
        </is>
      </c>
      <c r="D2827" t="n">
        <v>3841</v>
      </c>
    </row>
    <row r="2828">
      <c r="A2828" t="inlineStr">
        <is>
          <t>ORTHOPEDIATRICS CORP</t>
        </is>
      </c>
      <c r="B2828" t="inlineStr">
        <is>
          <t>KIDS</t>
        </is>
      </c>
      <c r="C2828" t="inlineStr">
        <is>
          <t>ORTHOPEDIATRICS CORP</t>
        </is>
      </c>
      <c r="D2828" t="n">
        <v>3841</v>
      </c>
    </row>
    <row r="2829">
      <c r="A2829" t="inlineStr">
        <is>
          <t>OSCAR HEALTH, INC.</t>
        </is>
      </c>
      <c r="B2829" t="inlineStr">
        <is>
          <t>OSCR</t>
        </is>
      </c>
      <c r="C2829" t="inlineStr">
        <is>
          <t>OSCAR HEALTH, INC.</t>
        </is>
      </c>
      <c r="D2829" t="n">
        <v>6324</v>
      </c>
    </row>
    <row r="2830">
      <c r="A2830" t="inlineStr">
        <is>
          <t>OSHKOSH CORP</t>
        </is>
      </c>
      <c r="B2830" t="inlineStr">
        <is>
          <t>OSK</t>
        </is>
      </c>
      <c r="C2830" t="inlineStr">
        <is>
          <t>OSHKOSH CORP</t>
        </is>
      </c>
      <c r="D2830" t="n">
        <v>3711</v>
      </c>
    </row>
    <row r="2831">
      <c r="A2831" t="inlineStr">
        <is>
          <t>OSI SYSTEMS INC</t>
        </is>
      </c>
      <c r="B2831" t="inlineStr">
        <is>
          <t>OSIS</t>
        </is>
      </c>
      <c r="C2831" t="inlineStr">
        <is>
          <t>OSI SYSTEMS INC</t>
        </is>
      </c>
      <c r="D2831" t="n">
        <v>3674</v>
      </c>
    </row>
    <row r="2832">
      <c r="A2832" t="inlineStr">
        <is>
          <t>OTIS WORLDWIDE CORP</t>
        </is>
      </c>
      <c r="B2832" t="inlineStr">
        <is>
          <t>OTIS</t>
        </is>
      </c>
      <c r="C2832" t="inlineStr">
        <is>
          <t>OTIS WORLDWIDE CORP</t>
        </is>
      </c>
      <c r="D2832" t="n">
        <v>3600</v>
      </c>
    </row>
    <row r="2833">
      <c r="A2833" t="inlineStr">
        <is>
          <t>OTONOMO TECHNOLOGIES LTD.</t>
        </is>
      </c>
      <c r="B2833" t="inlineStr">
        <is>
          <t>OTMO</t>
        </is>
      </c>
      <c r="C2833" t="inlineStr">
        <is>
          <t>OTONOMO TECHNOLOGIES LTD.</t>
        </is>
      </c>
      <c r="D2833" t="n">
        <v>7372</v>
      </c>
    </row>
    <row r="2834">
      <c r="A2834" t="inlineStr">
        <is>
          <t>OTONOMY, INC.</t>
        </is>
      </c>
      <c r="B2834" t="inlineStr">
        <is>
          <t>OTIC</t>
        </is>
      </c>
      <c r="C2834" t="inlineStr">
        <is>
          <t>OTONOMY, INC.</t>
        </is>
      </c>
      <c r="D2834" t="n">
        <v>2834</v>
      </c>
    </row>
    <row r="2835">
      <c r="A2835" t="inlineStr">
        <is>
          <t>OTTER TAIL CORP</t>
        </is>
      </c>
      <c r="B2835" t="inlineStr">
        <is>
          <t>OTTR</t>
        </is>
      </c>
      <c r="C2835" t="inlineStr">
        <is>
          <t>OTTER TAIL CORP</t>
        </is>
      </c>
      <c r="D2835" t="n">
        <v>4911</v>
      </c>
    </row>
    <row r="2836">
      <c r="A2836" t="inlineStr">
        <is>
          <t>OUSTER, INC.</t>
        </is>
      </c>
      <c r="B2836" t="inlineStr">
        <is>
          <t>OUST</t>
        </is>
      </c>
      <c r="C2836" t="inlineStr">
        <is>
          <t>OUSTER, INC.</t>
        </is>
      </c>
      <c r="D2836" t="n">
        <v>3569</v>
      </c>
    </row>
    <row r="2837">
      <c r="A2837" t="inlineStr">
        <is>
          <t>OUTBRAIN INC.</t>
        </is>
      </c>
      <c r="B2837" t="inlineStr">
        <is>
          <t>OB</t>
        </is>
      </c>
      <c r="C2837" t="inlineStr">
        <is>
          <t>OUTBRAIN INC.</t>
        </is>
      </c>
      <c r="D2837" t="n">
        <v>7370</v>
      </c>
    </row>
    <row r="2838">
      <c r="A2838" t="inlineStr">
        <is>
          <t>OUTFRONT MEDIA INC.</t>
        </is>
      </c>
      <c r="B2838" t="inlineStr">
        <is>
          <t>OUT</t>
        </is>
      </c>
      <c r="C2838" t="inlineStr">
        <is>
          <t>OUTFRONT MEDIA INC.</t>
        </is>
      </c>
      <c r="D2838" t="n">
        <v>6798</v>
      </c>
    </row>
    <row r="2839">
      <c r="A2839" t="inlineStr">
        <is>
          <t>OUTSET MEDICAL, INC.</t>
        </is>
      </c>
      <c r="B2839" t="inlineStr">
        <is>
          <t>OM</t>
        </is>
      </c>
      <c r="C2839" t="inlineStr">
        <is>
          <t>OUTSET MEDICAL, INC.</t>
        </is>
      </c>
      <c r="D2839" t="n">
        <v>3845</v>
      </c>
    </row>
    <row r="2840">
      <c r="A2840" t="inlineStr">
        <is>
          <t>OVERSEAS SHIPHOLDING GROUP INC</t>
        </is>
      </c>
      <c r="B2840" t="inlineStr">
        <is>
          <t>OSG</t>
        </is>
      </c>
      <c r="C2840" t="inlineStr">
        <is>
          <t>OVERSEAS SHIPHOLDING GROUP INC</t>
        </is>
      </c>
      <c r="D2840" t="n">
        <v>4412</v>
      </c>
    </row>
    <row r="2841">
      <c r="A2841" t="inlineStr">
        <is>
          <t>OVERSTOCK.COM, INC</t>
        </is>
      </c>
      <c r="B2841" t="inlineStr">
        <is>
          <t>OSTK</t>
        </is>
      </c>
      <c r="C2841" t="inlineStr">
        <is>
          <t>OVERSTOCK.COM, INC</t>
        </is>
      </c>
      <c r="D2841" t="n">
        <v>5961</v>
      </c>
    </row>
    <row r="2842">
      <c r="A2842" t="inlineStr">
        <is>
          <t>OVID THERAPEUTICS INC.</t>
        </is>
      </c>
      <c r="B2842" t="inlineStr">
        <is>
          <t>OVID</t>
        </is>
      </c>
      <c r="C2842" t="inlineStr">
        <is>
          <t>OVID THERAPEUTICS INC.</t>
        </is>
      </c>
      <c r="D2842" t="n">
        <v>2834</v>
      </c>
    </row>
    <row r="2843">
      <c r="A2843" t="inlineStr">
        <is>
          <t>OVINTIV INC.</t>
        </is>
      </c>
      <c r="B2843" t="inlineStr">
        <is>
          <t>OVV</t>
        </is>
      </c>
      <c r="C2843" t="inlineStr">
        <is>
          <t>OVINTIV INC.</t>
        </is>
      </c>
      <c r="D2843" t="n">
        <v>1311</v>
      </c>
    </row>
    <row r="2844">
      <c r="A2844" t="inlineStr">
        <is>
          <t>OWENS &amp; MINOR INC/VA/</t>
        </is>
      </c>
      <c r="B2844" t="inlineStr">
        <is>
          <t>OMI</t>
        </is>
      </c>
      <c r="C2844" t="inlineStr">
        <is>
          <t>OWENS &amp; MINOR INC/VA/</t>
        </is>
      </c>
      <c r="D2844" t="n">
        <v>5047</v>
      </c>
    </row>
    <row r="2845">
      <c r="A2845" t="inlineStr">
        <is>
          <t>OWENS CORNING</t>
        </is>
      </c>
      <c r="B2845" t="inlineStr">
        <is>
          <t>OC</t>
        </is>
      </c>
      <c r="C2845" t="inlineStr">
        <is>
          <t>OWENS CORNING</t>
        </is>
      </c>
      <c r="D2845" t="n">
        <v>3290</v>
      </c>
    </row>
    <row r="2846">
      <c r="A2846" t="inlineStr">
        <is>
          <t>OWLET, INC.</t>
        </is>
      </c>
      <c r="B2846" t="inlineStr">
        <is>
          <t>OWLT</t>
        </is>
      </c>
      <c r="C2846" t="inlineStr">
        <is>
          <t>OWLET, INC.</t>
        </is>
      </c>
      <c r="D2846" t="n">
        <v>3829</v>
      </c>
    </row>
    <row r="2847">
      <c r="A2847" t="inlineStr">
        <is>
          <t>OXFORD INDUSTRIES INC</t>
        </is>
      </c>
      <c r="B2847" t="inlineStr">
        <is>
          <t>OXM</t>
        </is>
      </c>
      <c r="C2847" t="inlineStr">
        <is>
          <t>OXFORD INDUSTRIES INC</t>
        </is>
      </c>
      <c r="D2847" t="n">
        <v>2320</v>
      </c>
    </row>
    <row r="2848">
      <c r="A2848" t="inlineStr">
        <is>
          <t>P&amp;F INDUSTRIES INC</t>
        </is>
      </c>
      <c r="B2848" t="inlineStr">
        <is>
          <t>PFIN</t>
        </is>
      </c>
      <c r="C2848" t="inlineStr">
        <is>
          <t>P&amp;F INDUSTRIES INC</t>
        </is>
      </c>
      <c r="D2848" t="n">
        <v>3540</v>
      </c>
    </row>
    <row r="2849">
      <c r="A2849" t="inlineStr">
        <is>
          <t>P10, INC.</t>
        </is>
      </c>
      <c r="B2849" t="inlineStr">
        <is>
          <t>PX</t>
        </is>
      </c>
      <c r="C2849" t="inlineStr">
        <is>
          <t>P10, INC.</t>
        </is>
      </c>
      <c r="D2849" t="n">
        <v>6282</v>
      </c>
    </row>
    <row r="2850">
      <c r="A2850" t="inlineStr">
        <is>
          <t>PACCAR INC</t>
        </is>
      </c>
      <c r="B2850" t="inlineStr">
        <is>
          <t>PCAR</t>
        </is>
      </c>
      <c r="C2850" t="inlineStr">
        <is>
          <t>PACCAR INC</t>
        </is>
      </c>
      <c r="D2850" t="n">
        <v>3711</v>
      </c>
    </row>
    <row r="2851">
      <c r="A2851" t="inlineStr">
        <is>
          <t>PACIFIC BIOSCIENCES OF CALIFORNIA, INC.</t>
        </is>
      </c>
      <c r="B2851" t="inlineStr">
        <is>
          <t>PACB</t>
        </is>
      </c>
      <c r="C2851" t="inlineStr">
        <is>
          <t>PACIFIC BIOSCIENCES OF CALIFORNIA, INC.</t>
        </is>
      </c>
      <c r="D2851" t="n">
        <v>3826</v>
      </c>
    </row>
    <row r="2852">
      <c r="A2852" t="inlineStr">
        <is>
          <t>PACIFIC GREEN TECHNOLOGIES INC.</t>
        </is>
      </c>
      <c r="B2852" t="inlineStr">
        <is>
          <t>PGTK</t>
        </is>
      </c>
      <c r="C2852" t="inlineStr">
        <is>
          <t>PACIFIC GREEN TECHNOLOGIES INC.</t>
        </is>
      </c>
      <c r="D2852" t="n">
        <v>4955</v>
      </c>
    </row>
    <row r="2853">
      <c r="A2853" t="inlineStr">
        <is>
          <t>PACIFIC HEALTH CARE ORGANIZATION INC</t>
        </is>
      </c>
      <c r="B2853" t="inlineStr">
        <is>
          <t>PFHO</t>
        </is>
      </c>
      <c r="C2853" t="inlineStr">
        <is>
          <t>PACIFIC HEALTH CARE ORGANIZATION INC</t>
        </is>
      </c>
      <c r="D2853" t="n">
        <v>8090</v>
      </c>
    </row>
    <row r="2854">
      <c r="A2854" t="inlineStr">
        <is>
          <t>PACIFIC OAK STRATEGIC OPPORTUNITY REIT, INC.</t>
        </is>
      </c>
      <c r="B2854" t="inlineStr">
        <is>
          <t>PCOK</t>
        </is>
      </c>
      <c r="C2854" t="inlineStr">
        <is>
          <t>PACIFIC OAK STRATEGIC OPPORTUNITY REIT, INC.</t>
        </is>
      </c>
      <c r="D2854" t="n">
        <v>6798</v>
      </c>
    </row>
    <row r="2855">
      <c r="A2855" t="inlineStr">
        <is>
          <t>PACIFIC PREMIER BANCORP INC</t>
        </is>
      </c>
      <c r="B2855" t="inlineStr">
        <is>
          <t>PPBI</t>
        </is>
      </c>
      <c r="C2855" t="inlineStr">
        <is>
          <t>PACIFIC PREMIER BANCORP INC</t>
        </is>
      </c>
      <c r="D2855" t="n">
        <v>6022</v>
      </c>
    </row>
    <row r="2856">
      <c r="A2856" t="inlineStr">
        <is>
          <t>PACIRA BIOSCIENCES, INC.</t>
        </is>
      </c>
      <c r="B2856" t="inlineStr">
        <is>
          <t>PCRX</t>
        </is>
      </c>
      <c r="C2856" t="inlineStr">
        <is>
          <t>PACIRA BIOSCIENCES, INC.</t>
        </is>
      </c>
      <c r="D2856" t="n">
        <v>2834</v>
      </c>
    </row>
    <row r="2857">
      <c r="A2857" t="inlineStr">
        <is>
          <t>PACKAGING CORP OF AMERICA</t>
        </is>
      </c>
      <c r="B2857" t="inlineStr">
        <is>
          <t>PKG</t>
        </is>
      </c>
      <c r="C2857" t="inlineStr">
        <is>
          <t>PACKAGING CORP OF AMERICA</t>
        </is>
      </c>
      <c r="D2857" t="n">
        <v>2650</v>
      </c>
    </row>
    <row r="2858">
      <c r="A2858" t="inlineStr">
        <is>
          <t>PACTIV EVERGREEN INC.</t>
        </is>
      </c>
      <c r="B2858" t="inlineStr">
        <is>
          <t>PTVE</t>
        </is>
      </c>
      <c r="C2858" t="inlineStr">
        <is>
          <t>PACTIV EVERGREEN INC.</t>
        </is>
      </c>
      <c r="D2858" t="n">
        <v>2673</v>
      </c>
    </row>
    <row r="2859">
      <c r="A2859" t="inlineStr">
        <is>
          <t>PACWEST BANCORP</t>
        </is>
      </c>
      <c r="B2859" t="inlineStr">
        <is>
          <t>PACW</t>
        </is>
      </c>
      <c r="C2859" t="inlineStr">
        <is>
          <t>PACWEST BANCORP</t>
        </is>
      </c>
      <c r="D2859" t="n">
        <v>6021</v>
      </c>
    </row>
    <row r="2860">
      <c r="A2860" t="inlineStr">
        <is>
          <t>PAGERDUTY, INC.</t>
        </is>
      </c>
      <c r="B2860" t="inlineStr">
        <is>
          <t>PD</t>
        </is>
      </c>
      <c r="C2860" t="inlineStr">
        <is>
          <t>PAGERDUTY, INC.</t>
        </is>
      </c>
      <c r="D2860" t="n">
        <v>7372</v>
      </c>
    </row>
    <row r="2861">
      <c r="A2861" t="inlineStr">
        <is>
          <t>PALANTIR TECHNOLOGIES INC.</t>
        </is>
      </c>
      <c r="B2861" t="inlineStr">
        <is>
          <t>PLTR</t>
        </is>
      </c>
      <c r="C2861" t="inlineStr">
        <is>
          <t>PALANTIR TECHNOLOGIES INC.</t>
        </is>
      </c>
      <c r="D2861" t="n">
        <v>7372</v>
      </c>
    </row>
    <row r="2862">
      <c r="A2862" t="inlineStr">
        <is>
          <t>PALATIN TECHNOLOGIES INC</t>
        </is>
      </c>
      <c r="B2862" t="inlineStr">
        <is>
          <t>PTN</t>
        </is>
      </c>
      <c r="C2862" t="inlineStr">
        <is>
          <t>PALATIN TECHNOLOGIES INC</t>
        </is>
      </c>
      <c r="D2862" t="n">
        <v>2834</v>
      </c>
    </row>
    <row r="2863">
      <c r="A2863" t="inlineStr">
        <is>
          <t>PALO ALTO NETWORKS INC</t>
        </is>
      </c>
      <c r="B2863" t="inlineStr">
        <is>
          <t>PANW</t>
        </is>
      </c>
      <c r="C2863" t="inlineStr">
        <is>
          <t>PALO ALTO NETWORKS INC</t>
        </is>
      </c>
      <c r="D2863" t="n">
        <v>3577</v>
      </c>
    </row>
    <row r="2864">
      <c r="A2864" t="inlineStr">
        <is>
          <t>PALOMAR HOLDINGS, INC.</t>
        </is>
      </c>
      <c r="B2864" t="inlineStr">
        <is>
          <t>PLMR</t>
        </is>
      </c>
      <c r="C2864" t="inlineStr">
        <is>
          <t>PALOMAR HOLDINGS, INC.</t>
        </is>
      </c>
      <c r="D2864" t="n">
        <v>6331</v>
      </c>
    </row>
    <row r="2865">
      <c r="A2865" t="inlineStr">
        <is>
          <t>PALTALK, INC.</t>
        </is>
      </c>
      <c r="B2865" t="inlineStr">
        <is>
          <t>PALT</t>
        </is>
      </c>
      <c r="C2865" t="inlineStr">
        <is>
          <t>PALTALK, INC.</t>
        </is>
      </c>
      <c r="D2865" t="n">
        <v>7389</v>
      </c>
    </row>
    <row r="2866">
      <c r="A2866" t="inlineStr">
        <is>
          <t>PAM TRANSPORTATION SERVICES INC</t>
        </is>
      </c>
      <c r="B2866" t="inlineStr">
        <is>
          <t>PTSI</t>
        </is>
      </c>
      <c r="C2866" t="inlineStr">
        <is>
          <t>PAM TRANSPORTATION SERVICES INC</t>
        </is>
      </c>
      <c r="D2866" t="n">
        <v>4213</v>
      </c>
    </row>
    <row r="2867">
      <c r="A2867" t="inlineStr">
        <is>
          <t>PANGAEA LOGISTICS SOLUTIONS LTD.</t>
        </is>
      </c>
      <c r="B2867" t="inlineStr">
        <is>
          <t>PANL</t>
        </is>
      </c>
      <c r="C2867" t="inlineStr">
        <is>
          <t>PANGAEA LOGISTICS SOLUTIONS LTD.</t>
        </is>
      </c>
      <c r="D2867" t="n">
        <v>4412</v>
      </c>
    </row>
    <row r="2868">
      <c r="A2868" t="inlineStr">
        <is>
          <t>PAPA JOHNS INTERNATIONAL INC</t>
        </is>
      </c>
      <c r="B2868" t="inlineStr">
        <is>
          <t>PZZA</t>
        </is>
      </c>
      <c r="C2868" t="inlineStr">
        <is>
          <t>PAPA JOHNS INTERNATIONAL INC</t>
        </is>
      </c>
      <c r="D2868" t="n">
        <v>5812</v>
      </c>
    </row>
    <row r="2869">
      <c r="A2869" t="inlineStr">
        <is>
          <t>PAR PACIFIC HOLDINGS, INC.</t>
        </is>
      </c>
      <c r="B2869" t="inlineStr">
        <is>
          <t>PARR</t>
        </is>
      </c>
      <c r="C2869" t="inlineStr">
        <is>
          <t>PAR PACIFIC HOLDINGS, INC.</t>
        </is>
      </c>
      <c r="D2869" t="n">
        <v>1311</v>
      </c>
    </row>
    <row r="2870">
      <c r="A2870" t="inlineStr">
        <is>
          <t>PAR TECHNOLOGY CORP</t>
        </is>
      </c>
      <c r="B2870" t="inlineStr">
        <is>
          <t>PAR</t>
        </is>
      </c>
      <c r="C2870" t="inlineStr">
        <is>
          <t>PAR TECHNOLOGY CORP</t>
        </is>
      </c>
      <c r="D2870" t="n">
        <v>3578</v>
      </c>
    </row>
    <row r="2871">
      <c r="A2871" t="inlineStr">
        <is>
          <t>PARAGON 28, INC.</t>
        </is>
      </c>
      <c r="B2871" t="inlineStr">
        <is>
          <t>FNA</t>
        </is>
      </c>
      <c r="C2871" t="inlineStr">
        <is>
          <t>PARAGON 28, INC.</t>
        </is>
      </c>
      <c r="D2871" t="n">
        <v>3841</v>
      </c>
    </row>
    <row r="2872">
      <c r="A2872" t="inlineStr">
        <is>
          <t>PARAMOUNT GOLD NEVADA CORP.</t>
        </is>
      </c>
      <c r="B2872" t="inlineStr">
        <is>
          <t>PZG</t>
        </is>
      </c>
      <c r="C2872" t="inlineStr">
        <is>
          <t>PARAMOUNT GOLD NEVADA CORP.</t>
        </is>
      </c>
      <c r="D2872" t="n">
        <v>1000</v>
      </c>
    </row>
    <row r="2873">
      <c r="A2873" t="inlineStr">
        <is>
          <t>PARAMOUNT GROUP, INC.</t>
        </is>
      </c>
      <c r="B2873" t="inlineStr">
        <is>
          <t>PGRE</t>
        </is>
      </c>
      <c r="C2873" t="inlineStr">
        <is>
          <t>PARAMOUNT GROUP, INC.</t>
        </is>
      </c>
      <c r="D2873" t="n">
        <v>6798</v>
      </c>
    </row>
    <row r="2874">
      <c r="A2874" t="inlineStr">
        <is>
          <t>PARATEK PHARMACEUTICALS, INC.</t>
        </is>
      </c>
      <c r="B2874" t="inlineStr">
        <is>
          <t>PRTK</t>
        </is>
      </c>
      <c r="C2874" t="inlineStr">
        <is>
          <t>PARATEK PHARMACEUTICALS, INC.</t>
        </is>
      </c>
      <c r="D2874" t="n">
        <v>2834</v>
      </c>
    </row>
    <row r="2875">
      <c r="A2875" t="inlineStr">
        <is>
          <t>PARK AEROSPACE CORP</t>
        </is>
      </c>
      <c r="B2875" t="inlineStr">
        <is>
          <t>PKE</t>
        </is>
      </c>
      <c r="C2875" t="inlineStr">
        <is>
          <t>PARK AEROSPACE CORP</t>
        </is>
      </c>
      <c r="D2875" t="n">
        <v>3728</v>
      </c>
    </row>
    <row r="2876">
      <c r="A2876" t="inlineStr">
        <is>
          <t>PARK CITY GROUP INC</t>
        </is>
      </c>
      <c r="B2876" t="inlineStr">
        <is>
          <t>PCYG</t>
        </is>
      </c>
      <c r="C2876" t="inlineStr">
        <is>
          <t>PARK CITY GROUP INC</t>
        </is>
      </c>
      <c r="D2876" t="n">
        <v>7374</v>
      </c>
    </row>
    <row r="2877">
      <c r="A2877" t="inlineStr">
        <is>
          <t>PARK HOTELS &amp; RESORTS INC.</t>
        </is>
      </c>
      <c r="B2877" t="inlineStr">
        <is>
          <t>PK</t>
        </is>
      </c>
      <c r="C2877" t="inlineStr">
        <is>
          <t>PARK HOTELS &amp; RESORTS INC.</t>
        </is>
      </c>
      <c r="D2877" t="n">
        <v>7011</v>
      </c>
    </row>
    <row r="2878">
      <c r="A2878" t="inlineStr">
        <is>
          <t>PARK NATIONAL CORP /OH/</t>
        </is>
      </c>
      <c r="B2878" t="inlineStr">
        <is>
          <t>PRK</t>
        </is>
      </c>
      <c r="C2878" t="inlineStr">
        <is>
          <t>PARK NATIONAL CORP /OH/</t>
        </is>
      </c>
      <c r="D2878" t="n">
        <v>6021</v>
      </c>
    </row>
    <row r="2879">
      <c r="A2879" t="inlineStr">
        <is>
          <t>PARK OHIO HOLDINGS CORP</t>
        </is>
      </c>
      <c r="B2879" t="inlineStr">
        <is>
          <t>PKOH</t>
        </is>
      </c>
      <c r="C2879" t="inlineStr">
        <is>
          <t>PARK OHIO HOLDINGS CORP</t>
        </is>
      </c>
      <c r="D2879" t="n">
        <v>3460</v>
      </c>
    </row>
    <row r="2880">
      <c r="A2880" t="inlineStr">
        <is>
          <t>PARKE BANCORP, INC.</t>
        </is>
      </c>
      <c r="B2880" t="inlineStr">
        <is>
          <t>PKBK</t>
        </is>
      </c>
      <c r="C2880" t="inlineStr">
        <is>
          <t>PARKE BANCORP, INC.</t>
        </is>
      </c>
      <c r="D2880" t="n">
        <v>6022</v>
      </c>
    </row>
    <row r="2881">
      <c r="A2881" t="inlineStr">
        <is>
          <t>PARKER HANNIFIN CORP</t>
        </is>
      </c>
      <c r="B2881" t="inlineStr">
        <is>
          <t>PH</t>
        </is>
      </c>
      <c r="C2881" t="inlineStr">
        <is>
          <t>PARKER HANNIFIN CORP</t>
        </is>
      </c>
      <c r="D2881" t="n">
        <v>3490</v>
      </c>
    </row>
    <row r="2882">
      <c r="A2882" t="inlineStr">
        <is>
          <t>PARKS AMERICA, INC</t>
        </is>
      </c>
      <c r="B2882" t="inlineStr">
        <is>
          <t>PRKA</t>
        </is>
      </c>
      <c r="C2882" t="inlineStr">
        <is>
          <t>PARKS AMERICA, INC</t>
        </is>
      </c>
      <c r="D2882" t="n">
        <v>7990</v>
      </c>
    </row>
    <row r="2883">
      <c r="A2883" t="inlineStr">
        <is>
          <t>PARKWAY ACQUISITION CORP.</t>
        </is>
      </c>
      <c r="B2883" t="inlineStr">
        <is>
          <t>PKKW</t>
        </is>
      </c>
      <c r="C2883" t="inlineStr">
        <is>
          <t>PARKWAY ACQUISITION CORP.</t>
        </is>
      </c>
      <c r="D2883" t="n">
        <v>6022</v>
      </c>
    </row>
    <row r="2884">
      <c r="A2884" t="inlineStr">
        <is>
          <t>PARSONS CORP</t>
        </is>
      </c>
      <c r="B2884" t="inlineStr">
        <is>
          <t>PSN</t>
        </is>
      </c>
      <c r="C2884" t="inlineStr">
        <is>
          <t>PARSONS CORP</t>
        </is>
      </c>
      <c r="D2884" t="n">
        <v>7373</v>
      </c>
    </row>
    <row r="2885">
      <c r="A2885" t="inlineStr">
        <is>
          <t>PARTNERS BANCORP</t>
        </is>
      </c>
      <c r="B2885" t="inlineStr">
        <is>
          <t>PTRS</t>
        </is>
      </c>
      <c r="C2885" t="inlineStr">
        <is>
          <t>PARTNERS BANCORP</t>
        </is>
      </c>
      <c r="D2885" t="n">
        <v>6022</v>
      </c>
    </row>
    <row r="2886">
      <c r="A2886" t="inlineStr">
        <is>
          <t>PARTS ID, INC.</t>
        </is>
      </c>
      <c r="B2886" t="inlineStr">
        <is>
          <t>ID</t>
        </is>
      </c>
      <c r="C2886" t="inlineStr">
        <is>
          <t>PARTS ID, INC.</t>
        </is>
      </c>
      <c r="D2886" t="n">
        <v>7311</v>
      </c>
    </row>
    <row r="2887">
      <c r="A2887" t="inlineStr">
        <is>
          <t>PARTY CITY HOLDCO INC.</t>
        </is>
      </c>
      <c r="B2887" t="inlineStr">
        <is>
          <t>PRTY</t>
        </is>
      </c>
      <c r="C2887" t="inlineStr">
        <is>
          <t>PARTY CITY HOLDCO INC.</t>
        </is>
      </c>
      <c r="D2887" t="n">
        <v>5900</v>
      </c>
    </row>
    <row r="2888">
      <c r="A2888" t="inlineStr">
        <is>
          <t>PATHFINDER BANCORP, INC.</t>
        </is>
      </c>
      <c r="B2888" t="inlineStr">
        <is>
          <t>PBHC</t>
        </is>
      </c>
      <c r="C2888" t="inlineStr">
        <is>
          <t>PATHFINDER BANCORP, INC.</t>
        </is>
      </c>
      <c r="D2888" t="n">
        <v>6022</v>
      </c>
    </row>
    <row r="2889">
      <c r="A2889" t="inlineStr">
        <is>
          <t>PATRICK INDUSTRIES INC</t>
        </is>
      </c>
      <c r="B2889" t="inlineStr">
        <is>
          <t>PATK</t>
        </is>
      </c>
      <c r="C2889" t="inlineStr">
        <is>
          <t>PATRICK INDUSTRIES INC</t>
        </is>
      </c>
      <c r="D2889" t="n">
        <v>3714</v>
      </c>
    </row>
    <row r="2890">
      <c r="A2890" t="inlineStr">
        <is>
          <t>PATRIOT NATIONAL BANCORP INC</t>
        </is>
      </c>
      <c r="B2890" t="inlineStr">
        <is>
          <t>PNBK</t>
        </is>
      </c>
      <c r="C2890" t="inlineStr">
        <is>
          <t>PATRIOT NATIONAL BANCORP INC</t>
        </is>
      </c>
      <c r="D2890" t="n">
        <v>6021</v>
      </c>
    </row>
    <row r="2891">
      <c r="A2891" t="inlineStr">
        <is>
          <t>PATRIOT TRANSPORTATION HOLDING, INC.</t>
        </is>
      </c>
      <c r="B2891" t="inlineStr">
        <is>
          <t>PATI</t>
        </is>
      </c>
      <c r="C2891" t="inlineStr">
        <is>
          <t>PATRIOT TRANSPORTATION HOLDING, INC.</t>
        </is>
      </c>
      <c r="D2891" t="n">
        <v>4210</v>
      </c>
    </row>
    <row r="2892">
      <c r="A2892" t="inlineStr">
        <is>
          <t>PATTERSON COMPANIES, INC.</t>
        </is>
      </c>
      <c r="B2892" t="inlineStr">
        <is>
          <t>PDCO</t>
        </is>
      </c>
      <c r="C2892" t="inlineStr">
        <is>
          <t>PATTERSON COMPANIES, INC.</t>
        </is>
      </c>
      <c r="D2892" t="n">
        <v>5047</v>
      </c>
    </row>
    <row r="2893">
      <c r="A2893" t="inlineStr">
        <is>
          <t>PATTERSON UTI ENERGY INC</t>
        </is>
      </c>
      <c r="B2893" t="inlineStr">
        <is>
          <t>PTEN</t>
        </is>
      </c>
      <c r="C2893" t="inlineStr">
        <is>
          <t>PATTERSON UTI ENERGY INC</t>
        </is>
      </c>
      <c r="D2893" t="n">
        <v>1381</v>
      </c>
    </row>
    <row r="2894">
      <c r="A2894" t="inlineStr">
        <is>
          <t>PAYA HOLDINGS INC.</t>
        </is>
      </c>
      <c r="B2894" t="inlineStr">
        <is>
          <t>PAYA</t>
        </is>
      </c>
      <c r="C2894" t="inlineStr">
        <is>
          <t>PAYA HOLDINGS INC.</t>
        </is>
      </c>
      <c r="D2894" t="n">
        <v>7389</v>
      </c>
    </row>
    <row r="2895">
      <c r="A2895" t="inlineStr">
        <is>
          <t>PAYCHEX INC</t>
        </is>
      </c>
      <c r="B2895" t="inlineStr">
        <is>
          <t>PAYX</t>
        </is>
      </c>
      <c r="C2895" t="inlineStr">
        <is>
          <t>PAYCHEX INC</t>
        </is>
      </c>
      <c r="D2895" t="n">
        <v>8700</v>
      </c>
    </row>
    <row r="2896">
      <c r="A2896" t="inlineStr">
        <is>
          <t>PAYCOM SOFTWARE, INC.</t>
        </is>
      </c>
      <c r="B2896" t="inlineStr">
        <is>
          <t>PAYC</t>
        </is>
      </c>
      <c r="C2896" t="inlineStr">
        <is>
          <t>PAYCOM SOFTWARE, INC.</t>
        </is>
      </c>
      <c r="D2896" t="n">
        <v>7372</v>
      </c>
    </row>
    <row r="2897">
      <c r="A2897" t="inlineStr">
        <is>
          <t>PAYCOR HCM, INC.</t>
        </is>
      </c>
      <c r="B2897" t="inlineStr">
        <is>
          <t>PYCR</t>
        </is>
      </c>
      <c r="C2897" t="inlineStr">
        <is>
          <t>PAYCOR HCM, INC.</t>
        </is>
      </c>
      <c r="D2897" t="n">
        <v>7372</v>
      </c>
    </row>
    <row r="2898">
      <c r="A2898" t="inlineStr">
        <is>
          <t>PAYLOCITY HOLDING CORP</t>
        </is>
      </c>
      <c r="B2898" t="inlineStr">
        <is>
          <t>PCTY</t>
        </is>
      </c>
      <c r="C2898" t="inlineStr">
        <is>
          <t>PAYLOCITY HOLDING CORP</t>
        </is>
      </c>
      <c r="D2898" t="n">
        <v>7372</v>
      </c>
    </row>
    <row r="2899">
      <c r="A2899" t="inlineStr">
        <is>
          <t>PAYMENTUS HOLDINGS, INC.</t>
        </is>
      </c>
      <c r="B2899" t="inlineStr">
        <is>
          <t>PAY</t>
        </is>
      </c>
      <c r="C2899" t="inlineStr">
        <is>
          <t>PAYMENTUS HOLDINGS, INC.</t>
        </is>
      </c>
      <c r="D2899" t="n">
        <v>7389</v>
      </c>
    </row>
    <row r="2900">
      <c r="A2900" t="inlineStr">
        <is>
          <t>PAYONEER GLOBAL INC.</t>
        </is>
      </c>
      <c r="B2900" t="inlineStr">
        <is>
          <t>PAYO</t>
        </is>
      </c>
      <c r="C2900" t="inlineStr">
        <is>
          <t>PAYONEER GLOBAL INC.</t>
        </is>
      </c>
      <c r="D2900" t="n">
        <v>7389</v>
      </c>
    </row>
    <row r="2901">
      <c r="A2901" t="inlineStr">
        <is>
          <t>PAYPAL HOLDINGS, INC.</t>
        </is>
      </c>
      <c r="B2901" t="inlineStr">
        <is>
          <t>PYPL</t>
        </is>
      </c>
      <c r="C2901" t="inlineStr">
        <is>
          <t>PAYPAL HOLDINGS, INC.</t>
        </is>
      </c>
      <c r="D2901" t="n">
        <v>7389</v>
      </c>
    </row>
    <row r="2902">
      <c r="A2902" t="inlineStr">
        <is>
          <t>PAYSAFE LTD</t>
        </is>
      </c>
      <c r="B2902" t="inlineStr">
        <is>
          <t>PSFE</t>
        </is>
      </c>
      <c r="C2902" t="inlineStr">
        <is>
          <t>PAYSAFE LTD</t>
        </is>
      </c>
      <c r="D2902" t="n">
        <v>7389</v>
      </c>
    </row>
    <row r="2903">
      <c r="A2903" t="inlineStr">
        <is>
          <t>PAYSIGN, INC.</t>
        </is>
      </c>
      <c r="B2903" t="inlineStr">
        <is>
          <t>PAYS</t>
        </is>
      </c>
      <c r="C2903" t="inlineStr">
        <is>
          <t>PAYSIGN, INC.</t>
        </is>
      </c>
      <c r="D2903" t="n">
        <v>7389</v>
      </c>
    </row>
    <row r="2904">
      <c r="A2904" t="inlineStr">
        <is>
          <t>PB BANKSHARES, INC.</t>
        </is>
      </c>
      <c r="B2904" t="inlineStr">
        <is>
          <t>PBBK</t>
        </is>
      </c>
      <c r="C2904" t="inlineStr">
        <is>
          <t>PB BANKSHARES, INC.</t>
        </is>
      </c>
      <c r="D2904" t="n">
        <v>6036</v>
      </c>
    </row>
    <row r="2905">
      <c r="A2905" t="inlineStr">
        <is>
          <t>PBF ENERGY INC.</t>
        </is>
      </c>
      <c r="B2905" t="inlineStr">
        <is>
          <t>PBF</t>
        </is>
      </c>
      <c r="C2905" t="inlineStr">
        <is>
          <t>PBF ENERGY INC.</t>
        </is>
      </c>
      <c r="D2905" t="n">
        <v>2911</v>
      </c>
    </row>
    <row r="2906">
      <c r="A2906" t="inlineStr">
        <is>
          <t>PBF LOGISTICS LP</t>
        </is>
      </c>
      <c r="B2906" t="inlineStr">
        <is>
          <t>PBFX</t>
        </is>
      </c>
      <c r="C2906" t="inlineStr">
        <is>
          <t>PBF LOGISTICS LP</t>
        </is>
      </c>
      <c r="D2906" t="n">
        <v>4610</v>
      </c>
    </row>
    <row r="2907">
      <c r="A2907" t="inlineStr">
        <is>
          <t>PC CONNECTION INC</t>
        </is>
      </c>
      <c r="B2907" t="inlineStr">
        <is>
          <t>CNXN</t>
        </is>
      </c>
      <c r="C2907" t="inlineStr">
        <is>
          <t>PC CONNECTION INC</t>
        </is>
      </c>
      <c r="D2907" t="n">
        <v>5961</v>
      </c>
    </row>
    <row r="2908">
      <c r="A2908" t="inlineStr">
        <is>
          <t>PC TEL INC</t>
        </is>
      </c>
      <c r="B2908" t="inlineStr">
        <is>
          <t>PCTI</t>
        </is>
      </c>
      <c r="C2908" t="inlineStr">
        <is>
          <t>PC TEL INC</t>
        </is>
      </c>
      <c r="D2908" t="n">
        <v>3663</v>
      </c>
    </row>
    <row r="2909">
      <c r="A2909" t="inlineStr">
        <is>
          <t>PCB BANCORP</t>
        </is>
      </c>
      <c r="B2909" t="inlineStr">
        <is>
          <t>PCB</t>
        </is>
      </c>
      <c r="C2909" t="inlineStr">
        <is>
          <t>PCB BANCORP</t>
        </is>
      </c>
      <c r="D2909" t="n">
        <v>6022</v>
      </c>
    </row>
    <row r="2910">
      <c r="A2910" t="inlineStr">
        <is>
          <t>PCSB FINANCIAL CORP</t>
        </is>
      </c>
      <c r="B2910" t="inlineStr">
        <is>
          <t>PCSB</t>
        </is>
      </c>
      <c r="C2910" t="inlineStr">
        <is>
          <t>PCSB FINANCIAL CORP</t>
        </is>
      </c>
      <c r="D2910" t="n">
        <v>6036</v>
      </c>
    </row>
    <row r="2911">
      <c r="A2911" t="inlineStr">
        <is>
          <t>PDC ENERGY, INC.</t>
        </is>
      </c>
      <c r="B2911" t="inlineStr">
        <is>
          <t>PDCE</t>
        </is>
      </c>
      <c r="C2911" t="inlineStr">
        <is>
          <t>PDC ENERGY, INC.</t>
        </is>
      </c>
      <c r="D2911" t="n">
        <v>1311</v>
      </c>
    </row>
    <row r="2912">
      <c r="A2912" t="inlineStr">
        <is>
          <t>PDF SOLUTIONS INC</t>
        </is>
      </c>
      <c r="B2912" t="inlineStr">
        <is>
          <t>PDFS</t>
        </is>
      </c>
      <c r="C2912" t="inlineStr">
        <is>
          <t>PDF SOLUTIONS INC</t>
        </is>
      </c>
      <c r="D2912" t="n">
        <v>7372</v>
      </c>
    </row>
    <row r="2913">
      <c r="A2913" t="inlineStr">
        <is>
          <t>PEABODY ENERGY CORP</t>
        </is>
      </c>
      <c r="B2913" t="inlineStr">
        <is>
          <t>BTU</t>
        </is>
      </c>
      <c r="C2913" t="inlineStr">
        <is>
          <t>PEABODY ENERGY CORP</t>
        </is>
      </c>
      <c r="D2913" t="n">
        <v>1221</v>
      </c>
    </row>
    <row r="2914">
      <c r="A2914" t="inlineStr">
        <is>
          <t>PEAPACK GLADSTONE FINANCIAL CORP</t>
        </is>
      </c>
      <c r="B2914" t="inlineStr">
        <is>
          <t>PGC</t>
        </is>
      </c>
      <c r="C2914" t="inlineStr">
        <is>
          <t>PEAPACK GLADSTONE FINANCIAL CORP</t>
        </is>
      </c>
      <c r="D2914" t="n">
        <v>6029</v>
      </c>
    </row>
    <row r="2915">
      <c r="A2915" t="inlineStr">
        <is>
          <t>PEAR THERAPEUTICS, INC.</t>
        </is>
      </c>
      <c r="B2915" t="inlineStr">
        <is>
          <t>PEAR</t>
        </is>
      </c>
      <c r="C2915" t="inlineStr">
        <is>
          <t>PEAR THERAPEUTICS, INC.</t>
        </is>
      </c>
      <c r="D2915" t="n">
        <v>8000</v>
      </c>
    </row>
    <row r="2916">
      <c r="A2916" t="inlineStr">
        <is>
          <t>PEBBLEBROOK HOTEL TRUST</t>
        </is>
      </c>
      <c r="B2916" t="inlineStr">
        <is>
          <t>PEB</t>
        </is>
      </c>
      <c r="C2916" t="inlineStr">
        <is>
          <t>PEBBLEBROOK HOTEL TRUST</t>
        </is>
      </c>
      <c r="D2916" t="n">
        <v>6798</v>
      </c>
    </row>
    <row r="2917">
      <c r="A2917" t="inlineStr">
        <is>
          <t>PEDEVCO CORP</t>
        </is>
      </c>
      <c r="B2917" t="inlineStr">
        <is>
          <t>PED</t>
        </is>
      </c>
      <c r="C2917" t="inlineStr">
        <is>
          <t>PEDEVCO CORP</t>
        </is>
      </c>
      <c r="D2917" t="n">
        <v>1311</v>
      </c>
    </row>
    <row r="2918">
      <c r="A2918" t="inlineStr">
        <is>
          <t>PEGASYSTEMS INC</t>
        </is>
      </c>
      <c r="B2918" t="inlineStr">
        <is>
          <t>PEGA</t>
        </is>
      </c>
      <c r="C2918" t="inlineStr">
        <is>
          <t>PEGASYSTEMS INC</t>
        </is>
      </c>
      <c r="D2918" t="n">
        <v>7374</v>
      </c>
    </row>
    <row r="2919">
      <c r="A2919" t="inlineStr">
        <is>
          <t>PELOTON INTERACTIVE, INC.</t>
        </is>
      </c>
      <c r="B2919" t="inlineStr">
        <is>
          <t>PTON</t>
        </is>
      </c>
      <c r="C2919" t="inlineStr">
        <is>
          <t>PELOTON INTERACTIVE, INC.</t>
        </is>
      </c>
      <c r="D2919" t="n">
        <v>3949</v>
      </c>
    </row>
    <row r="2920">
      <c r="A2920" t="inlineStr">
        <is>
          <t>PENN NATIONAL GAMING INC</t>
        </is>
      </c>
      <c r="B2920" t="inlineStr">
        <is>
          <t>PENN</t>
        </is>
      </c>
      <c r="C2920" t="inlineStr">
        <is>
          <t>PENN NATIONAL GAMING INC</t>
        </is>
      </c>
      <c r="D2920" t="n">
        <v>7011</v>
      </c>
    </row>
    <row r="2921">
      <c r="A2921" t="inlineStr">
        <is>
          <t>PENNANT GROUP, INC.</t>
        </is>
      </c>
      <c r="B2921" t="inlineStr">
        <is>
          <t>PNTG</t>
        </is>
      </c>
      <c r="C2921" t="inlineStr">
        <is>
          <t>PENNANT GROUP, INC.</t>
        </is>
      </c>
      <c r="D2921" t="n">
        <v>8000</v>
      </c>
    </row>
    <row r="2922">
      <c r="A2922" t="inlineStr">
        <is>
          <t>PENNS WOODS BANCORP INC</t>
        </is>
      </c>
      <c r="B2922" t="inlineStr">
        <is>
          <t>PWOD</t>
        </is>
      </c>
      <c r="C2922" t="inlineStr">
        <is>
          <t>PENNS WOODS BANCORP INC</t>
        </is>
      </c>
      <c r="D2922" t="n">
        <v>6022</v>
      </c>
    </row>
    <row r="2923">
      <c r="A2923" t="inlineStr">
        <is>
          <t>PENNSYLVANIA REAL ESTATE INVESTMENT TRUST</t>
        </is>
      </c>
      <c r="B2923" t="inlineStr">
        <is>
          <t>PEI</t>
        </is>
      </c>
      <c r="C2923" t="inlineStr">
        <is>
          <t>PENNSYLVANIA REAL ESTATE INVESTMENT TRUST</t>
        </is>
      </c>
      <c r="D2923" t="n">
        <v>6798</v>
      </c>
    </row>
    <row r="2924">
      <c r="A2924" t="inlineStr">
        <is>
          <t>PENNYMAC FINANCIAL SERVICES, INC.</t>
        </is>
      </c>
      <c r="B2924" t="inlineStr">
        <is>
          <t>PFSI</t>
        </is>
      </c>
      <c r="C2924" t="inlineStr">
        <is>
          <t>PENNYMAC FINANCIAL SERVICES, INC.</t>
        </is>
      </c>
      <c r="D2924" t="n">
        <v>6162</v>
      </c>
    </row>
    <row r="2925">
      <c r="A2925" t="inlineStr">
        <is>
          <t>PENSKE AUTOMOTIVE GROUP, INC.</t>
        </is>
      </c>
      <c r="B2925" t="inlineStr">
        <is>
          <t>PAG</t>
        </is>
      </c>
      <c r="C2925" t="inlineStr">
        <is>
          <t>PENSKE AUTOMOTIVE GROUP, INC.</t>
        </is>
      </c>
      <c r="D2925" t="n">
        <v>5500</v>
      </c>
    </row>
    <row r="2926">
      <c r="A2926" t="inlineStr">
        <is>
          <t>PENTAIR PLC</t>
        </is>
      </c>
      <c r="B2926" t="inlineStr">
        <is>
          <t>PNR</t>
        </is>
      </c>
      <c r="C2926" t="inlineStr">
        <is>
          <t>PENTAIR PLC</t>
        </is>
      </c>
      <c r="D2926" t="n">
        <v>3550</v>
      </c>
    </row>
    <row r="2927">
      <c r="A2927" t="inlineStr">
        <is>
          <t>PENUMBRA INC</t>
        </is>
      </c>
      <c r="B2927" t="inlineStr">
        <is>
          <t>PEN</t>
        </is>
      </c>
      <c r="C2927" t="inlineStr">
        <is>
          <t>PENUMBRA INC</t>
        </is>
      </c>
      <c r="D2927" t="n">
        <v>3841</v>
      </c>
    </row>
    <row r="2928">
      <c r="A2928" t="inlineStr">
        <is>
          <t>PEOPLES BANCORP INC</t>
        </is>
      </c>
      <c r="B2928" t="inlineStr">
        <is>
          <t>PEBO</t>
        </is>
      </c>
      <c r="C2928" t="inlineStr">
        <is>
          <t>PEOPLES BANCORP INC</t>
        </is>
      </c>
      <c r="D2928" t="n">
        <v>6022</v>
      </c>
    </row>
    <row r="2929">
      <c r="A2929" t="inlineStr">
        <is>
          <t>PEOPLES BANCORP OF NORTH CAROLINA INC</t>
        </is>
      </c>
      <c r="B2929" t="inlineStr">
        <is>
          <t>PEBK</t>
        </is>
      </c>
      <c r="C2929" t="inlineStr">
        <is>
          <t>PEOPLES BANCORP OF NORTH CAROLINA INC</t>
        </is>
      </c>
      <c r="D2929" t="n">
        <v>6022</v>
      </c>
    </row>
    <row r="2930">
      <c r="A2930" t="inlineStr">
        <is>
          <t>PEOPLES FINANCIAL CORP /MS/</t>
        </is>
      </c>
      <c r="B2930" t="inlineStr">
        <is>
          <t>PFBX</t>
        </is>
      </c>
      <c r="C2930" t="inlineStr">
        <is>
          <t>PEOPLES FINANCIAL CORP /MS/</t>
        </is>
      </c>
      <c r="D2930" t="n">
        <v>6022</v>
      </c>
    </row>
    <row r="2931">
      <c r="A2931" t="inlineStr">
        <is>
          <t>PEOPLES FINANCIAL SERVICES CORP.</t>
        </is>
      </c>
      <c r="B2931" t="inlineStr">
        <is>
          <t>PFIS</t>
        </is>
      </c>
      <c r="C2931" t="inlineStr">
        <is>
          <t>PEOPLES FINANCIAL SERVICES CORP.</t>
        </is>
      </c>
      <c r="D2931" t="n">
        <v>6021</v>
      </c>
    </row>
    <row r="2932">
      <c r="A2932" t="inlineStr">
        <is>
          <t>PEPSICO INC</t>
        </is>
      </c>
      <c r="B2932" t="inlineStr">
        <is>
          <t>PEP</t>
        </is>
      </c>
      <c r="C2932" t="inlineStr">
        <is>
          <t>PEPSICO INC</t>
        </is>
      </c>
      <c r="D2932" t="n">
        <v>2080</v>
      </c>
    </row>
    <row r="2933">
      <c r="A2933" t="inlineStr">
        <is>
          <t>PERDOCEO EDUCATION CORP</t>
        </is>
      </c>
      <c r="B2933" t="inlineStr">
        <is>
          <t>PRDO</t>
        </is>
      </c>
      <c r="C2933" t="inlineStr">
        <is>
          <t>PERDOCEO EDUCATION CORP</t>
        </is>
      </c>
      <c r="D2933" t="n">
        <v>8200</v>
      </c>
    </row>
    <row r="2934">
      <c r="A2934" t="inlineStr">
        <is>
          <t>PERELLA WEINBERG PARTNERS</t>
        </is>
      </c>
      <c r="B2934" t="inlineStr">
        <is>
          <t>PWP</t>
        </is>
      </c>
      <c r="C2934" t="inlineStr">
        <is>
          <t>PERELLA WEINBERG PARTNERS</t>
        </is>
      </c>
      <c r="D2934" t="n">
        <v>6199</v>
      </c>
    </row>
    <row r="2935">
      <c r="A2935" t="inlineStr">
        <is>
          <t>PERFICIENT INC</t>
        </is>
      </c>
      <c r="B2935" t="inlineStr">
        <is>
          <t>PRFT</t>
        </is>
      </c>
      <c r="C2935" t="inlineStr">
        <is>
          <t>PERFICIENT INC</t>
        </is>
      </c>
      <c r="D2935" t="n">
        <v>7371</v>
      </c>
    </row>
    <row r="2936">
      <c r="A2936" t="inlineStr">
        <is>
          <t>PERFORMANCE FOOD GROUP CO</t>
        </is>
      </c>
      <c r="B2936" t="inlineStr">
        <is>
          <t>PFGC</t>
        </is>
      </c>
      <c r="C2936" t="inlineStr">
        <is>
          <t>PERFORMANCE FOOD GROUP CO</t>
        </is>
      </c>
      <c r="D2936" t="n">
        <v>5141</v>
      </c>
    </row>
    <row r="2937">
      <c r="A2937" t="inlineStr">
        <is>
          <t>PERFORMANT FINANCIAL CORP</t>
        </is>
      </c>
      <c r="B2937" t="inlineStr">
        <is>
          <t>PFMT</t>
        </is>
      </c>
      <c r="C2937" t="inlineStr">
        <is>
          <t>PERFORMANT FINANCIAL CORP</t>
        </is>
      </c>
      <c r="D2937" t="n">
        <v>7380</v>
      </c>
    </row>
    <row r="2938">
      <c r="A2938" t="inlineStr">
        <is>
          <t>PERION NETWORK LTD.</t>
        </is>
      </c>
      <c r="B2938" t="inlineStr">
        <is>
          <t>PERI</t>
        </is>
      </c>
      <c r="C2938" t="inlineStr">
        <is>
          <t>PERION NETWORK LTD.</t>
        </is>
      </c>
      <c r="D2938" t="n">
        <v>7371</v>
      </c>
    </row>
    <row r="2939">
      <c r="A2939" t="inlineStr">
        <is>
          <t>PERKINELMER INC</t>
        </is>
      </c>
      <c r="B2939" t="inlineStr">
        <is>
          <t>PKI</t>
        </is>
      </c>
      <c r="C2939" t="inlineStr">
        <is>
          <t>PERKINELMER INC</t>
        </is>
      </c>
      <c r="D2939" t="n">
        <v>3826</v>
      </c>
    </row>
    <row r="2940">
      <c r="A2940" t="inlineStr">
        <is>
          <t>PERMA FIX ENVIRONMENTAL SERVICES INC</t>
        </is>
      </c>
      <c r="B2940" t="inlineStr">
        <is>
          <t>PESI</t>
        </is>
      </c>
      <c r="C2940" t="inlineStr">
        <is>
          <t>PERMA FIX ENVIRONMENTAL SERVICES INC</t>
        </is>
      </c>
      <c r="D2940" t="n">
        <v>4955</v>
      </c>
    </row>
    <row r="2941">
      <c r="A2941" t="inlineStr">
        <is>
          <t>PERMA-PIPE INTERNATIONAL HOLDINGS, INC.</t>
        </is>
      </c>
      <c r="B2941" t="inlineStr">
        <is>
          <t>PPIH</t>
        </is>
      </c>
      <c r="C2941" t="inlineStr">
        <is>
          <t>PERMA-PIPE INTERNATIONAL HOLDINGS, INC.</t>
        </is>
      </c>
      <c r="D2941" t="n">
        <v>3564</v>
      </c>
    </row>
    <row r="2942">
      <c r="A2942" t="inlineStr">
        <is>
          <t>PERRIGO CO PLC</t>
        </is>
      </c>
      <c r="B2942" t="inlineStr">
        <is>
          <t>PRGO</t>
        </is>
      </c>
      <c r="C2942" t="inlineStr">
        <is>
          <t>PERRIGO CO PLC</t>
        </is>
      </c>
      <c r="D2942" t="n">
        <v>2834</v>
      </c>
    </row>
    <row r="2943">
      <c r="A2943" t="inlineStr">
        <is>
          <t>PERSONALIS, INC.</t>
        </is>
      </c>
      <c r="B2943" t="inlineStr">
        <is>
          <t>PSNL</t>
        </is>
      </c>
      <c r="C2943" t="inlineStr">
        <is>
          <t>PERSONALIS, INC.</t>
        </is>
      </c>
      <c r="D2943" t="n">
        <v>8071</v>
      </c>
    </row>
    <row r="2944">
      <c r="A2944" t="inlineStr">
        <is>
          <t>PETCO HEALTH &amp; WELLNESS COMPANY, INC.</t>
        </is>
      </c>
      <c r="B2944" t="inlineStr">
        <is>
          <t>WOOF</t>
        </is>
      </c>
      <c r="C2944" t="inlineStr">
        <is>
          <t>PETCO HEALTH &amp; WELLNESS COMPANY, INC.</t>
        </is>
      </c>
      <c r="D2944" t="n">
        <v>5990</v>
      </c>
    </row>
    <row r="2945">
      <c r="A2945" t="inlineStr">
        <is>
          <t>PETIQ, INC.</t>
        </is>
      </c>
      <c r="B2945" t="inlineStr">
        <is>
          <t>PETQ</t>
        </is>
      </c>
      <c r="C2945" t="inlineStr">
        <is>
          <t>PETIQ, INC.</t>
        </is>
      </c>
      <c r="D2945" t="n">
        <v>5122</v>
      </c>
    </row>
    <row r="2946">
      <c r="A2946" t="inlineStr">
        <is>
          <t>PETMED EXPRESS INC</t>
        </is>
      </c>
      <c r="B2946" t="inlineStr">
        <is>
          <t>PETS</t>
        </is>
      </c>
      <c r="C2946" t="inlineStr">
        <is>
          <t>PETMED EXPRESS INC</t>
        </is>
      </c>
      <c r="D2946" t="n">
        <v>5912</v>
      </c>
    </row>
    <row r="2947">
      <c r="A2947" t="inlineStr">
        <is>
          <t>PETROS PHARMACEUTICALS, INC.</t>
        </is>
      </c>
      <c r="B2947" t="inlineStr">
        <is>
          <t>PTPI</t>
        </is>
      </c>
      <c r="C2947" t="inlineStr">
        <is>
          <t>PETROS PHARMACEUTICALS, INC.</t>
        </is>
      </c>
      <c r="D2947" t="n">
        <v>2834</v>
      </c>
    </row>
    <row r="2948">
      <c r="A2948" t="inlineStr">
        <is>
          <t>PETROTEQ ENERGY INC.</t>
        </is>
      </c>
      <c r="B2948" t="inlineStr">
        <is>
          <t>PQEFF</t>
        </is>
      </c>
      <c r="C2948" t="inlineStr">
        <is>
          <t>PETROTEQ ENERGY INC.</t>
        </is>
      </c>
      <c r="D2948" t="n">
        <v>1381</v>
      </c>
    </row>
    <row r="2949">
      <c r="A2949" t="inlineStr">
        <is>
          <t>PFIZER INC</t>
        </is>
      </c>
      <c r="B2949" t="inlineStr">
        <is>
          <t>PFE</t>
        </is>
      </c>
      <c r="C2949" t="inlineStr">
        <is>
          <t>PFIZER INC</t>
        </is>
      </c>
      <c r="D2949" t="n">
        <v>2834</v>
      </c>
    </row>
    <row r="2950">
      <c r="A2950" t="inlineStr">
        <is>
          <t>PFSWEB INC</t>
        </is>
      </c>
      <c r="B2950" t="inlineStr">
        <is>
          <t>PFSW</t>
        </is>
      </c>
      <c r="C2950" t="inlineStr">
        <is>
          <t>PFSWEB INC</t>
        </is>
      </c>
      <c r="D2950" t="n">
        <v>7389</v>
      </c>
    </row>
    <row r="2951">
      <c r="A2951" t="inlineStr">
        <is>
          <t>PG&amp;E CORP</t>
        </is>
      </c>
      <c r="B2951" t="inlineStr">
        <is>
          <t>PCG</t>
        </is>
      </c>
      <c r="C2951" t="inlineStr">
        <is>
          <t>PG&amp;E CORP</t>
        </is>
      </c>
      <c r="D2951" t="n">
        <v>4931</v>
      </c>
    </row>
    <row r="2952">
      <c r="A2952" t="inlineStr">
        <is>
          <t>PGT INNOVATIONS, INC.</t>
        </is>
      </c>
      <c r="B2952" t="inlineStr">
        <is>
          <t>PGTI</t>
        </is>
      </c>
      <c r="C2952" t="inlineStr">
        <is>
          <t>PGT INNOVATIONS, INC.</t>
        </is>
      </c>
      <c r="D2952" t="n">
        <v>3442</v>
      </c>
    </row>
    <row r="2953">
      <c r="A2953" t="inlineStr">
        <is>
          <t>PHARMA-BIO SERV, INC.</t>
        </is>
      </c>
      <c r="B2953" t="inlineStr">
        <is>
          <t>PBSV</t>
        </is>
      </c>
      <c r="C2953" t="inlineStr">
        <is>
          <t>PHARMA-BIO SERV, INC.</t>
        </is>
      </c>
      <c r="D2953" t="n">
        <v>8742</v>
      </c>
    </row>
    <row r="2954">
      <c r="A2954" t="inlineStr">
        <is>
          <t>PHASEBIO PHARMACEUTICALS INC</t>
        </is>
      </c>
      <c r="B2954" t="inlineStr">
        <is>
          <t>PHAS</t>
        </is>
      </c>
      <c r="C2954" t="inlineStr">
        <is>
          <t>PHASEBIO PHARMACEUTICALS INC</t>
        </is>
      </c>
      <c r="D2954" t="n">
        <v>2834</v>
      </c>
    </row>
    <row r="2955">
      <c r="A2955" t="inlineStr">
        <is>
          <t>PHIBRO ANIMAL HEALTH CORP</t>
        </is>
      </c>
      <c r="B2955" t="inlineStr">
        <is>
          <t>PAHC</t>
        </is>
      </c>
      <c r="C2955" t="inlineStr">
        <is>
          <t>PHIBRO ANIMAL HEALTH CORP</t>
        </is>
      </c>
      <c r="D2955" t="n">
        <v>2834</v>
      </c>
    </row>
    <row r="2956">
      <c r="A2956" t="inlineStr">
        <is>
          <t>PHILIP MORRIS INTERNATIONAL INC.</t>
        </is>
      </c>
      <c r="B2956" t="inlineStr">
        <is>
          <t>PM</t>
        </is>
      </c>
      <c r="C2956" t="inlineStr">
        <is>
          <t>PHILIP MORRIS INTERNATIONAL INC.</t>
        </is>
      </c>
      <c r="D2956" t="n">
        <v>2111</v>
      </c>
    </row>
    <row r="2957">
      <c r="A2957" t="inlineStr">
        <is>
          <t>PHILLIPS 66</t>
        </is>
      </c>
      <c r="B2957" t="inlineStr">
        <is>
          <t>PSX</t>
        </is>
      </c>
      <c r="C2957" t="inlineStr">
        <is>
          <t>PHILLIPS 66</t>
        </is>
      </c>
      <c r="D2957" t="n">
        <v>2911</v>
      </c>
    </row>
    <row r="2958">
      <c r="A2958" t="inlineStr">
        <is>
          <t>PHILLIPS EDISON &amp; COMPANY, INC.</t>
        </is>
      </c>
      <c r="B2958" t="inlineStr">
        <is>
          <t>PECO</t>
        </is>
      </c>
      <c r="C2958" t="inlineStr">
        <is>
          <t>PHILLIPS EDISON &amp; COMPANY, INC.</t>
        </is>
      </c>
      <c r="D2958" t="n">
        <v>6798</v>
      </c>
    </row>
    <row r="2959">
      <c r="A2959" t="inlineStr">
        <is>
          <t>PHOENIX NEW MEDIA LTD</t>
        </is>
      </c>
      <c r="B2959" t="inlineStr">
        <is>
          <t>FENG</t>
        </is>
      </c>
      <c r="C2959" t="inlineStr">
        <is>
          <t>PHOENIX NEW MEDIA LTD</t>
        </is>
      </c>
      <c r="D2959" t="n">
        <v>4833</v>
      </c>
    </row>
    <row r="2960">
      <c r="A2960" t="inlineStr">
        <is>
          <t>PHOTRONICS INC</t>
        </is>
      </c>
      <c r="B2960" t="inlineStr">
        <is>
          <t>PLAB</t>
        </is>
      </c>
      <c r="C2960" t="inlineStr">
        <is>
          <t>PHOTRONICS INC</t>
        </is>
      </c>
      <c r="D2960" t="n">
        <v>3674</v>
      </c>
    </row>
    <row r="2961">
      <c r="A2961" t="inlineStr">
        <is>
          <t>PHREESIA, INC.</t>
        </is>
      </c>
      <c r="B2961" t="inlineStr">
        <is>
          <t>PHR</t>
        </is>
      </c>
      <c r="C2961" t="inlineStr">
        <is>
          <t>PHREESIA, INC.</t>
        </is>
      </c>
      <c r="D2961" t="n">
        <v>7389</v>
      </c>
    </row>
    <row r="2962">
      <c r="A2962" t="inlineStr">
        <is>
          <t>PHUNWARE, INC.</t>
        </is>
      </c>
      <c r="B2962" t="inlineStr">
        <is>
          <t>PHUN</t>
        </is>
      </c>
      <c r="C2962" t="inlineStr">
        <is>
          <t>PHUNWARE, INC.</t>
        </is>
      </c>
      <c r="D2962" t="n">
        <v>7374</v>
      </c>
    </row>
    <row r="2963">
      <c r="A2963" t="inlineStr">
        <is>
          <t>PHX MINERALS INC.</t>
        </is>
      </c>
      <c r="B2963" t="inlineStr">
        <is>
          <t>PHX</t>
        </is>
      </c>
      <c r="C2963" t="inlineStr">
        <is>
          <t>PHX MINERALS INC.</t>
        </is>
      </c>
      <c r="D2963" t="n">
        <v>1311</v>
      </c>
    </row>
    <row r="2964">
      <c r="A2964" t="inlineStr">
        <is>
          <t>PHYSICIANS REALTY TRUST</t>
        </is>
      </c>
      <c r="B2964" t="inlineStr">
        <is>
          <t>DOC</t>
        </is>
      </c>
      <c r="C2964" t="inlineStr">
        <is>
          <t>PHYSICIANS REALTY TRUST</t>
        </is>
      </c>
      <c r="D2964" t="n">
        <v>6798</v>
      </c>
    </row>
    <row r="2965">
      <c r="A2965" t="inlineStr">
        <is>
          <t>PIEDMONT OFFICE REALTY TRUST, INC.</t>
        </is>
      </c>
      <c r="B2965" t="inlineStr">
        <is>
          <t>PDM</t>
        </is>
      </c>
      <c r="C2965" t="inlineStr">
        <is>
          <t>PIEDMONT OFFICE REALTY TRUST, INC.</t>
        </is>
      </c>
      <c r="D2965" t="n">
        <v>6512</v>
      </c>
    </row>
    <row r="2966">
      <c r="A2966" t="inlineStr">
        <is>
          <t>PIERIS PHARMACEUTICALS, INC.</t>
        </is>
      </c>
      <c r="B2966" t="inlineStr">
        <is>
          <t>PIRS</t>
        </is>
      </c>
      <c r="C2966" t="inlineStr">
        <is>
          <t>PIERIS PHARMACEUTICALS, INC.</t>
        </is>
      </c>
      <c r="D2966" t="n">
        <v>2834</v>
      </c>
    </row>
    <row r="2967">
      <c r="A2967" t="inlineStr">
        <is>
          <t>PILGRIMS PRIDE CORP</t>
        </is>
      </c>
      <c r="B2967" t="inlineStr">
        <is>
          <t>PPC</t>
        </is>
      </c>
      <c r="C2967" t="inlineStr">
        <is>
          <t>PILGRIMS PRIDE CORP</t>
        </is>
      </c>
      <c r="D2967" t="n">
        <v>2015</v>
      </c>
    </row>
    <row r="2968">
      <c r="A2968" t="inlineStr">
        <is>
          <t>PINDUODUO INC.</t>
        </is>
      </c>
      <c r="B2968" t="inlineStr">
        <is>
          <t>PDD</t>
        </is>
      </c>
      <c r="C2968" t="inlineStr">
        <is>
          <t>PINDUODUO INC.</t>
        </is>
      </c>
      <c r="D2968" t="n">
        <v>7389</v>
      </c>
    </row>
    <row r="2969">
      <c r="A2969" t="inlineStr">
        <is>
          <t>PING IDENTITY HOLDING CORP.</t>
        </is>
      </c>
      <c r="B2969" t="inlineStr">
        <is>
          <t>PING</t>
        </is>
      </c>
      <c r="C2969" t="inlineStr">
        <is>
          <t>PING IDENTITY HOLDING CORP.</t>
        </is>
      </c>
      <c r="D2969" t="n">
        <v>7372</v>
      </c>
    </row>
    <row r="2970">
      <c r="A2970" t="inlineStr">
        <is>
          <t>PINGTAN MARINE ENTERPRISE LTD.</t>
        </is>
      </c>
      <c r="B2970" t="inlineStr">
        <is>
          <t>PME</t>
        </is>
      </c>
      <c r="C2970" t="inlineStr">
        <is>
          <t>PINGTAN MARINE ENTERPRISE LTD.</t>
        </is>
      </c>
      <c r="D2970" t="n">
        <v>900</v>
      </c>
    </row>
    <row r="2971">
      <c r="A2971" t="inlineStr">
        <is>
          <t>PINNACLE BANKSHARES CORP</t>
        </is>
      </c>
      <c r="B2971" t="inlineStr">
        <is>
          <t>PPBN</t>
        </is>
      </c>
      <c r="C2971" t="inlineStr">
        <is>
          <t>PINNACLE BANKSHARES CORP</t>
        </is>
      </c>
      <c r="D2971" t="n">
        <v>6021</v>
      </c>
    </row>
    <row r="2972">
      <c r="A2972" t="inlineStr">
        <is>
          <t>PINNACLE FINANCIAL PARTNERS INC</t>
        </is>
      </c>
      <c r="B2972" t="inlineStr">
        <is>
          <t>PNFP</t>
        </is>
      </c>
      <c r="C2972" t="inlineStr">
        <is>
          <t>PINNACLE FINANCIAL PARTNERS INC</t>
        </is>
      </c>
      <c r="D2972" t="n">
        <v>6021</v>
      </c>
    </row>
    <row r="2973">
      <c r="A2973" t="inlineStr">
        <is>
          <t>PINNACLE WEST CAPITAL CORP</t>
        </is>
      </c>
      <c r="B2973" t="inlineStr">
        <is>
          <t>PNW</t>
        </is>
      </c>
      <c r="C2973" t="inlineStr">
        <is>
          <t>PINNACLE WEST CAPITAL CORP</t>
        </is>
      </c>
      <c r="D2973" t="n">
        <v>4911</v>
      </c>
    </row>
    <row r="2974">
      <c r="A2974" t="inlineStr">
        <is>
          <t>PINTEC TECHNOLOGY HOLDINGS LTD</t>
        </is>
      </c>
      <c r="B2974" t="inlineStr">
        <is>
          <t>PT</t>
        </is>
      </c>
      <c r="C2974" t="inlineStr">
        <is>
          <t>PINTEC TECHNOLOGY HOLDINGS LTD</t>
        </is>
      </c>
      <c r="D2974" t="n">
        <v>7370</v>
      </c>
    </row>
    <row r="2975">
      <c r="A2975" t="inlineStr">
        <is>
          <t>PINTEREST, INC.</t>
        </is>
      </c>
      <c r="B2975" t="inlineStr">
        <is>
          <t>PINS</t>
        </is>
      </c>
      <c r="C2975" t="inlineStr">
        <is>
          <t>PINTEREST, INC.</t>
        </is>
      </c>
      <c r="D2975" t="n">
        <v>7370</v>
      </c>
    </row>
    <row r="2976">
      <c r="A2976" t="inlineStr">
        <is>
          <t>PIONEER BANCORP, INC./MD</t>
        </is>
      </c>
      <c r="B2976" t="inlineStr">
        <is>
          <t>PBFS</t>
        </is>
      </c>
      <c r="C2976" t="inlineStr">
        <is>
          <t>PIONEER BANCORP, INC./MD</t>
        </is>
      </c>
      <c r="D2976" t="n">
        <v>6036</v>
      </c>
    </row>
    <row r="2977">
      <c r="A2977" t="inlineStr">
        <is>
          <t>PIONEER NATURAL RESOURCES CO</t>
        </is>
      </c>
      <c r="B2977" t="inlineStr">
        <is>
          <t>PXD</t>
        </is>
      </c>
      <c r="C2977" t="inlineStr">
        <is>
          <t>PIONEER NATURAL RESOURCES CO</t>
        </is>
      </c>
      <c r="D2977" t="n">
        <v>1311</v>
      </c>
    </row>
    <row r="2978">
      <c r="A2978" t="inlineStr">
        <is>
          <t>PIONEER POWER SOLUTIONS, INC.</t>
        </is>
      </c>
      <c r="B2978" t="inlineStr">
        <is>
          <t>PPSI</t>
        </is>
      </c>
      <c r="C2978" t="inlineStr">
        <is>
          <t>PIONEER POWER SOLUTIONS, INC.</t>
        </is>
      </c>
      <c r="D2978" t="n">
        <v>3612</v>
      </c>
    </row>
    <row r="2979">
      <c r="A2979" t="inlineStr">
        <is>
          <t>PIPER SANDLER COMPANIES</t>
        </is>
      </c>
      <c r="B2979" t="inlineStr">
        <is>
          <t>PIPR</t>
        </is>
      </c>
      <c r="C2979" t="inlineStr">
        <is>
          <t>PIPER SANDLER COMPANIES</t>
        </is>
      </c>
      <c r="D2979" t="n">
        <v>6211</v>
      </c>
    </row>
    <row r="2980">
      <c r="A2980" t="inlineStr">
        <is>
          <t>PITNEY BOWES INC /DE/</t>
        </is>
      </c>
      <c r="B2980" t="inlineStr">
        <is>
          <t>PBI</t>
        </is>
      </c>
      <c r="C2980" t="inlineStr">
        <is>
          <t>PITNEY BOWES INC /DE/</t>
        </is>
      </c>
      <c r="D2980" t="n">
        <v>3579</v>
      </c>
    </row>
    <row r="2981">
      <c r="A2981" t="inlineStr">
        <is>
          <t>PIXELWORKS, INC</t>
        </is>
      </c>
      <c r="B2981" t="inlineStr">
        <is>
          <t>PXLW</t>
        </is>
      </c>
      <c r="C2981" t="inlineStr">
        <is>
          <t>PIXELWORKS, INC</t>
        </is>
      </c>
      <c r="D2981" t="n">
        <v>3674</v>
      </c>
    </row>
    <row r="2982">
      <c r="A2982" t="inlineStr">
        <is>
          <t>PJT PARTNERS INC.</t>
        </is>
      </c>
      <c r="B2982" t="inlineStr">
        <is>
          <t>PJT</t>
        </is>
      </c>
      <c r="C2982" t="inlineStr">
        <is>
          <t>PJT PARTNERS INC.</t>
        </is>
      </c>
      <c r="D2982" t="n">
        <v>6282</v>
      </c>
    </row>
    <row r="2983">
      <c r="A2983" t="inlineStr">
        <is>
          <t>PLAINS ALL AMERICAN PIPELINE LP</t>
        </is>
      </c>
      <c r="B2983" t="inlineStr">
        <is>
          <t>PAA</t>
        </is>
      </c>
      <c r="C2983" t="inlineStr">
        <is>
          <t>PLAINS ALL AMERICAN PIPELINE LP</t>
        </is>
      </c>
      <c r="D2983" t="n">
        <v>4610</v>
      </c>
    </row>
    <row r="2984">
      <c r="A2984" t="inlineStr">
        <is>
          <t>PLAINS GP HOLDINGS LP</t>
        </is>
      </c>
      <c r="B2984" t="inlineStr">
        <is>
          <t>PAGP</t>
        </is>
      </c>
      <c r="C2984" t="inlineStr">
        <is>
          <t>PLAINS GP HOLDINGS LP</t>
        </is>
      </c>
      <c r="D2984" t="n">
        <v>4610</v>
      </c>
    </row>
    <row r="2985">
      <c r="A2985" t="inlineStr">
        <is>
          <t>PLANET FITNESS, INC.</t>
        </is>
      </c>
      <c r="B2985" t="inlineStr">
        <is>
          <t>PLNT</t>
        </is>
      </c>
      <c r="C2985" t="inlineStr">
        <is>
          <t>PLANET FITNESS, INC.</t>
        </is>
      </c>
      <c r="D2985" t="n">
        <v>7997</v>
      </c>
    </row>
    <row r="2986">
      <c r="A2986" t="inlineStr">
        <is>
          <t>PLANET GREEN HOLDINGS CORP.</t>
        </is>
      </c>
      <c r="B2986" t="inlineStr">
        <is>
          <t>PLAG</t>
        </is>
      </c>
      <c r="C2986" t="inlineStr">
        <is>
          <t>PLANET GREEN HOLDINGS CORP.</t>
        </is>
      </c>
      <c r="D2986" t="n">
        <v>2030</v>
      </c>
    </row>
    <row r="2987">
      <c r="A2987" t="inlineStr">
        <is>
          <t>PLANET LABS PBC</t>
        </is>
      </c>
      <c r="B2987" t="inlineStr">
        <is>
          <t>PL</t>
        </is>
      </c>
      <c r="C2987" t="inlineStr">
        <is>
          <t>PLANET LABS PBC</t>
        </is>
      </c>
      <c r="D2987" t="n">
        <v>3663</v>
      </c>
    </row>
    <row r="2988">
      <c r="A2988" t="inlineStr">
        <is>
          <t>PLANTRONICS INC /CA/</t>
        </is>
      </c>
      <c r="B2988" t="inlineStr">
        <is>
          <t>POLY</t>
        </is>
      </c>
      <c r="C2988" t="inlineStr">
        <is>
          <t>PLANTRONICS INC /CA/</t>
        </is>
      </c>
      <c r="D2988" t="n">
        <v>3661</v>
      </c>
    </row>
    <row r="2989">
      <c r="A2989" t="inlineStr">
        <is>
          <t>PLAYA HOTELS &amp; RESORTS N.V.</t>
        </is>
      </c>
      <c r="B2989" t="inlineStr">
        <is>
          <t>PLYA</t>
        </is>
      </c>
      <c r="C2989" t="inlineStr">
        <is>
          <t>PLAYA HOTELS &amp; RESORTS N.V.</t>
        </is>
      </c>
      <c r="D2989" t="n">
        <v>7011</v>
      </c>
    </row>
    <row r="2990">
      <c r="A2990" t="inlineStr">
        <is>
          <t>PLAYAGS, INC.</t>
        </is>
      </c>
      <c r="B2990" t="inlineStr">
        <is>
          <t>AGS</t>
        </is>
      </c>
      <c r="C2990" t="inlineStr">
        <is>
          <t>PLAYAGS, INC.</t>
        </is>
      </c>
      <c r="D2990" t="n">
        <v>3990</v>
      </c>
    </row>
    <row r="2991">
      <c r="A2991" t="inlineStr">
        <is>
          <t>PLAYSTUDIOS, INC.</t>
        </is>
      </c>
      <c r="B2991" t="inlineStr">
        <is>
          <t>MYPS</t>
        </is>
      </c>
      <c r="C2991" t="inlineStr">
        <is>
          <t>PLAYSTUDIOS, INC.</t>
        </is>
      </c>
      <c r="D2991" t="n">
        <v>7372</v>
      </c>
    </row>
    <row r="2992">
      <c r="A2992" t="inlineStr">
        <is>
          <t>PLAYTIKA HOLDING CORP.</t>
        </is>
      </c>
      <c r="B2992" t="inlineStr">
        <is>
          <t>PLTK</t>
        </is>
      </c>
      <c r="C2992" t="inlineStr">
        <is>
          <t>PLAYTIKA HOLDING CORP.</t>
        </is>
      </c>
      <c r="D2992" t="n">
        <v>7374</v>
      </c>
    </row>
    <row r="2993">
      <c r="A2993" t="inlineStr">
        <is>
          <t>PLBY GROUP, INC.</t>
        </is>
      </c>
      <c r="B2993" t="inlineStr">
        <is>
          <t>PLBY</t>
        </is>
      </c>
      <c r="C2993" t="inlineStr">
        <is>
          <t>PLBY GROUP, INC.</t>
        </is>
      </c>
      <c r="D2993" t="n">
        <v>5900</v>
      </c>
    </row>
    <row r="2994">
      <c r="A2994" t="inlineStr">
        <is>
          <t>PLEXUS CORP</t>
        </is>
      </c>
      <c r="B2994" t="inlineStr">
        <is>
          <t>PLXS</t>
        </is>
      </c>
      <c r="C2994" t="inlineStr">
        <is>
          <t>PLEXUS CORP</t>
        </is>
      </c>
      <c r="D2994" t="n">
        <v>3672</v>
      </c>
    </row>
    <row r="2995">
      <c r="A2995" t="inlineStr">
        <is>
          <t>PLIANT THERAPEUTICS, INC.</t>
        </is>
      </c>
      <c r="B2995" t="inlineStr">
        <is>
          <t>PLRX</t>
        </is>
      </c>
      <c r="C2995" t="inlineStr">
        <is>
          <t>PLIANT THERAPEUTICS, INC.</t>
        </is>
      </c>
      <c r="D2995" t="n">
        <v>2834</v>
      </c>
    </row>
    <row r="2996">
      <c r="A2996" t="inlineStr">
        <is>
          <t>PLUMAS BANCORP</t>
        </is>
      </c>
      <c r="B2996" t="inlineStr">
        <is>
          <t>PLBC</t>
        </is>
      </c>
      <c r="C2996" t="inlineStr">
        <is>
          <t>PLUMAS BANCORP</t>
        </is>
      </c>
      <c r="D2996" t="n">
        <v>6153</v>
      </c>
    </row>
    <row r="2997">
      <c r="A2997" t="inlineStr">
        <is>
          <t>PLURISTEM THERAPEUTICS INC</t>
        </is>
      </c>
      <c r="B2997" t="inlineStr">
        <is>
          <t>PSTI</t>
        </is>
      </c>
      <c r="C2997" t="inlineStr">
        <is>
          <t>PLURISTEM THERAPEUTICS INC</t>
        </is>
      </c>
      <c r="D2997" t="n">
        <v>2836</v>
      </c>
    </row>
    <row r="2998">
      <c r="A2998" t="inlineStr">
        <is>
          <t>PLX PHARMA INC.</t>
        </is>
      </c>
      <c r="B2998" t="inlineStr">
        <is>
          <t>PLXP</t>
        </is>
      </c>
      <c r="C2998" t="inlineStr">
        <is>
          <t>PLX PHARMA INC.</t>
        </is>
      </c>
      <c r="D2998" t="n">
        <v>2834</v>
      </c>
    </row>
    <row r="2999">
      <c r="A2999" t="inlineStr">
        <is>
          <t>PLYMOUTH INDUSTRIAL REIT, INC.</t>
        </is>
      </c>
      <c r="B2999" t="inlineStr">
        <is>
          <t>PLYM</t>
        </is>
      </c>
      <c r="C2999" t="inlineStr">
        <is>
          <t>PLYMOUTH INDUSTRIAL REIT, INC.</t>
        </is>
      </c>
      <c r="D2999" t="n">
        <v>6798</v>
      </c>
    </row>
    <row r="3000">
      <c r="A3000" t="inlineStr">
        <is>
          <t>PMV PHARMACEUTICALS, INC.</t>
        </is>
      </c>
      <c r="B3000" t="inlineStr">
        <is>
          <t>PMVP</t>
        </is>
      </c>
      <c r="C3000" t="inlineStr">
        <is>
          <t>PMV PHARMACEUTICALS, INC.</t>
        </is>
      </c>
      <c r="D3000" t="n">
        <v>2834</v>
      </c>
    </row>
    <row r="3001">
      <c r="A3001" t="inlineStr">
        <is>
          <t>PNC FINANCIAL SERVICES GROUP, INC.</t>
        </is>
      </c>
      <c r="B3001" t="inlineStr">
        <is>
          <t>PNC</t>
        </is>
      </c>
      <c r="C3001" t="inlineStr">
        <is>
          <t>PNC FINANCIAL SERVICES GROUP, INC.</t>
        </is>
      </c>
      <c r="D3001" t="n">
        <v>6021</v>
      </c>
    </row>
    <row r="3002">
      <c r="A3002" t="inlineStr">
        <is>
          <t>PNM RESOURCES INC</t>
        </is>
      </c>
      <c r="B3002" t="inlineStr">
        <is>
          <t>PNM</t>
        </is>
      </c>
      <c r="C3002" t="inlineStr">
        <is>
          <t>PNM RESOURCES INC</t>
        </is>
      </c>
      <c r="D3002" t="n">
        <v>4911</v>
      </c>
    </row>
    <row r="3003">
      <c r="A3003" t="inlineStr">
        <is>
          <t>POLAR POWER, INC.</t>
        </is>
      </c>
      <c r="B3003" t="inlineStr">
        <is>
          <t>POLA</t>
        </is>
      </c>
      <c r="C3003" t="inlineStr">
        <is>
          <t>POLAR POWER, INC.</t>
        </is>
      </c>
      <c r="D3003" t="n">
        <v>3690</v>
      </c>
    </row>
    <row r="3004">
      <c r="A3004" t="inlineStr">
        <is>
          <t>POLARIS INC.</t>
        </is>
      </c>
      <c r="B3004" t="inlineStr">
        <is>
          <t>PII</t>
        </is>
      </c>
      <c r="C3004" t="inlineStr">
        <is>
          <t>POLARIS INC.</t>
        </is>
      </c>
      <c r="D3004" t="n">
        <v>3790</v>
      </c>
    </row>
    <row r="3005">
      <c r="A3005" t="inlineStr">
        <is>
          <t>POLARITYTE, INC.</t>
        </is>
      </c>
      <c r="B3005" t="inlineStr">
        <is>
          <t>PTE</t>
        </is>
      </c>
      <c r="C3005" t="inlineStr">
        <is>
          <t>POLARITYTE, INC.</t>
        </is>
      </c>
      <c r="D3005" t="n">
        <v>2836</v>
      </c>
    </row>
    <row r="3006">
      <c r="A3006" t="inlineStr">
        <is>
          <t>PONCE FINANCIAL GROUP, INC.</t>
        </is>
      </c>
      <c r="B3006" t="inlineStr">
        <is>
          <t>PDLB</t>
        </is>
      </c>
      <c r="C3006" t="inlineStr">
        <is>
          <t>PONCE FINANCIAL GROUP, INC.</t>
        </is>
      </c>
      <c r="D3006" t="n">
        <v>6035</v>
      </c>
    </row>
    <row r="3007">
      <c r="A3007" t="inlineStr">
        <is>
          <t>POOL CORP</t>
        </is>
      </c>
      <c r="B3007" t="inlineStr">
        <is>
          <t>POOL</t>
        </is>
      </c>
      <c r="C3007" t="inlineStr">
        <is>
          <t>POOL CORP</t>
        </is>
      </c>
      <c r="D3007" t="n">
        <v>5090</v>
      </c>
    </row>
    <row r="3008">
      <c r="A3008" t="inlineStr">
        <is>
          <t>POP CULTURE GROUP CO., LTD</t>
        </is>
      </c>
      <c r="B3008" t="inlineStr">
        <is>
          <t>CPOP</t>
        </is>
      </c>
      <c r="C3008" t="inlineStr">
        <is>
          <t>POP CULTURE GROUP CO., LTD</t>
        </is>
      </c>
      <c r="D3008" t="n">
        <v>7900</v>
      </c>
    </row>
    <row r="3009">
      <c r="A3009" t="inlineStr">
        <is>
          <t>POPULAR, INC.</t>
        </is>
      </c>
      <c r="B3009" t="inlineStr">
        <is>
          <t>BPOP</t>
        </is>
      </c>
      <c r="C3009" t="inlineStr">
        <is>
          <t>POPULAR, INC.</t>
        </is>
      </c>
      <c r="D3009" t="n">
        <v>6022</v>
      </c>
    </row>
    <row r="3010">
      <c r="A3010" t="inlineStr">
        <is>
          <t>PORCH GROUP, INC.</t>
        </is>
      </c>
      <c r="B3010" t="inlineStr">
        <is>
          <t>PRCH</t>
        </is>
      </c>
      <c r="C3010" t="inlineStr">
        <is>
          <t>PORCH GROUP, INC.</t>
        </is>
      </c>
      <c r="D3010" t="n">
        <v>7372</v>
      </c>
    </row>
    <row r="3011">
      <c r="A3011" t="inlineStr">
        <is>
          <t>PORTILLO'S INC.</t>
        </is>
      </c>
      <c r="B3011" t="inlineStr">
        <is>
          <t>PTLO</t>
        </is>
      </c>
      <c r="C3011" t="inlineStr">
        <is>
          <t>PORTILLO'S INC.</t>
        </is>
      </c>
      <c r="D3011" t="n">
        <v>5812</v>
      </c>
    </row>
    <row r="3012">
      <c r="A3012" t="inlineStr">
        <is>
          <t>PORTLAND GENERAL ELECTRIC CO /OR/</t>
        </is>
      </c>
      <c r="B3012" t="inlineStr">
        <is>
          <t>POR</t>
        </is>
      </c>
      <c r="C3012" t="inlineStr">
        <is>
          <t>PORTLAND GENERAL ELECTRIC CO /OR/</t>
        </is>
      </c>
      <c r="D3012" t="n">
        <v>4911</v>
      </c>
    </row>
    <row r="3013">
      <c r="A3013" t="inlineStr">
        <is>
          <t>PORTSMOUTH SQUARE INC</t>
        </is>
      </c>
      <c r="B3013" t="inlineStr">
        <is>
          <t>PRSI</t>
        </is>
      </c>
      <c r="C3013" t="inlineStr">
        <is>
          <t>PORTSMOUTH SQUARE INC</t>
        </is>
      </c>
      <c r="D3013" t="n">
        <v>6552</v>
      </c>
    </row>
    <row r="3014">
      <c r="A3014" t="inlineStr">
        <is>
          <t>POSHMARK, INC.</t>
        </is>
      </c>
      <c r="B3014" t="inlineStr">
        <is>
          <t>POSH</t>
        </is>
      </c>
      <c r="C3014" t="inlineStr">
        <is>
          <t>POSHMARK, INC.</t>
        </is>
      </c>
      <c r="D3014" t="n">
        <v>5961</v>
      </c>
    </row>
    <row r="3015">
      <c r="A3015" t="inlineStr">
        <is>
          <t>POST HOLDINGS, INC.</t>
        </is>
      </c>
      <c r="B3015" t="inlineStr">
        <is>
          <t>POST</t>
        </is>
      </c>
      <c r="C3015" t="inlineStr">
        <is>
          <t>POST HOLDINGS, INC.</t>
        </is>
      </c>
      <c r="D3015" t="n">
        <v>2040</v>
      </c>
    </row>
    <row r="3016">
      <c r="A3016" t="inlineStr">
        <is>
          <t>POSTAL REALTY TRUST, INC.</t>
        </is>
      </c>
      <c r="B3016" t="inlineStr">
        <is>
          <t>PSTL</t>
        </is>
      </c>
      <c r="C3016" t="inlineStr">
        <is>
          <t>POSTAL REALTY TRUST, INC.</t>
        </is>
      </c>
      <c r="D3016" t="n">
        <v>6798</v>
      </c>
    </row>
    <row r="3017">
      <c r="A3017" t="inlineStr">
        <is>
          <t>POTBELLY CORP</t>
        </is>
      </c>
      <c r="B3017" t="inlineStr">
        <is>
          <t>PBPB</t>
        </is>
      </c>
      <c r="C3017" t="inlineStr">
        <is>
          <t>POTBELLY CORP</t>
        </is>
      </c>
      <c r="D3017" t="n">
        <v>5812</v>
      </c>
    </row>
    <row r="3018">
      <c r="A3018" t="inlineStr">
        <is>
          <t>POTLATCHDELTIC CORP</t>
        </is>
      </c>
      <c r="B3018" t="inlineStr">
        <is>
          <t>PCH</t>
        </is>
      </c>
      <c r="C3018" t="inlineStr">
        <is>
          <t>POTLATCHDELTIC CORP</t>
        </is>
      </c>
      <c r="D3018" t="n">
        <v>6798</v>
      </c>
    </row>
    <row r="3019">
      <c r="A3019" t="inlineStr">
        <is>
          <t>POWELL INDUSTRIES INC</t>
        </is>
      </c>
      <c r="B3019" t="inlineStr">
        <is>
          <t>POWL</t>
        </is>
      </c>
      <c r="C3019" t="inlineStr">
        <is>
          <t>POWELL INDUSTRIES INC</t>
        </is>
      </c>
      <c r="D3019" t="n">
        <v>3613</v>
      </c>
    </row>
    <row r="3020">
      <c r="A3020" t="inlineStr">
        <is>
          <t>POWER INTEGRATIONS INC</t>
        </is>
      </c>
      <c r="B3020" t="inlineStr">
        <is>
          <t>POWI</t>
        </is>
      </c>
      <c r="C3020" t="inlineStr">
        <is>
          <t>POWER INTEGRATIONS INC</t>
        </is>
      </c>
      <c r="D3020" t="n">
        <v>3674</v>
      </c>
    </row>
    <row r="3021">
      <c r="A3021" t="inlineStr">
        <is>
          <t>POWER REIT</t>
        </is>
      </c>
      <c r="B3021" t="inlineStr">
        <is>
          <t>PW</t>
        </is>
      </c>
      <c r="C3021" t="inlineStr">
        <is>
          <t>POWER REIT</t>
        </is>
      </c>
      <c r="D3021" t="n">
        <v>6798</v>
      </c>
    </row>
    <row r="3022">
      <c r="A3022" t="inlineStr">
        <is>
          <t>POWER SOLUTIONS INTERNATIONAL, INC.</t>
        </is>
      </c>
      <c r="B3022" t="inlineStr">
        <is>
          <t>PSIX</t>
        </is>
      </c>
      <c r="C3022" t="inlineStr">
        <is>
          <t>POWER SOLUTIONS INTERNATIONAL, INC.</t>
        </is>
      </c>
      <c r="D3022" t="n">
        <v>3510</v>
      </c>
    </row>
    <row r="3023">
      <c r="A3023" t="inlineStr">
        <is>
          <t>POWERBRIDGE TECHNOLOGIES CO., LTD.</t>
        </is>
      </c>
      <c r="B3023" t="inlineStr">
        <is>
          <t>PBTS</t>
        </is>
      </c>
      <c r="C3023" t="inlineStr">
        <is>
          <t>POWERBRIDGE TECHNOLOGIES CO., LTD.</t>
        </is>
      </c>
      <c r="D3023" t="n">
        <v>7371</v>
      </c>
    </row>
    <row r="3024">
      <c r="A3024" t="inlineStr">
        <is>
          <t>POWERFLEET, INC.</t>
        </is>
      </c>
      <c r="B3024" t="inlineStr">
        <is>
          <t>PWFL</t>
        </is>
      </c>
      <c r="C3024" t="inlineStr">
        <is>
          <t>POWERFLEET, INC.</t>
        </is>
      </c>
      <c r="D3024" t="n">
        <v>3669</v>
      </c>
    </row>
    <row r="3025">
      <c r="A3025" t="inlineStr">
        <is>
          <t>POWERSCHOOL HOLDINGS, INC.</t>
        </is>
      </c>
      <c r="B3025" t="inlineStr">
        <is>
          <t>PWSC</t>
        </is>
      </c>
      <c r="C3025" t="inlineStr">
        <is>
          <t>POWERSCHOOL HOLDINGS, INC.</t>
        </is>
      </c>
      <c r="D3025" t="n">
        <v>7372</v>
      </c>
    </row>
    <row r="3026">
      <c r="A3026" t="inlineStr">
        <is>
          <t>PPG INDUSTRIES INC</t>
        </is>
      </c>
      <c r="B3026" t="inlineStr">
        <is>
          <t>PPG</t>
        </is>
      </c>
      <c r="C3026" t="inlineStr">
        <is>
          <t>PPG INDUSTRIES INC</t>
        </is>
      </c>
      <c r="D3026" t="n">
        <v>2851</v>
      </c>
    </row>
    <row r="3027">
      <c r="A3027" t="inlineStr">
        <is>
          <t>PPL CORP</t>
        </is>
      </c>
      <c r="B3027" t="inlineStr">
        <is>
          <t>PPL</t>
        </is>
      </c>
      <c r="C3027" t="inlineStr">
        <is>
          <t>PPL CORP</t>
        </is>
      </c>
      <c r="D3027" t="n">
        <v>4911</v>
      </c>
    </row>
    <row r="3028">
      <c r="A3028" t="inlineStr">
        <is>
          <t>PRA GROUP INC</t>
        </is>
      </c>
      <c r="B3028" t="inlineStr">
        <is>
          <t>PRAA</t>
        </is>
      </c>
      <c r="C3028" t="inlineStr">
        <is>
          <t>PRA GROUP INC</t>
        </is>
      </c>
      <c r="D3028" t="n">
        <v>7320</v>
      </c>
    </row>
    <row r="3029">
      <c r="A3029" t="inlineStr">
        <is>
          <t>PRECIGEN, INC.</t>
        </is>
      </c>
      <c r="B3029" t="inlineStr">
        <is>
          <t>PGEN</t>
        </is>
      </c>
      <c r="C3029" t="inlineStr">
        <is>
          <t>PRECIGEN, INC.</t>
        </is>
      </c>
      <c r="D3029" t="n">
        <v>2834</v>
      </c>
    </row>
    <row r="3030">
      <c r="A3030" t="inlineStr">
        <is>
          <t>PRECIPIO, INC.</t>
        </is>
      </c>
      <c r="B3030" t="inlineStr">
        <is>
          <t>PRPO</t>
        </is>
      </c>
      <c r="C3030" t="inlineStr">
        <is>
          <t>PRECIPIO, INC.</t>
        </is>
      </c>
      <c r="D3030" t="n">
        <v>3826</v>
      </c>
    </row>
    <row r="3031">
      <c r="A3031" t="inlineStr">
        <is>
          <t>PRECISION BIOSCIENCES INC</t>
        </is>
      </c>
      <c r="B3031" t="inlineStr">
        <is>
          <t>DTIL</t>
        </is>
      </c>
      <c r="C3031" t="inlineStr">
        <is>
          <t>PRECISION BIOSCIENCES INC</t>
        </is>
      </c>
      <c r="D3031" t="n">
        <v>2836</v>
      </c>
    </row>
    <row r="3032">
      <c r="A3032" t="inlineStr">
        <is>
          <t>PREDICTIVE ONCOLOGY INC.</t>
        </is>
      </c>
      <c r="B3032" t="inlineStr">
        <is>
          <t>POAI</t>
        </is>
      </c>
      <c r="C3032" t="inlineStr">
        <is>
          <t>PREDICTIVE ONCOLOGY INC.</t>
        </is>
      </c>
      <c r="D3032" t="n">
        <v>3842</v>
      </c>
    </row>
    <row r="3033">
      <c r="A3033" t="inlineStr">
        <is>
          <t>PREFORMED LINE PRODUCTS CO</t>
        </is>
      </c>
      <c r="B3033" t="inlineStr">
        <is>
          <t>PLPC</t>
        </is>
      </c>
      <c r="C3033" t="inlineStr">
        <is>
          <t>PREFORMED LINE PRODUCTS CO</t>
        </is>
      </c>
      <c r="D3033" t="n">
        <v>1623</v>
      </c>
    </row>
    <row r="3034">
      <c r="A3034" t="inlineStr">
        <is>
          <t>PREMIER FINANCIAL CORP</t>
        </is>
      </c>
      <c r="B3034" t="inlineStr">
        <is>
          <t>PFC</t>
        </is>
      </c>
      <c r="C3034" t="inlineStr">
        <is>
          <t>PREMIER FINANCIAL CORP</t>
        </is>
      </c>
      <c r="D3034" t="n">
        <v>6022</v>
      </c>
    </row>
    <row r="3035">
      <c r="A3035" t="inlineStr">
        <is>
          <t>PREMIER, INC.</t>
        </is>
      </c>
      <c r="B3035" t="inlineStr">
        <is>
          <t>PINC</t>
        </is>
      </c>
      <c r="C3035" t="inlineStr">
        <is>
          <t>PREMIER, INC.</t>
        </is>
      </c>
      <c r="D3035" t="n">
        <v>8741</v>
      </c>
    </row>
    <row r="3036">
      <c r="A3036" t="inlineStr">
        <is>
          <t>PRESIDIO PROPERTY TRUST, INC.</t>
        </is>
      </c>
      <c r="B3036" t="inlineStr">
        <is>
          <t>SQFT</t>
        </is>
      </c>
      <c r="C3036" t="inlineStr">
        <is>
          <t>PRESIDIO PROPERTY TRUST, INC.</t>
        </is>
      </c>
      <c r="D3036" t="n">
        <v>6798</v>
      </c>
    </row>
    <row r="3037">
      <c r="A3037" t="inlineStr">
        <is>
          <t>PRESTIGE CONSUMER HEALTHCARE INC.</t>
        </is>
      </c>
      <c r="B3037" t="inlineStr">
        <is>
          <t>PBH</t>
        </is>
      </c>
      <c r="C3037" t="inlineStr">
        <is>
          <t>PRESTIGE CONSUMER HEALTHCARE INC.</t>
        </is>
      </c>
      <c r="D3037" t="n">
        <v>2834</v>
      </c>
    </row>
    <row r="3038">
      <c r="A3038" t="inlineStr">
        <is>
          <t>PRICE T ROWE GROUP INC</t>
        </is>
      </c>
      <c r="B3038" t="inlineStr">
        <is>
          <t>TROW</t>
        </is>
      </c>
      <c r="C3038" t="inlineStr">
        <is>
          <t>PRICE T ROWE GROUP INC</t>
        </is>
      </c>
      <c r="D3038" t="n">
        <v>6200</v>
      </c>
    </row>
    <row r="3039">
      <c r="A3039" t="inlineStr">
        <is>
          <t>PRICESMART INC</t>
        </is>
      </c>
      <c r="B3039" t="inlineStr">
        <is>
          <t>PSMT</t>
        </is>
      </c>
      <c r="C3039" t="inlineStr">
        <is>
          <t>PRICESMART INC</t>
        </is>
      </c>
      <c r="D3039" t="n">
        <v>5331</v>
      </c>
    </row>
    <row r="3040">
      <c r="A3040" t="inlineStr">
        <is>
          <t>PRIME MERIDIAN HOLDING CO</t>
        </is>
      </c>
      <c r="B3040" t="inlineStr">
        <is>
          <t>PMHG</t>
        </is>
      </c>
      <c r="C3040" t="inlineStr">
        <is>
          <t>PRIME MERIDIAN HOLDING CO</t>
        </is>
      </c>
      <c r="D3040" t="n">
        <v>6022</v>
      </c>
    </row>
    <row r="3041">
      <c r="A3041" t="inlineStr">
        <is>
          <t>PRIMEENERGY RESOURCES CORP</t>
        </is>
      </c>
      <c r="B3041" t="inlineStr">
        <is>
          <t>PNRG</t>
        </is>
      </c>
      <c r="C3041" t="inlineStr">
        <is>
          <t>PRIMEENERGY RESOURCES CORP</t>
        </is>
      </c>
      <c r="D3041" t="n">
        <v>1311</v>
      </c>
    </row>
    <row r="3042">
      <c r="A3042" t="inlineStr">
        <is>
          <t>PRIMERICA, INC.</t>
        </is>
      </c>
      <c r="B3042" t="inlineStr">
        <is>
          <t>PRI</t>
        </is>
      </c>
      <c r="C3042" t="inlineStr">
        <is>
          <t>PRIMERICA, INC.</t>
        </is>
      </c>
      <c r="D3042" t="n">
        <v>6311</v>
      </c>
    </row>
    <row r="3043">
      <c r="A3043" t="inlineStr">
        <is>
          <t>PRIMIS FINANCIAL CORP.</t>
        </is>
      </c>
      <c r="B3043" t="inlineStr">
        <is>
          <t>FRST</t>
        </is>
      </c>
      <c r="C3043" t="inlineStr">
        <is>
          <t>PRIMIS FINANCIAL CORP.</t>
        </is>
      </c>
      <c r="D3043" t="n">
        <v>6022</v>
      </c>
    </row>
    <row r="3044">
      <c r="A3044" t="inlineStr">
        <is>
          <t>PRIMO WATER CORP /CN/</t>
        </is>
      </c>
      <c r="B3044" t="inlineStr">
        <is>
          <t>PRMW</t>
        </is>
      </c>
      <c r="C3044" t="inlineStr">
        <is>
          <t>PRIMO WATER CORP /CN/</t>
        </is>
      </c>
      <c r="D3044" t="n">
        <v>2086</v>
      </c>
    </row>
    <row r="3045">
      <c r="A3045" t="inlineStr">
        <is>
          <t>PRIMORIS SERVICES CORP</t>
        </is>
      </c>
      <c r="B3045" t="inlineStr">
        <is>
          <t>PRIM</t>
        </is>
      </c>
      <c r="C3045" t="inlineStr">
        <is>
          <t>PRIMORIS SERVICES CORP</t>
        </is>
      </c>
      <c r="D3045" t="n">
        <v>1623</v>
      </c>
    </row>
    <row r="3046">
      <c r="A3046" t="inlineStr">
        <is>
          <t>PRINCIPAL FINANCIAL GROUP INC</t>
        </is>
      </c>
      <c r="B3046" t="inlineStr">
        <is>
          <t>PFG</t>
        </is>
      </c>
      <c r="C3046" t="inlineStr">
        <is>
          <t>PRINCIPAL FINANCIAL GROUP INC</t>
        </is>
      </c>
      <c r="D3046" t="n">
        <v>6321</v>
      </c>
    </row>
    <row r="3047">
      <c r="A3047" t="inlineStr">
        <is>
          <t>PRIORITY TECHNOLOGY HOLDINGS, INC.</t>
        </is>
      </c>
      <c r="B3047" t="inlineStr">
        <is>
          <t>PRTH</t>
        </is>
      </c>
      <c r="C3047" t="inlineStr">
        <is>
          <t>PRIORITY TECHNOLOGY HOLDINGS, INC.</t>
        </is>
      </c>
      <c r="D3047" t="n">
        <v>7389</v>
      </c>
    </row>
    <row r="3048">
      <c r="A3048" t="inlineStr">
        <is>
          <t>PRIVIA HEALTH GROUP, INC.</t>
        </is>
      </c>
      <c r="B3048" t="inlineStr">
        <is>
          <t>PRVA</t>
        </is>
      </c>
      <c r="C3048" t="inlineStr">
        <is>
          <t>PRIVIA HEALTH GROUP, INC.</t>
        </is>
      </c>
      <c r="D3048" t="n">
        <v>8000</v>
      </c>
    </row>
    <row r="3049">
      <c r="A3049" t="inlineStr">
        <is>
          <t>PRO DEX INC</t>
        </is>
      </c>
      <c r="B3049" t="inlineStr">
        <is>
          <t>PDEX</t>
        </is>
      </c>
      <c r="C3049" t="inlineStr">
        <is>
          <t>PRO DEX INC</t>
        </is>
      </c>
      <c r="D3049" t="n">
        <v>3841</v>
      </c>
    </row>
    <row r="3050">
      <c r="A3050" t="inlineStr">
        <is>
          <t>PROASSURANCE CORP</t>
        </is>
      </c>
      <c r="B3050" t="inlineStr">
        <is>
          <t>PRA</t>
        </is>
      </c>
      <c r="C3050" t="inlineStr">
        <is>
          <t>PROASSURANCE CORP</t>
        </is>
      </c>
      <c r="D3050" t="n">
        <v>6331</v>
      </c>
    </row>
    <row r="3051">
      <c r="A3051" t="inlineStr">
        <is>
          <t>PROCEPT BIOROBOTICS CORP</t>
        </is>
      </c>
      <c r="B3051" t="inlineStr">
        <is>
          <t>PRCT</t>
        </is>
      </c>
      <c r="C3051" t="inlineStr">
        <is>
          <t>PROCEPT BIOROBOTICS CORP</t>
        </is>
      </c>
      <c r="D3051" t="n">
        <v>3841</v>
      </c>
    </row>
    <row r="3052">
      <c r="A3052" t="inlineStr">
        <is>
          <t>PROCORE TECHNOLOGIES, INC.</t>
        </is>
      </c>
      <c r="B3052" t="inlineStr">
        <is>
          <t>PCOR</t>
        </is>
      </c>
      <c r="C3052" t="inlineStr">
        <is>
          <t>PROCORE TECHNOLOGIES, INC.</t>
        </is>
      </c>
      <c r="D3052" t="n">
        <v>7372</v>
      </c>
    </row>
    <row r="3053">
      <c r="A3053" t="inlineStr">
        <is>
          <t>PROCTER &amp; GAMBLE CO</t>
        </is>
      </c>
      <c r="B3053" t="inlineStr">
        <is>
          <t>PG</t>
        </is>
      </c>
      <c r="C3053" t="inlineStr">
        <is>
          <t>PROCTER &amp; GAMBLE CO</t>
        </is>
      </c>
      <c r="D3053" t="n">
        <v>2840</v>
      </c>
    </row>
    <row r="3054">
      <c r="A3054" t="inlineStr">
        <is>
          <t>PROFESSIONAL HOLDING CORP.</t>
        </is>
      </c>
      <c r="B3054" t="inlineStr">
        <is>
          <t>PFHD</t>
        </is>
      </c>
      <c r="C3054" t="inlineStr">
        <is>
          <t>PROFESSIONAL HOLDING CORP.</t>
        </is>
      </c>
      <c r="D3054" t="n">
        <v>6021</v>
      </c>
    </row>
    <row r="3055">
      <c r="A3055" t="inlineStr">
        <is>
          <t>PROFIRE ENERGY INC</t>
        </is>
      </c>
      <c r="B3055" t="inlineStr">
        <is>
          <t>PFIE</t>
        </is>
      </c>
      <c r="C3055" t="inlineStr">
        <is>
          <t>PROFIRE ENERGY INC</t>
        </is>
      </c>
      <c r="D3055" t="n">
        <v>3533</v>
      </c>
    </row>
    <row r="3056">
      <c r="A3056" t="inlineStr">
        <is>
          <t>PROG HOLDINGS, INC.</t>
        </is>
      </c>
      <c r="B3056" t="inlineStr">
        <is>
          <t>PRG</t>
        </is>
      </c>
      <c r="C3056" t="inlineStr">
        <is>
          <t>PROG HOLDINGS, INC.</t>
        </is>
      </c>
      <c r="D3056" t="n">
        <v>7359</v>
      </c>
    </row>
    <row r="3057">
      <c r="A3057" t="inlineStr">
        <is>
          <t>PROGRESS SOFTWARE CORP /MA</t>
        </is>
      </c>
      <c r="B3057" t="inlineStr">
        <is>
          <t>PRGS</t>
        </is>
      </c>
      <c r="C3057" t="inlineStr">
        <is>
          <t>PROGRESS SOFTWARE CORP /MA</t>
        </is>
      </c>
      <c r="D3057" t="n">
        <v>7372</v>
      </c>
    </row>
    <row r="3058">
      <c r="A3058" t="inlineStr">
        <is>
          <t>PROGRESSIVE CORP/OH/</t>
        </is>
      </c>
      <c r="B3058" t="inlineStr">
        <is>
          <t>PGR</t>
        </is>
      </c>
      <c r="C3058" t="inlineStr">
        <is>
          <t>PROGRESSIVE CORP/OH/</t>
        </is>
      </c>
      <c r="D3058" t="n">
        <v>6331</v>
      </c>
    </row>
    <row r="3059">
      <c r="A3059" t="inlineStr">
        <is>
          <t>PROGYNY, INC.</t>
        </is>
      </c>
      <c r="B3059" t="inlineStr">
        <is>
          <t>PGNY</t>
        </is>
      </c>
      <c r="C3059" t="inlineStr">
        <is>
          <t>PROGYNY, INC.</t>
        </is>
      </c>
      <c r="D3059" t="n">
        <v>8090</v>
      </c>
    </row>
    <row r="3060">
      <c r="A3060" t="inlineStr">
        <is>
          <t>PROLOGIS, INC.</t>
        </is>
      </c>
      <c r="B3060" t="inlineStr">
        <is>
          <t>PLD</t>
        </is>
      </c>
      <c r="C3060" t="inlineStr">
        <is>
          <t>PROLOGIS, INC.</t>
        </is>
      </c>
      <c r="D3060" t="n">
        <v>6798</v>
      </c>
    </row>
    <row r="3061">
      <c r="A3061" t="inlineStr">
        <is>
          <t>PROMETHEUS BIOSCIENCES, INC.</t>
        </is>
      </c>
      <c r="B3061" t="inlineStr">
        <is>
          <t>RXDX</t>
        </is>
      </c>
      <c r="C3061" t="inlineStr">
        <is>
          <t>PROMETHEUS BIOSCIENCES, INC.</t>
        </is>
      </c>
      <c r="D3061" t="n">
        <v>2834</v>
      </c>
    </row>
    <row r="3062">
      <c r="A3062" t="inlineStr">
        <is>
          <t>PROPETRO HOLDING CORP.</t>
        </is>
      </c>
      <c r="B3062" t="inlineStr">
        <is>
          <t>PUMP</t>
        </is>
      </c>
      <c r="C3062" t="inlineStr">
        <is>
          <t>PROPETRO HOLDING CORP.</t>
        </is>
      </c>
      <c r="D3062" t="n">
        <v>1389</v>
      </c>
    </row>
    <row r="3063">
      <c r="A3063" t="inlineStr">
        <is>
          <t>PROPHASE LABS, INC.</t>
        </is>
      </c>
      <c r="B3063" t="inlineStr">
        <is>
          <t>PRPH</t>
        </is>
      </c>
      <c r="C3063" t="inlineStr">
        <is>
          <t>PROPHASE LABS, INC.</t>
        </is>
      </c>
      <c r="D3063" t="n">
        <v>2834</v>
      </c>
    </row>
    <row r="3064">
      <c r="A3064" t="inlineStr">
        <is>
          <t>PROS HOLDINGS, INC.</t>
        </is>
      </c>
      <c r="B3064" t="inlineStr">
        <is>
          <t>PRO</t>
        </is>
      </c>
      <c r="C3064" t="inlineStr">
        <is>
          <t>PROS HOLDINGS, INC.</t>
        </is>
      </c>
      <c r="D3064" t="n">
        <v>7371</v>
      </c>
    </row>
    <row r="3065">
      <c r="A3065" t="inlineStr">
        <is>
          <t>PROSPERITY BANCSHARES INC</t>
        </is>
      </c>
      <c r="B3065" t="inlineStr">
        <is>
          <t>PB</t>
        </is>
      </c>
      <c r="C3065" t="inlineStr">
        <is>
          <t>PROSPERITY BANCSHARES INC</t>
        </is>
      </c>
      <c r="D3065" t="n">
        <v>6022</v>
      </c>
    </row>
    <row r="3066">
      <c r="A3066" t="inlineStr">
        <is>
          <t>PROTAGONIST THERAPEUTICS, INC</t>
        </is>
      </c>
      <c r="B3066" t="inlineStr">
        <is>
          <t>PTGX</t>
        </is>
      </c>
      <c r="C3066" t="inlineStr">
        <is>
          <t>PROTAGONIST THERAPEUTICS, INC</t>
        </is>
      </c>
      <c r="D3066" t="n">
        <v>2834</v>
      </c>
    </row>
    <row r="3067">
      <c r="A3067" t="inlineStr">
        <is>
          <t>PROTALIX BIOTHERAPEUTICS, INC.</t>
        </is>
      </c>
      <c r="B3067" t="inlineStr">
        <is>
          <t>PLX</t>
        </is>
      </c>
      <c r="C3067" t="inlineStr">
        <is>
          <t>PROTALIX BIOTHERAPEUTICS, INC.</t>
        </is>
      </c>
      <c r="D3067" t="n">
        <v>2836</v>
      </c>
    </row>
    <row r="3068">
      <c r="A3068" t="inlineStr">
        <is>
          <t>PROTERRA INC</t>
        </is>
      </c>
      <c r="B3068" t="inlineStr">
        <is>
          <t>PTRA</t>
        </is>
      </c>
      <c r="C3068" t="inlineStr">
        <is>
          <t>PROTERRA INC</t>
        </is>
      </c>
      <c r="D3068" t="n">
        <v>3711</v>
      </c>
    </row>
    <row r="3069">
      <c r="A3069" t="inlineStr">
        <is>
          <t>PROTHENA CORP PUBLIC LTD CO</t>
        </is>
      </c>
      <c r="B3069" t="inlineStr">
        <is>
          <t>PRTA</t>
        </is>
      </c>
      <c r="C3069" t="inlineStr">
        <is>
          <t>PROTHENA CORP PUBLIC LTD CO</t>
        </is>
      </c>
      <c r="D3069" t="n">
        <v>2834</v>
      </c>
    </row>
    <row r="3070">
      <c r="A3070" t="inlineStr">
        <is>
          <t>PROTO LABS INC</t>
        </is>
      </c>
      <c r="B3070" t="inlineStr">
        <is>
          <t>PRLB</t>
        </is>
      </c>
      <c r="C3070" t="inlineStr">
        <is>
          <t>PROTO LABS INC</t>
        </is>
      </c>
      <c r="D3070" t="n">
        <v>3440</v>
      </c>
    </row>
    <row r="3071">
      <c r="A3071" t="inlineStr">
        <is>
          <t>PROVIDENT BANCORP, INC. /MD/</t>
        </is>
      </c>
      <c r="B3071" t="inlineStr">
        <is>
          <t>PVBC</t>
        </is>
      </c>
      <c r="C3071" t="inlineStr">
        <is>
          <t>PROVIDENT BANCORP, INC. /MD/</t>
        </is>
      </c>
      <c r="D3071" t="n">
        <v>6036</v>
      </c>
    </row>
    <row r="3072">
      <c r="A3072" t="inlineStr">
        <is>
          <t>PROVIDENT FINANCIAL HOLDINGS INC</t>
        </is>
      </c>
      <c r="B3072" t="inlineStr">
        <is>
          <t>PROV</t>
        </is>
      </c>
      <c r="C3072" t="inlineStr">
        <is>
          <t>PROVIDENT FINANCIAL HOLDINGS INC</t>
        </is>
      </c>
      <c r="D3072" t="n">
        <v>6035</v>
      </c>
    </row>
    <row r="3073">
      <c r="A3073" t="inlineStr">
        <is>
          <t>PROVIDENT FINANCIAL SERVICES INC</t>
        </is>
      </c>
      <c r="B3073" t="inlineStr">
        <is>
          <t>PFS</t>
        </is>
      </c>
      <c r="C3073" t="inlineStr">
        <is>
          <t>PROVIDENT FINANCIAL SERVICES INC</t>
        </is>
      </c>
      <c r="D3073" t="n">
        <v>6035</v>
      </c>
    </row>
    <row r="3074">
      <c r="A3074" t="inlineStr">
        <is>
          <t>PRUDENTIAL FINANCIAL INC</t>
        </is>
      </c>
      <c r="B3074" t="inlineStr">
        <is>
          <t>PRU</t>
        </is>
      </c>
      <c r="C3074" t="inlineStr">
        <is>
          <t>PRUDENTIAL FINANCIAL INC</t>
        </is>
      </c>
      <c r="D3074" t="n">
        <v>6311</v>
      </c>
    </row>
    <row r="3075">
      <c r="A3075" t="inlineStr">
        <is>
          <t>PS BUSINESS PARKS, INC./MD</t>
        </is>
      </c>
      <c r="B3075" t="inlineStr">
        <is>
          <t>PSB</t>
        </is>
      </c>
      <c r="C3075" t="inlineStr">
        <is>
          <t>PS BUSINESS PARKS, INC./MD</t>
        </is>
      </c>
      <c r="D3075" t="n">
        <v>6798</v>
      </c>
    </row>
    <row r="3076">
      <c r="A3076" t="inlineStr">
        <is>
          <t>PSYCHEMEDICS CORP</t>
        </is>
      </c>
      <c r="B3076" t="inlineStr">
        <is>
          <t>PMD</t>
        </is>
      </c>
      <c r="C3076" t="inlineStr">
        <is>
          <t>PSYCHEMEDICS CORP</t>
        </is>
      </c>
      <c r="D3076" t="n">
        <v>8071</v>
      </c>
    </row>
    <row r="3077">
      <c r="A3077" t="inlineStr">
        <is>
          <t>PTC INC.</t>
        </is>
      </c>
      <c r="B3077" t="inlineStr">
        <is>
          <t>PTC</t>
        </is>
      </c>
      <c r="C3077" t="inlineStr">
        <is>
          <t>PTC INC.</t>
        </is>
      </c>
      <c r="D3077" t="n">
        <v>7372</v>
      </c>
    </row>
    <row r="3078">
      <c r="A3078" t="inlineStr">
        <is>
          <t>PTC THERAPEUTICS, INC.</t>
        </is>
      </c>
      <c r="B3078" t="inlineStr">
        <is>
          <t>PTCT</t>
        </is>
      </c>
      <c r="C3078" t="inlineStr">
        <is>
          <t>PTC THERAPEUTICS, INC.</t>
        </is>
      </c>
      <c r="D3078" t="n">
        <v>2834</v>
      </c>
    </row>
    <row r="3079">
      <c r="A3079" t="inlineStr">
        <is>
          <t>PUBLIC SERVICE ENTERPRISE GROUP INC</t>
        </is>
      </c>
      <c r="B3079" t="inlineStr">
        <is>
          <t>PEG</t>
        </is>
      </c>
      <c r="C3079" t="inlineStr">
        <is>
          <t>PUBLIC SERVICE ENTERPRISE GROUP INC</t>
        </is>
      </c>
      <c r="D3079" t="n">
        <v>4931</v>
      </c>
    </row>
    <row r="3080">
      <c r="A3080" t="inlineStr">
        <is>
          <t>PUBLIC STORAGE</t>
        </is>
      </c>
      <c r="B3080" t="inlineStr">
        <is>
          <t>PSA</t>
        </is>
      </c>
      <c r="C3080" t="inlineStr">
        <is>
          <t>PUBLIC STORAGE</t>
        </is>
      </c>
      <c r="D3080" t="n">
        <v>6798</v>
      </c>
    </row>
    <row r="3081">
      <c r="A3081" t="inlineStr">
        <is>
          <t>PUBMATIC, INC.</t>
        </is>
      </c>
      <c r="B3081" t="inlineStr">
        <is>
          <t>PUBM</t>
        </is>
      </c>
      <c r="C3081" t="inlineStr">
        <is>
          <t>PUBMATIC, INC.</t>
        </is>
      </c>
      <c r="D3081" t="n">
        <v>7370</v>
      </c>
    </row>
    <row r="3082">
      <c r="A3082" t="inlineStr">
        <is>
          <t>PULMATRIX, INC.</t>
        </is>
      </c>
      <c r="B3082" t="inlineStr">
        <is>
          <t>PULM</t>
        </is>
      </c>
      <c r="C3082" t="inlineStr">
        <is>
          <t>PULMATRIX, INC.</t>
        </is>
      </c>
      <c r="D3082" t="n">
        <v>2834</v>
      </c>
    </row>
    <row r="3083">
      <c r="A3083" t="inlineStr">
        <is>
          <t>PULMONX CORP</t>
        </is>
      </c>
      <c r="B3083" t="inlineStr">
        <is>
          <t>LUNG</t>
        </is>
      </c>
      <c r="C3083" t="inlineStr">
        <is>
          <t>PULMONX CORP</t>
        </is>
      </c>
      <c r="D3083" t="n">
        <v>3841</v>
      </c>
    </row>
    <row r="3084">
      <c r="A3084" t="inlineStr">
        <is>
          <t>PULSE BIOSCIENCES, INC.</t>
        </is>
      </c>
      <c r="B3084" t="inlineStr">
        <is>
          <t>PLSE</t>
        </is>
      </c>
      <c r="C3084" t="inlineStr">
        <is>
          <t>PULSE BIOSCIENCES, INC.</t>
        </is>
      </c>
      <c r="D3084" t="n">
        <v>3841</v>
      </c>
    </row>
    <row r="3085">
      <c r="A3085" t="inlineStr">
        <is>
          <t>PULTEGROUP INC/MI/</t>
        </is>
      </c>
      <c r="B3085" t="inlineStr">
        <is>
          <t>PHM</t>
        </is>
      </c>
      <c r="C3085" t="inlineStr">
        <is>
          <t>PULTEGROUP INC/MI/</t>
        </is>
      </c>
      <c r="D3085" t="n">
        <v>1531</v>
      </c>
    </row>
    <row r="3086">
      <c r="A3086" t="inlineStr">
        <is>
          <t>PUMA BIOTECHNOLOGY, INC.</t>
        </is>
      </c>
      <c r="B3086" t="inlineStr">
        <is>
          <t>PBYI</t>
        </is>
      </c>
      <c r="C3086" t="inlineStr">
        <is>
          <t>PUMA BIOTECHNOLOGY, INC.</t>
        </is>
      </c>
      <c r="D3086" t="n">
        <v>2834</v>
      </c>
    </row>
    <row r="3087">
      <c r="A3087" t="inlineStr">
        <is>
          <t>PURE CYCLE CORP</t>
        </is>
      </c>
      <c r="B3087" t="inlineStr">
        <is>
          <t>PCYO</t>
        </is>
      </c>
      <c r="C3087" t="inlineStr">
        <is>
          <t>PURE CYCLE CORP</t>
        </is>
      </c>
      <c r="D3087" t="n">
        <v>4941</v>
      </c>
    </row>
    <row r="3088">
      <c r="A3088" t="inlineStr">
        <is>
          <t>PURE STORAGE, INC.</t>
        </is>
      </c>
      <c r="B3088" t="inlineStr">
        <is>
          <t>PSTG</t>
        </is>
      </c>
      <c r="C3088" t="inlineStr">
        <is>
          <t>PURE STORAGE, INC.</t>
        </is>
      </c>
      <c r="D3088" t="n">
        <v>3572</v>
      </c>
    </row>
    <row r="3089">
      <c r="A3089" t="inlineStr">
        <is>
          <t>PURPLE INNOVATION, INC.</t>
        </is>
      </c>
      <c r="B3089" t="inlineStr">
        <is>
          <t>PRPL</t>
        </is>
      </c>
      <c r="C3089" t="inlineStr">
        <is>
          <t>PURPLE INNOVATION, INC.</t>
        </is>
      </c>
      <c r="D3089" t="n">
        <v>2510</v>
      </c>
    </row>
    <row r="3090">
      <c r="A3090" t="inlineStr">
        <is>
          <t>PVH CORP. /DE/</t>
        </is>
      </c>
      <c r="B3090" t="inlineStr">
        <is>
          <t>PVH</t>
        </is>
      </c>
      <c r="C3090" t="inlineStr">
        <is>
          <t>PVH CORP. /DE/</t>
        </is>
      </c>
      <c r="D3090" t="n">
        <v>2320</v>
      </c>
    </row>
    <row r="3091">
      <c r="A3091" t="inlineStr">
        <is>
          <t>PYXIS TANKERS INC.</t>
        </is>
      </c>
      <c r="B3091" t="inlineStr">
        <is>
          <t>PXS</t>
        </is>
      </c>
      <c r="C3091" t="inlineStr">
        <is>
          <t>PYXIS TANKERS INC.</t>
        </is>
      </c>
      <c r="D3091" t="n">
        <v>4412</v>
      </c>
    </row>
    <row r="3092">
      <c r="A3092" t="inlineStr">
        <is>
          <t>PZENA INVESTMENT MANAGEMENT, INC.</t>
        </is>
      </c>
      <c r="B3092" t="inlineStr">
        <is>
          <t>PZN</t>
        </is>
      </c>
      <c r="C3092" t="inlineStr">
        <is>
          <t>PZENA INVESTMENT MANAGEMENT, INC.</t>
        </is>
      </c>
      <c r="D3092" t="n">
        <v>6282</v>
      </c>
    </row>
    <row r="3093">
      <c r="A3093" t="inlineStr">
        <is>
          <t>Q&amp;K INTERNATIONAL GROUP LTD</t>
        </is>
      </c>
      <c r="B3093" t="inlineStr">
        <is>
          <t>QK</t>
        </is>
      </c>
      <c r="C3093" t="inlineStr">
        <is>
          <t>Q&amp;K INTERNATIONAL GROUP LTD</t>
        </is>
      </c>
      <c r="D3093" t="n">
        <v>6510</v>
      </c>
    </row>
    <row r="3094">
      <c r="A3094" t="inlineStr">
        <is>
          <t>Q2 HOLDINGS, INC.</t>
        </is>
      </c>
      <c r="B3094" t="inlineStr">
        <is>
          <t>QTWO</t>
        </is>
      </c>
      <c r="C3094" t="inlineStr">
        <is>
          <t>Q2 HOLDINGS, INC.</t>
        </is>
      </c>
      <c r="D3094" t="n">
        <v>7372</v>
      </c>
    </row>
    <row r="3095">
      <c r="A3095" t="inlineStr">
        <is>
          <t>QCR HOLDINGS INC</t>
        </is>
      </c>
      <c r="B3095" t="inlineStr">
        <is>
          <t>QCRH</t>
        </is>
      </c>
      <c r="C3095" t="inlineStr">
        <is>
          <t>QCR HOLDINGS INC</t>
        </is>
      </c>
      <c r="D3095" t="n">
        <v>6022</v>
      </c>
    </row>
    <row r="3096">
      <c r="A3096" t="inlineStr">
        <is>
          <t>QIAGEN N.V.</t>
        </is>
      </c>
      <c r="B3096" t="inlineStr">
        <is>
          <t>QGEN</t>
        </is>
      </c>
      <c r="C3096" t="inlineStr">
        <is>
          <t>QIAGEN N.V.</t>
        </is>
      </c>
      <c r="D3096" t="n">
        <v>2836</v>
      </c>
    </row>
    <row r="3097">
      <c r="A3097" t="inlineStr">
        <is>
          <t>QILIAN INTERNATIONAL HOLDING GROUP LTD</t>
        </is>
      </c>
      <c r="B3097" t="inlineStr">
        <is>
          <t>QLI</t>
        </is>
      </c>
      <c r="C3097" t="inlineStr">
        <is>
          <t>QILIAN INTERNATIONAL HOLDING GROUP LTD</t>
        </is>
      </c>
      <c r="D3097" t="n">
        <v>2834</v>
      </c>
    </row>
    <row r="3098">
      <c r="A3098" t="inlineStr">
        <is>
          <t>QNB CORP</t>
        </is>
      </c>
      <c r="B3098" t="inlineStr">
        <is>
          <t>QNBC</t>
        </is>
      </c>
      <c r="C3098" t="inlineStr">
        <is>
          <t>QNB CORP</t>
        </is>
      </c>
      <c r="D3098" t="n">
        <v>6022</v>
      </c>
    </row>
    <row r="3099">
      <c r="A3099" t="inlineStr">
        <is>
          <t>QORVO, INC.</t>
        </is>
      </c>
      <c r="B3099" t="inlineStr">
        <is>
          <t>QRVO</t>
        </is>
      </c>
      <c r="C3099" t="inlineStr">
        <is>
          <t>QORVO, INC.</t>
        </is>
      </c>
      <c r="D3099" t="n">
        <v>3674</v>
      </c>
    </row>
    <row r="3100">
      <c r="A3100" t="inlineStr">
        <is>
          <t>QUAD/GRAPHICS, INC.</t>
        </is>
      </c>
      <c r="B3100" t="inlineStr">
        <is>
          <t>QUAD</t>
        </is>
      </c>
      <c r="C3100" t="inlineStr">
        <is>
          <t>QUAD/GRAPHICS, INC.</t>
        </is>
      </c>
      <c r="D3100" t="n">
        <v>2750</v>
      </c>
    </row>
    <row r="3101">
      <c r="A3101" t="inlineStr">
        <is>
          <t>QUAINT OAK BANCORP INC</t>
        </is>
      </c>
      <c r="B3101" t="inlineStr">
        <is>
          <t>QNTO</t>
        </is>
      </c>
      <c r="C3101" t="inlineStr">
        <is>
          <t>QUAINT OAK BANCORP INC</t>
        </is>
      </c>
      <c r="D3101" t="n">
        <v>6036</v>
      </c>
    </row>
    <row r="3102">
      <c r="A3102" t="inlineStr">
        <is>
          <t>QUAKER CHEMICAL CORP</t>
        </is>
      </c>
      <c r="B3102" t="inlineStr">
        <is>
          <t>KWR</t>
        </is>
      </c>
      <c r="C3102" t="inlineStr">
        <is>
          <t>QUAKER CHEMICAL CORP</t>
        </is>
      </c>
      <c r="D3102" t="n">
        <v>2990</v>
      </c>
    </row>
    <row r="3103">
      <c r="A3103" t="inlineStr">
        <is>
          <t>QUALCOMM INC/DE</t>
        </is>
      </c>
      <c r="B3103" t="inlineStr">
        <is>
          <t>QCOM</t>
        </is>
      </c>
      <c r="C3103" t="inlineStr">
        <is>
          <t>QUALCOMM INC/DE</t>
        </is>
      </c>
      <c r="D3103" t="n">
        <v>3663</v>
      </c>
    </row>
    <row r="3104">
      <c r="A3104" t="inlineStr">
        <is>
          <t>QUALIGEN THERAPEUTICS, INC.</t>
        </is>
      </c>
      <c r="B3104" t="inlineStr">
        <is>
          <t>QLGN</t>
        </is>
      </c>
      <c r="C3104" t="inlineStr">
        <is>
          <t>QUALIGEN THERAPEUTICS, INC.</t>
        </is>
      </c>
      <c r="D3104" t="n">
        <v>2834</v>
      </c>
    </row>
    <row r="3105">
      <c r="A3105" t="inlineStr">
        <is>
          <t>QUALTRICS INTERNATIONAL INC.</t>
        </is>
      </c>
      <c r="B3105" t="inlineStr">
        <is>
          <t>XM</t>
        </is>
      </c>
      <c r="C3105" t="inlineStr">
        <is>
          <t>QUALTRICS INTERNATIONAL INC.</t>
        </is>
      </c>
      <c r="D3105" t="n">
        <v>7372</v>
      </c>
    </row>
    <row r="3106">
      <c r="A3106" t="inlineStr">
        <is>
          <t>QUALYS, INC.</t>
        </is>
      </c>
      <c r="B3106" t="inlineStr">
        <is>
          <t>QLYS</t>
        </is>
      </c>
      <c r="C3106" t="inlineStr">
        <is>
          <t>QUALYS, INC.</t>
        </is>
      </c>
      <c r="D3106" t="n">
        <v>7372</v>
      </c>
    </row>
    <row r="3107">
      <c r="A3107" t="inlineStr">
        <is>
          <t>QUANEX BUILDING PRODUCTS CORP</t>
        </is>
      </c>
      <c r="B3107" t="inlineStr">
        <is>
          <t>NX</t>
        </is>
      </c>
      <c r="C3107" t="inlineStr">
        <is>
          <t>QUANEX BUILDING PRODUCTS CORP</t>
        </is>
      </c>
      <c r="D3107" t="n">
        <v>3350</v>
      </c>
    </row>
    <row r="3108">
      <c r="A3108" t="inlineStr">
        <is>
          <t>QUANTA SERVICES, INC.</t>
        </is>
      </c>
      <c r="B3108" t="inlineStr">
        <is>
          <t>PWR</t>
        </is>
      </c>
      <c r="C3108" t="inlineStr">
        <is>
          <t>QUANTA SERVICES, INC.</t>
        </is>
      </c>
      <c r="D3108" t="n">
        <v>1731</v>
      </c>
    </row>
    <row r="3109">
      <c r="A3109" t="inlineStr">
        <is>
          <t>QUANTERIX CORP</t>
        </is>
      </c>
      <c r="B3109" t="inlineStr">
        <is>
          <t>QTRX</t>
        </is>
      </c>
      <c r="C3109" t="inlineStr">
        <is>
          <t>QUANTERIX CORP</t>
        </is>
      </c>
      <c r="D3109" t="n">
        <v>3826</v>
      </c>
    </row>
    <row r="3110">
      <c r="A3110" t="inlineStr">
        <is>
          <t>QUANTUM CORP /DE/</t>
        </is>
      </c>
      <c r="B3110" t="inlineStr">
        <is>
          <t>QMCO</t>
        </is>
      </c>
      <c r="C3110" t="inlineStr">
        <is>
          <t>QUANTUM CORP /DE/</t>
        </is>
      </c>
      <c r="D3110" t="n">
        <v>3572</v>
      </c>
    </row>
    <row r="3111">
      <c r="A3111" t="inlineStr">
        <is>
          <t>QUDIAN INC.</t>
        </is>
      </c>
      <c r="B3111" t="inlineStr">
        <is>
          <t>QD</t>
        </is>
      </c>
      <c r="C3111" t="inlineStr">
        <is>
          <t>QUDIAN INC.</t>
        </is>
      </c>
      <c r="D3111" t="n">
        <v>6199</v>
      </c>
    </row>
    <row r="3112">
      <c r="A3112" t="inlineStr">
        <is>
          <t>QUEST DIAGNOSTICS INC</t>
        </is>
      </c>
      <c r="B3112" t="inlineStr">
        <is>
          <t>DGX</t>
        </is>
      </c>
      <c r="C3112" t="inlineStr">
        <is>
          <t>QUEST DIAGNOSTICS INC</t>
        </is>
      </c>
      <c r="D3112" t="n">
        <v>8071</v>
      </c>
    </row>
    <row r="3113">
      <c r="A3113" t="inlineStr">
        <is>
          <t>QUEST RESOURCE HOLDING CORP</t>
        </is>
      </c>
      <c r="B3113" t="inlineStr">
        <is>
          <t>QRHC</t>
        </is>
      </c>
      <c r="C3113" t="inlineStr">
        <is>
          <t>QUEST RESOURCE HOLDING CORP</t>
        </is>
      </c>
      <c r="D3113" t="n">
        <v>4953</v>
      </c>
    </row>
    <row r="3114">
      <c r="A3114" t="inlineStr">
        <is>
          <t>QUICKLOGIC CORP</t>
        </is>
      </c>
      <c r="B3114" t="inlineStr">
        <is>
          <t>QUIK</t>
        </is>
      </c>
      <c r="C3114" t="inlineStr">
        <is>
          <t>QUICKLOGIC CORP</t>
        </is>
      </c>
      <c r="D3114" t="n">
        <v>3674</v>
      </c>
    </row>
    <row r="3115">
      <c r="A3115" t="inlineStr">
        <is>
          <t>QUINSTREET, INC</t>
        </is>
      </c>
      <c r="B3115" t="inlineStr">
        <is>
          <t>QNST</t>
        </is>
      </c>
      <c r="C3115" t="inlineStr">
        <is>
          <t>QUINSTREET, INC</t>
        </is>
      </c>
      <c r="D3115" t="n">
        <v>7389</v>
      </c>
    </row>
    <row r="3116">
      <c r="A3116" t="inlineStr">
        <is>
          <t>QUMU CORP</t>
        </is>
      </c>
      <c r="B3116" t="inlineStr">
        <is>
          <t>QUMU</t>
        </is>
      </c>
      <c r="C3116" t="inlineStr">
        <is>
          <t>QUMU CORP</t>
        </is>
      </c>
      <c r="D3116" t="n">
        <v>7372</v>
      </c>
    </row>
    <row r="3117">
      <c r="A3117" t="inlineStr">
        <is>
          <t>QUOTIENT LTD</t>
        </is>
      </c>
      <c r="B3117" t="inlineStr">
        <is>
          <t>QTNT</t>
        </is>
      </c>
      <c r="C3117" t="inlineStr">
        <is>
          <t>QUOTIENT LTD</t>
        </is>
      </c>
      <c r="D3117" t="n">
        <v>2835</v>
      </c>
    </row>
    <row r="3118">
      <c r="A3118" t="inlineStr">
        <is>
          <t>QUOTIENT TECHNOLOGY INC.</t>
        </is>
      </c>
      <c r="B3118" t="inlineStr">
        <is>
          <t>QUOT</t>
        </is>
      </c>
      <c r="C3118" t="inlineStr">
        <is>
          <t>QUOTIENT TECHNOLOGY INC.</t>
        </is>
      </c>
      <c r="D3118" t="n">
        <v>7310</v>
      </c>
    </row>
    <row r="3119">
      <c r="A3119" t="inlineStr">
        <is>
          <t>QURATE RETAIL, INC.</t>
        </is>
      </c>
      <c r="B3119" t="inlineStr">
        <is>
          <t>QRTEA</t>
        </is>
      </c>
      <c r="C3119" t="inlineStr">
        <is>
          <t>QURATE RETAIL, INC.</t>
        </is>
      </c>
      <c r="D3119" t="n">
        <v>5961</v>
      </c>
    </row>
    <row r="3120">
      <c r="A3120" t="inlineStr">
        <is>
          <t>QUTOUTIAO INC.</t>
        </is>
      </c>
      <c r="B3120" t="inlineStr">
        <is>
          <t>QTT</t>
        </is>
      </c>
      <c r="C3120" t="inlineStr">
        <is>
          <t>QUTOUTIAO INC.</t>
        </is>
      </c>
      <c r="D3120" t="n">
        <v>7370</v>
      </c>
    </row>
    <row r="3121">
      <c r="A3121" t="inlineStr">
        <is>
          <t>R F INDUSTRIES LTD</t>
        </is>
      </c>
      <c r="B3121" t="inlineStr">
        <is>
          <t>RFIL</t>
        </is>
      </c>
      <c r="C3121" t="inlineStr">
        <is>
          <t>R F INDUSTRIES LTD</t>
        </is>
      </c>
      <c r="D3121" t="n">
        <v>3678</v>
      </c>
    </row>
    <row r="3122">
      <c r="A3122" t="inlineStr">
        <is>
          <t>RACKSPACE TECHNOLOGY, INC.</t>
        </is>
      </c>
      <c r="B3122" t="inlineStr">
        <is>
          <t>RXT</t>
        </is>
      </c>
      <c r="C3122" t="inlineStr">
        <is>
          <t>RACKSPACE TECHNOLOGY, INC.</t>
        </is>
      </c>
      <c r="D3122" t="n">
        <v>7370</v>
      </c>
    </row>
    <row r="3123">
      <c r="A3123" t="inlineStr">
        <is>
          <t>RADA ELECTRONIC INDUSTRIES LTD</t>
        </is>
      </c>
      <c r="B3123" t="inlineStr">
        <is>
          <t>RADA</t>
        </is>
      </c>
      <c r="C3123" t="inlineStr">
        <is>
          <t>RADA ELECTRONIC INDUSTRIES LTD</t>
        </is>
      </c>
      <c r="D3123" t="n">
        <v>5065</v>
      </c>
    </row>
    <row r="3124">
      <c r="A3124" t="inlineStr">
        <is>
          <t>RADCOM LTD</t>
        </is>
      </c>
      <c r="B3124" t="inlineStr">
        <is>
          <t>RDCM</t>
        </is>
      </c>
      <c r="C3124" t="inlineStr">
        <is>
          <t>RADCOM LTD</t>
        </is>
      </c>
      <c r="D3124" t="n">
        <v>3577</v>
      </c>
    </row>
    <row r="3125">
      <c r="A3125" t="inlineStr">
        <is>
          <t>RADIAN GROUP INC</t>
        </is>
      </c>
      <c r="B3125" t="inlineStr">
        <is>
          <t>RDN</t>
        </is>
      </c>
      <c r="C3125" t="inlineStr">
        <is>
          <t>RADIAN GROUP INC</t>
        </is>
      </c>
      <c r="D3125" t="n">
        <v>6351</v>
      </c>
    </row>
    <row r="3126">
      <c r="A3126" t="inlineStr">
        <is>
          <t>RADIANT LOGISTICS, INC</t>
        </is>
      </c>
      <c r="B3126" t="inlineStr">
        <is>
          <t>RLGT</t>
        </is>
      </c>
      <c r="C3126" t="inlineStr">
        <is>
          <t>RADIANT LOGISTICS, INC</t>
        </is>
      </c>
      <c r="D3126" t="n">
        <v>4731</v>
      </c>
    </row>
    <row r="3127">
      <c r="A3127" t="inlineStr">
        <is>
          <t>RADIUS GLOBAL INFRASTRUCTURE, INC.</t>
        </is>
      </c>
      <c r="B3127" t="inlineStr">
        <is>
          <t>RADI</t>
        </is>
      </c>
      <c r="C3127" t="inlineStr">
        <is>
          <t>RADIUS GLOBAL INFRASTRUCTURE, INC.</t>
        </is>
      </c>
      <c r="D3127" t="n">
        <v>6519</v>
      </c>
    </row>
    <row r="3128">
      <c r="A3128" t="inlineStr">
        <is>
          <t>RADIUS HEALTH, INC.</t>
        </is>
      </c>
      <c r="B3128" t="inlineStr">
        <is>
          <t>RDUS</t>
        </is>
      </c>
      <c r="C3128" t="inlineStr">
        <is>
          <t>RADIUS HEALTH, INC.</t>
        </is>
      </c>
      <c r="D3128" t="n">
        <v>2834</v>
      </c>
    </row>
    <row r="3129">
      <c r="A3129" t="inlineStr">
        <is>
          <t>RADNET, INC.</t>
        </is>
      </c>
      <c r="B3129" t="inlineStr">
        <is>
          <t>RDNT</t>
        </is>
      </c>
      <c r="C3129" t="inlineStr">
        <is>
          <t>RADNET, INC.</t>
        </is>
      </c>
      <c r="D3129" t="n">
        <v>8071</v>
      </c>
    </row>
    <row r="3130">
      <c r="A3130" t="inlineStr">
        <is>
          <t>RADWARE LTD</t>
        </is>
      </c>
      <c r="B3130" t="inlineStr">
        <is>
          <t>RDWR</t>
        </is>
      </c>
      <c r="C3130" t="inlineStr">
        <is>
          <t>RADWARE LTD</t>
        </is>
      </c>
      <c r="D3130" t="n">
        <v>7389</v>
      </c>
    </row>
    <row r="3131">
      <c r="A3131" t="inlineStr">
        <is>
          <t>RAFAEL HOLDINGS, INC.</t>
        </is>
      </c>
      <c r="B3131" t="inlineStr">
        <is>
          <t>RFL</t>
        </is>
      </c>
      <c r="C3131" t="inlineStr">
        <is>
          <t>RAFAEL HOLDINGS, INC.</t>
        </is>
      </c>
      <c r="D3131" t="n">
        <v>6500</v>
      </c>
    </row>
    <row r="3132">
      <c r="A3132" t="inlineStr">
        <is>
          <t>RALPH LAUREN CORP</t>
        </is>
      </c>
      <c r="B3132" t="inlineStr">
        <is>
          <t>RL</t>
        </is>
      </c>
      <c r="C3132" t="inlineStr">
        <is>
          <t>RALPH LAUREN CORP</t>
        </is>
      </c>
      <c r="D3132" t="n">
        <v>2320</v>
      </c>
    </row>
    <row r="3133">
      <c r="A3133" t="inlineStr">
        <is>
          <t>RAMACO RESOURCES, INC.</t>
        </is>
      </c>
      <c r="B3133" t="inlineStr">
        <is>
          <t>METC</t>
        </is>
      </c>
      <c r="C3133" t="inlineStr">
        <is>
          <t>RAMACO RESOURCES, INC.</t>
        </is>
      </c>
      <c r="D3133" t="n">
        <v>1220</v>
      </c>
    </row>
    <row r="3134">
      <c r="A3134" t="inlineStr">
        <is>
          <t>RAMBUS INC</t>
        </is>
      </c>
      <c r="B3134" t="inlineStr">
        <is>
          <t>RMBS</t>
        </is>
      </c>
      <c r="C3134" t="inlineStr">
        <is>
          <t>RAMBUS INC</t>
        </is>
      </c>
      <c r="D3134" t="n">
        <v>3674</v>
      </c>
    </row>
    <row r="3135">
      <c r="A3135" t="inlineStr">
        <is>
          <t>RANDOLPH BANCORP, INC.</t>
        </is>
      </c>
      <c r="B3135" t="inlineStr">
        <is>
          <t>RNDB</t>
        </is>
      </c>
      <c r="C3135" t="inlineStr">
        <is>
          <t>RANDOLPH BANCORP, INC.</t>
        </is>
      </c>
      <c r="D3135" t="n">
        <v>6022</v>
      </c>
    </row>
    <row r="3136">
      <c r="A3136" t="inlineStr">
        <is>
          <t>RANGE RESOURCES CORP</t>
        </is>
      </c>
      <c r="B3136" t="inlineStr">
        <is>
          <t>RRC</t>
        </is>
      </c>
      <c r="C3136" t="inlineStr">
        <is>
          <t>RANGE RESOURCES CORP</t>
        </is>
      </c>
      <c r="D3136" t="n">
        <v>1311</v>
      </c>
    </row>
    <row r="3137">
      <c r="A3137" t="inlineStr">
        <is>
          <t>RANGER ENERGY SERVICES, INC.</t>
        </is>
      </c>
      <c r="B3137" t="inlineStr">
        <is>
          <t>RNGR</t>
        </is>
      </c>
      <c r="C3137" t="inlineStr">
        <is>
          <t>RANGER ENERGY SERVICES, INC.</t>
        </is>
      </c>
      <c r="D3137" t="n">
        <v>1389</v>
      </c>
    </row>
    <row r="3138">
      <c r="A3138" t="inlineStr">
        <is>
          <t>RANGER OIL CORP</t>
        </is>
      </c>
      <c r="B3138" t="inlineStr">
        <is>
          <t>ROCC</t>
        </is>
      </c>
      <c r="C3138" t="inlineStr">
        <is>
          <t>RANGER OIL CORP</t>
        </is>
      </c>
      <c r="D3138" t="n">
        <v>1311</v>
      </c>
    </row>
    <row r="3139">
      <c r="A3139" t="inlineStr">
        <is>
          <t>RANI THERAPEUTICS HOLDINGS, INC.</t>
        </is>
      </c>
      <c r="B3139" t="inlineStr">
        <is>
          <t>RANI</t>
        </is>
      </c>
      <c r="C3139" t="inlineStr">
        <is>
          <t>RANI THERAPEUTICS HOLDINGS, INC.</t>
        </is>
      </c>
      <c r="D3139" t="n">
        <v>2834</v>
      </c>
    </row>
    <row r="3140">
      <c r="A3140" t="inlineStr">
        <is>
          <t>RANPAK HOLDINGS CORP.</t>
        </is>
      </c>
      <c r="B3140" t="inlineStr">
        <is>
          <t>PACK</t>
        </is>
      </c>
      <c r="C3140" t="inlineStr">
        <is>
          <t>RANPAK HOLDINGS CORP.</t>
        </is>
      </c>
      <c r="D3140" t="n">
        <v>2670</v>
      </c>
    </row>
    <row r="3141">
      <c r="A3141" t="inlineStr">
        <is>
          <t>RAPID MICRO BIOSYSTEMS, INC.</t>
        </is>
      </c>
      <c r="B3141" t="inlineStr">
        <is>
          <t>RPID</t>
        </is>
      </c>
      <c r="C3141" t="inlineStr">
        <is>
          <t>RAPID MICRO BIOSYSTEMS, INC.</t>
        </is>
      </c>
      <c r="D3141" t="n">
        <v>3826</v>
      </c>
    </row>
    <row r="3142">
      <c r="A3142" t="inlineStr">
        <is>
          <t>RAPID7, INC.</t>
        </is>
      </c>
      <c r="B3142" t="inlineStr">
        <is>
          <t>RPD</t>
        </is>
      </c>
      <c r="C3142" t="inlineStr">
        <is>
          <t>RAPID7, INC.</t>
        </is>
      </c>
      <c r="D3142" t="n">
        <v>7372</v>
      </c>
    </row>
    <row r="3143">
      <c r="A3143" t="inlineStr">
        <is>
          <t>RAPT THERAPEUTICS, INC.</t>
        </is>
      </c>
      <c r="B3143" t="inlineStr">
        <is>
          <t>RAPT</t>
        </is>
      </c>
      <c r="C3143" t="inlineStr">
        <is>
          <t>RAPT THERAPEUTICS, INC.</t>
        </is>
      </c>
      <c r="D3143" t="n">
        <v>2834</v>
      </c>
    </row>
    <row r="3144">
      <c r="A3144" t="inlineStr">
        <is>
          <t>RATTLER MIDSTREAM LP</t>
        </is>
      </c>
      <c r="B3144" t="inlineStr">
        <is>
          <t>RTLR</t>
        </is>
      </c>
      <c r="C3144" t="inlineStr">
        <is>
          <t>RATTLER MIDSTREAM LP</t>
        </is>
      </c>
      <c r="D3144" t="n">
        <v>4922</v>
      </c>
    </row>
    <row r="3145">
      <c r="A3145" t="inlineStr">
        <is>
          <t>RAYMOND JAMES FINANCIAL INC</t>
        </is>
      </c>
      <c r="B3145" t="inlineStr">
        <is>
          <t>RJF</t>
        </is>
      </c>
      <c r="C3145" t="inlineStr">
        <is>
          <t>RAYMOND JAMES FINANCIAL INC</t>
        </is>
      </c>
      <c r="D3145" t="n">
        <v>6211</v>
      </c>
    </row>
    <row r="3146">
      <c r="A3146" t="inlineStr">
        <is>
          <t>RAYONIER ADVANCED MATERIALS INC.</t>
        </is>
      </c>
      <c r="B3146" t="inlineStr">
        <is>
          <t>RYAM</t>
        </is>
      </c>
      <c r="C3146" t="inlineStr">
        <is>
          <t>RAYONIER ADVANCED MATERIALS INC.</t>
        </is>
      </c>
      <c r="D3146" t="n">
        <v>2611</v>
      </c>
    </row>
    <row r="3147">
      <c r="A3147" t="inlineStr">
        <is>
          <t>RAYONIER INC</t>
        </is>
      </c>
      <c r="B3147" t="inlineStr">
        <is>
          <t>RYN</t>
        </is>
      </c>
      <c r="C3147" t="inlineStr">
        <is>
          <t>RAYONIER INC</t>
        </is>
      </c>
      <c r="D3147" t="n">
        <v>6798</v>
      </c>
    </row>
    <row r="3148">
      <c r="A3148" t="inlineStr">
        <is>
          <t>RAYTHEON TECHNOLOGIES CORP</t>
        </is>
      </c>
      <c r="B3148" t="inlineStr">
        <is>
          <t>RTX</t>
        </is>
      </c>
      <c r="C3148" t="inlineStr">
        <is>
          <t>RAYTHEON TECHNOLOGIES CORP</t>
        </is>
      </c>
      <c r="D3148" t="n">
        <v>3724</v>
      </c>
    </row>
    <row r="3149">
      <c r="A3149" t="inlineStr">
        <is>
          <t>RBB BANCORP</t>
        </is>
      </c>
      <c r="B3149" t="inlineStr">
        <is>
          <t>RBB</t>
        </is>
      </c>
      <c r="C3149" t="inlineStr">
        <is>
          <t>RBB BANCORP</t>
        </is>
      </c>
      <c r="D3149" t="n">
        <v>6022</v>
      </c>
    </row>
    <row r="3150">
      <c r="A3150" t="inlineStr">
        <is>
          <t>RBC BEARINGS INC</t>
        </is>
      </c>
      <c r="B3150" t="inlineStr">
        <is>
          <t>ROLL</t>
        </is>
      </c>
      <c r="C3150" t="inlineStr">
        <is>
          <t>RBC BEARINGS INC</t>
        </is>
      </c>
      <c r="D3150" t="n">
        <v>3562</v>
      </c>
    </row>
    <row r="3151">
      <c r="A3151" t="inlineStr">
        <is>
          <t>RCI HOSPITALITY HOLDINGS, INC.</t>
        </is>
      </c>
      <c r="B3151" t="inlineStr">
        <is>
          <t>RICK</t>
        </is>
      </c>
      <c r="C3151" t="inlineStr">
        <is>
          <t>RCI HOSPITALITY HOLDINGS, INC.</t>
        </is>
      </c>
      <c r="D3151" t="n">
        <v>5812</v>
      </c>
    </row>
    <row r="3152">
      <c r="A3152" t="inlineStr">
        <is>
          <t>RCM TECHNOLOGIES, INC.</t>
        </is>
      </c>
      <c r="B3152" t="inlineStr">
        <is>
          <t>RCMT</t>
        </is>
      </c>
      <c r="C3152" t="inlineStr">
        <is>
          <t>RCM TECHNOLOGIES, INC.</t>
        </is>
      </c>
      <c r="D3152" t="n">
        <v>7363</v>
      </c>
    </row>
    <row r="3153">
      <c r="A3153" t="inlineStr">
        <is>
          <t>RE/MAX HOLDINGS, INC.</t>
        </is>
      </c>
      <c r="B3153" t="inlineStr">
        <is>
          <t>RMAX</t>
        </is>
      </c>
      <c r="C3153" t="inlineStr">
        <is>
          <t>RE/MAX HOLDINGS, INC.</t>
        </is>
      </c>
      <c r="D3153" t="n">
        <v>6531</v>
      </c>
    </row>
    <row r="3154">
      <c r="A3154" t="inlineStr">
        <is>
          <t>READING INTERNATIONAL INC</t>
        </is>
      </c>
      <c r="B3154" t="inlineStr">
        <is>
          <t>RDI</t>
        </is>
      </c>
      <c r="C3154" t="inlineStr">
        <is>
          <t>READING INTERNATIONAL INC</t>
        </is>
      </c>
      <c r="D3154" t="n">
        <v>7830</v>
      </c>
    </row>
    <row r="3155">
      <c r="A3155" t="inlineStr">
        <is>
          <t>READY CAPITAL CORP</t>
        </is>
      </c>
      <c r="B3155" t="inlineStr">
        <is>
          <t>RC</t>
        </is>
      </c>
      <c r="C3155" t="inlineStr">
        <is>
          <t>READY CAPITAL CORP</t>
        </is>
      </c>
      <c r="D3155" t="n">
        <v>6798</v>
      </c>
    </row>
    <row r="3156">
      <c r="A3156" t="inlineStr">
        <is>
          <t>REAL GOOD FOOD COMPANY, INC.</t>
        </is>
      </c>
      <c r="B3156" t="inlineStr">
        <is>
          <t>RGF</t>
        </is>
      </c>
      <c r="C3156" t="inlineStr">
        <is>
          <t>REAL GOOD FOOD COMPANY, INC.</t>
        </is>
      </c>
      <c r="D3156" t="n">
        <v>2000</v>
      </c>
    </row>
    <row r="3157">
      <c r="A3157" t="inlineStr">
        <is>
          <t>REALNETWORKS INC</t>
        </is>
      </c>
      <c r="B3157" t="inlineStr">
        <is>
          <t>RNWK</t>
        </is>
      </c>
      <c r="C3157" t="inlineStr">
        <is>
          <t>REALNETWORKS INC</t>
        </is>
      </c>
      <c r="D3157" t="n">
        <v>7371</v>
      </c>
    </row>
    <row r="3158">
      <c r="A3158" t="inlineStr">
        <is>
          <t>REALTY INCOME CORP</t>
        </is>
      </c>
      <c r="B3158" t="inlineStr">
        <is>
          <t>O</t>
        </is>
      </c>
      <c r="C3158" t="inlineStr">
        <is>
          <t>REALTY INCOME CORP</t>
        </is>
      </c>
      <c r="D3158" t="n">
        <v>6798</v>
      </c>
    </row>
    <row r="3159">
      <c r="A3159" t="inlineStr">
        <is>
          <t>REATA PHARMACEUTICALS INC</t>
        </is>
      </c>
      <c r="B3159" t="inlineStr">
        <is>
          <t>RETA</t>
        </is>
      </c>
      <c r="C3159" t="inlineStr">
        <is>
          <t>REATA PHARMACEUTICALS INC</t>
        </is>
      </c>
      <c r="D3159" t="n">
        <v>2834</v>
      </c>
    </row>
    <row r="3160">
      <c r="A3160" t="inlineStr">
        <is>
          <t>RECON TECHNOLOGY, LTD</t>
        </is>
      </c>
      <c r="B3160" t="inlineStr">
        <is>
          <t>RCON</t>
        </is>
      </c>
      <c r="C3160" t="inlineStr">
        <is>
          <t>RECON TECHNOLOGY, LTD</t>
        </is>
      </c>
      <c r="D3160" t="n">
        <v>1389</v>
      </c>
    </row>
    <row r="3161">
      <c r="A3161" t="inlineStr">
        <is>
          <t>RECRO PHARMA, INC.</t>
        </is>
      </c>
      <c r="B3161" t="inlineStr">
        <is>
          <t>REPH</t>
        </is>
      </c>
      <c r="C3161" t="inlineStr">
        <is>
          <t>RECRO PHARMA, INC.</t>
        </is>
      </c>
      <c r="D3161" t="n">
        <v>2834</v>
      </c>
    </row>
    <row r="3162">
      <c r="A3162" t="inlineStr">
        <is>
          <t>RECURSION PHARMACEUTICALS, INC.</t>
        </is>
      </c>
      <c r="B3162" t="inlineStr">
        <is>
          <t>RXRX</t>
        </is>
      </c>
      <c r="C3162" t="inlineStr">
        <is>
          <t>RECURSION PHARMACEUTICALS, INC.</t>
        </is>
      </c>
      <c r="D3162" t="n">
        <v>2836</v>
      </c>
    </row>
    <row r="3163">
      <c r="A3163" t="inlineStr">
        <is>
          <t>RED RIVER BANCSHARES INC</t>
        </is>
      </c>
      <c r="B3163" t="inlineStr">
        <is>
          <t>RRBI</t>
        </is>
      </c>
      <c r="C3163" t="inlineStr">
        <is>
          <t>RED RIVER BANCSHARES INC</t>
        </is>
      </c>
      <c r="D3163" t="n">
        <v>6022</v>
      </c>
    </row>
    <row r="3164">
      <c r="A3164" t="inlineStr">
        <is>
          <t>RED ROBIN GOURMET BURGERS INC</t>
        </is>
      </c>
      <c r="B3164" t="inlineStr">
        <is>
          <t>RRGB</t>
        </is>
      </c>
      <c r="C3164" t="inlineStr">
        <is>
          <t>RED ROBIN GOURMET BURGERS INC</t>
        </is>
      </c>
      <c r="D3164" t="n">
        <v>5812</v>
      </c>
    </row>
    <row r="3165">
      <c r="A3165" t="inlineStr">
        <is>
          <t>RED ROCK RESORTS, INC.</t>
        </is>
      </c>
      <c r="B3165" t="inlineStr">
        <is>
          <t>RRR</t>
        </is>
      </c>
      <c r="C3165" t="inlineStr">
        <is>
          <t>RED ROCK RESORTS, INC.</t>
        </is>
      </c>
      <c r="D3165" t="n">
        <v>7011</v>
      </c>
    </row>
    <row r="3166">
      <c r="A3166" t="inlineStr">
        <is>
          <t>RED VIOLET, INC.</t>
        </is>
      </c>
      <c r="B3166" t="inlineStr">
        <is>
          <t>RDVT</t>
        </is>
      </c>
      <c r="C3166" t="inlineStr">
        <is>
          <t>RED VIOLET, INC.</t>
        </is>
      </c>
      <c r="D3166" t="n">
        <v>7372</v>
      </c>
    </row>
    <row r="3167">
      <c r="A3167" t="inlineStr">
        <is>
          <t>REDBOX ENTERTAINMENT INC.</t>
        </is>
      </c>
      <c r="B3167" t="inlineStr">
        <is>
          <t>RDBX</t>
        </is>
      </c>
      <c r="C3167" t="inlineStr">
        <is>
          <t>REDBOX ENTERTAINMENT INC.</t>
        </is>
      </c>
      <c r="D3167" t="n">
        <v>7841</v>
      </c>
    </row>
    <row r="3168">
      <c r="A3168" t="inlineStr">
        <is>
          <t>REDFIN CORP</t>
        </is>
      </c>
      <c r="B3168" t="inlineStr">
        <is>
          <t>RDFN</t>
        </is>
      </c>
      <c r="C3168" t="inlineStr">
        <is>
          <t>REDFIN CORP</t>
        </is>
      </c>
      <c r="D3168" t="n">
        <v>6531</v>
      </c>
    </row>
    <row r="3169">
      <c r="A3169" t="inlineStr">
        <is>
          <t>REDWIRE CORP</t>
        </is>
      </c>
      <c r="B3169" t="inlineStr">
        <is>
          <t>RDW</t>
        </is>
      </c>
      <c r="C3169" t="inlineStr">
        <is>
          <t>REDWIRE CORP</t>
        </is>
      </c>
      <c r="D3169" t="n">
        <v>3760</v>
      </c>
    </row>
    <row r="3170">
      <c r="A3170" t="inlineStr">
        <is>
          <t>REDWOOD TRUST INC</t>
        </is>
      </c>
      <c r="B3170" t="inlineStr">
        <is>
          <t>RWT</t>
        </is>
      </c>
      <c r="C3170" t="inlineStr">
        <is>
          <t>REDWOOD TRUST INC</t>
        </is>
      </c>
      <c r="D3170" t="n">
        <v>6798</v>
      </c>
    </row>
    <row r="3171">
      <c r="A3171" t="inlineStr">
        <is>
          <t>REE AUTOMOTIVE LTD.</t>
        </is>
      </c>
      <c r="B3171" t="inlineStr">
        <is>
          <t>REE</t>
        </is>
      </c>
      <c r="C3171" t="inlineStr">
        <is>
          <t>REE AUTOMOTIVE LTD.</t>
        </is>
      </c>
      <c r="D3171" t="n">
        <v>3711</v>
      </c>
    </row>
    <row r="3172">
      <c r="A3172" t="inlineStr">
        <is>
          <t>REED'S, INC.</t>
        </is>
      </c>
      <c r="B3172" t="inlineStr">
        <is>
          <t>REED</t>
        </is>
      </c>
      <c r="C3172" t="inlineStr">
        <is>
          <t>REED'S, INC.</t>
        </is>
      </c>
      <c r="D3172" t="n">
        <v>2086</v>
      </c>
    </row>
    <row r="3173">
      <c r="A3173" t="inlineStr">
        <is>
          <t>REGAL REXNORD CORP</t>
        </is>
      </c>
      <c r="B3173" t="inlineStr">
        <is>
          <t>RRX</t>
        </is>
      </c>
      <c r="C3173" t="inlineStr">
        <is>
          <t>REGAL REXNORD CORP</t>
        </is>
      </c>
      <c r="D3173" t="n">
        <v>3621</v>
      </c>
    </row>
    <row r="3174">
      <c r="A3174" t="inlineStr">
        <is>
          <t>REGENCY CENTERS CORP</t>
        </is>
      </c>
      <c r="B3174" t="inlineStr">
        <is>
          <t>REG</t>
        </is>
      </c>
      <c r="C3174" t="inlineStr">
        <is>
          <t>REGENCY CENTERS CORP</t>
        </is>
      </c>
      <c r="D3174" t="n">
        <v>6798</v>
      </c>
    </row>
    <row r="3175">
      <c r="A3175" t="inlineStr">
        <is>
          <t>REGENERON PHARMACEUTICALS, INC.</t>
        </is>
      </c>
      <c r="B3175" t="inlineStr">
        <is>
          <t>REGN</t>
        </is>
      </c>
      <c r="C3175" t="inlineStr">
        <is>
          <t>REGENERON PHARMACEUTICALS, INC.</t>
        </is>
      </c>
      <c r="D3175" t="n">
        <v>2834</v>
      </c>
    </row>
    <row r="3176">
      <c r="A3176" t="inlineStr">
        <is>
          <t>REGENXBIO INC.</t>
        </is>
      </c>
      <c r="B3176" t="inlineStr">
        <is>
          <t>RGNX</t>
        </is>
      </c>
      <c r="C3176" t="inlineStr">
        <is>
          <t>REGENXBIO INC.</t>
        </is>
      </c>
      <c r="D3176" t="n">
        <v>2836</v>
      </c>
    </row>
    <row r="3177">
      <c r="A3177" t="inlineStr">
        <is>
          <t>REGIONAL MANAGEMENT CORP.</t>
        </is>
      </c>
      <c r="B3177" t="inlineStr">
        <is>
          <t>RM</t>
        </is>
      </c>
      <c r="C3177" t="inlineStr">
        <is>
          <t>REGIONAL MANAGEMENT CORP.</t>
        </is>
      </c>
      <c r="D3177" t="n">
        <v>6141</v>
      </c>
    </row>
    <row r="3178">
      <c r="A3178" t="inlineStr">
        <is>
          <t>REGIONS FINANCIAL CORP</t>
        </is>
      </c>
      <c r="B3178" t="inlineStr">
        <is>
          <t>RF</t>
        </is>
      </c>
      <c r="C3178" t="inlineStr">
        <is>
          <t>REGIONS FINANCIAL CORP</t>
        </is>
      </c>
      <c r="D3178" t="n">
        <v>6021</v>
      </c>
    </row>
    <row r="3179">
      <c r="A3179" t="inlineStr">
        <is>
          <t>REGIS CORP</t>
        </is>
      </c>
      <c r="B3179" t="inlineStr">
        <is>
          <t>RGS</t>
        </is>
      </c>
      <c r="C3179" t="inlineStr">
        <is>
          <t>REGIS CORP</t>
        </is>
      </c>
      <c r="D3179" t="n">
        <v>7200</v>
      </c>
    </row>
    <row r="3180">
      <c r="A3180" t="inlineStr">
        <is>
          <t>REGULUS THERAPEUTICS INC.</t>
        </is>
      </c>
      <c r="B3180" t="inlineStr">
        <is>
          <t>RGLS</t>
        </is>
      </c>
      <c r="C3180" t="inlineStr">
        <is>
          <t>REGULUS THERAPEUTICS INC.</t>
        </is>
      </c>
      <c r="D3180" t="n">
        <v>2834</v>
      </c>
    </row>
    <row r="3181">
      <c r="A3181" t="inlineStr">
        <is>
          <t>REINSURANCE GROUP OF AMERICA INC</t>
        </is>
      </c>
      <c r="B3181" t="inlineStr">
        <is>
          <t>RGA</t>
        </is>
      </c>
      <c r="C3181" t="inlineStr">
        <is>
          <t>REINSURANCE GROUP OF AMERICA INC</t>
        </is>
      </c>
      <c r="D3181" t="n">
        <v>6311</v>
      </c>
    </row>
    <row r="3182">
      <c r="A3182" t="inlineStr">
        <is>
          <t>REKOR SYSTEMS, INC.</t>
        </is>
      </c>
      <c r="B3182" t="inlineStr">
        <is>
          <t>REKR</t>
        </is>
      </c>
      <c r="C3182" t="inlineStr">
        <is>
          <t>REKOR SYSTEMS, INC.</t>
        </is>
      </c>
      <c r="D3182" t="n">
        <v>3669</v>
      </c>
    </row>
    <row r="3183">
      <c r="A3183" t="inlineStr">
        <is>
          <t>RELAY THERAPEUTICS, INC.</t>
        </is>
      </c>
      <c r="B3183" t="inlineStr">
        <is>
          <t>RLAY</t>
        </is>
      </c>
      <c r="C3183" t="inlineStr">
        <is>
          <t>RELAY THERAPEUTICS, INC.</t>
        </is>
      </c>
      <c r="D3183" t="n">
        <v>2836</v>
      </c>
    </row>
    <row r="3184">
      <c r="A3184" t="inlineStr">
        <is>
          <t>RELIABILITY INC</t>
        </is>
      </c>
      <c r="B3184" t="inlineStr">
        <is>
          <t>RLBY</t>
        </is>
      </c>
      <c r="C3184" t="inlineStr">
        <is>
          <t>RELIABILITY INC</t>
        </is>
      </c>
      <c r="D3184" t="n">
        <v>3825</v>
      </c>
    </row>
    <row r="3185">
      <c r="A3185" t="inlineStr">
        <is>
          <t>RELIANCE GLOBAL GROUP, INC.</t>
        </is>
      </c>
      <c r="B3185" t="inlineStr">
        <is>
          <t>RELI</t>
        </is>
      </c>
      <c r="C3185" t="inlineStr">
        <is>
          <t>RELIANCE GLOBAL GROUP, INC.</t>
        </is>
      </c>
      <c r="D3185" t="n">
        <v>6411</v>
      </c>
    </row>
    <row r="3186">
      <c r="A3186" t="inlineStr">
        <is>
          <t>RELIANCE STEEL &amp; ALUMINUM CO</t>
        </is>
      </c>
      <c r="B3186" t="inlineStr">
        <is>
          <t>RS</t>
        </is>
      </c>
      <c r="C3186" t="inlineStr">
        <is>
          <t>RELIANCE STEEL &amp; ALUMINUM CO</t>
        </is>
      </c>
      <c r="D3186" t="n">
        <v>5051</v>
      </c>
    </row>
    <row r="3187">
      <c r="A3187" t="inlineStr">
        <is>
          <t>RELMADA THERAPEUTICS, INC.</t>
        </is>
      </c>
      <c r="B3187" t="inlineStr">
        <is>
          <t>RLMD</t>
        </is>
      </c>
      <c r="C3187" t="inlineStr">
        <is>
          <t>RELMADA THERAPEUTICS, INC.</t>
        </is>
      </c>
      <c r="D3187" t="n">
        <v>2834</v>
      </c>
    </row>
    <row r="3188">
      <c r="A3188" t="inlineStr">
        <is>
          <t>REMARK HOLDINGS, INC.</t>
        </is>
      </c>
      <c r="B3188" t="inlineStr">
        <is>
          <t>MARK</t>
        </is>
      </c>
      <c r="C3188" t="inlineStr">
        <is>
          <t>REMARK HOLDINGS, INC.</t>
        </is>
      </c>
      <c r="D3188" t="n">
        <v>4899</v>
      </c>
    </row>
    <row r="3189">
      <c r="A3189" t="inlineStr">
        <is>
          <t>REMITLY GLOBAL, INC.</t>
        </is>
      </c>
      <c r="B3189" t="inlineStr">
        <is>
          <t>RELY</t>
        </is>
      </c>
      <c r="C3189" t="inlineStr">
        <is>
          <t>REMITLY GLOBAL, INC.</t>
        </is>
      </c>
      <c r="D3189" t="n">
        <v>7389</v>
      </c>
    </row>
    <row r="3190">
      <c r="A3190" t="inlineStr">
        <is>
          <t>RENAISSANCERE HOLDINGS LTD</t>
        </is>
      </c>
      <c r="B3190" t="inlineStr">
        <is>
          <t>RNR</t>
        </is>
      </c>
      <c r="C3190" t="inlineStr">
        <is>
          <t>RENAISSANCERE HOLDINGS LTD</t>
        </is>
      </c>
      <c r="D3190" t="n">
        <v>6331</v>
      </c>
    </row>
    <row r="3191">
      <c r="A3191" t="inlineStr">
        <is>
          <t>RENASANT CORP</t>
        </is>
      </c>
      <c r="B3191" t="inlineStr">
        <is>
          <t>RNST</t>
        </is>
      </c>
      <c r="C3191" t="inlineStr">
        <is>
          <t>RENASANT CORP</t>
        </is>
      </c>
      <c r="D3191" t="n">
        <v>6022</v>
      </c>
    </row>
    <row r="3192">
      <c r="A3192" t="inlineStr">
        <is>
          <t>RENESOLA LTD</t>
        </is>
      </c>
      <c r="B3192" t="inlineStr">
        <is>
          <t>SOL</t>
        </is>
      </c>
      <c r="C3192" t="inlineStr">
        <is>
          <t>RENESOLA LTD</t>
        </is>
      </c>
      <c r="D3192" t="n">
        <v>3674</v>
      </c>
    </row>
    <row r="3193">
      <c r="A3193" t="inlineStr">
        <is>
          <t>RENREN INC.</t>
        </is>
      </c>
      <c r="B3193" t="inlineStr">
        <is>
          <t>RENN</t>
        </is>
      </c>
      <c r="C3193" t="inlineStr">
        <is>
          <t>RENREN INC.</t>
        </is>
      </c>
      <c r="D3193" t="n">
        <v>5500</v>
      </c>
    </row>
    <row r="3194">
      <c r="A3194" t="inlineStr">
        <is>
          <t>RENT A CENTER INC DE</t>
        </is>
      </c>
      <c r="B3194" t="inlineStr">
        <is>
          <t>RCII</t>
        </is>
      </c>
      <c r="C3194" t="inlineStr">
        <is>
          <t>RENT A CENTER INC DE</t>
        </is>
      </c>
      <c r="D3194" t="n">
        <v>7359</v>
      </c>
    </row>
    <row r="3195">
      <c r="A3195" t="inlineStr">
        <is>
          <t>RENT THE RUNWAY, INC.</t>
        </is>
      </c>
      <c r="B3195" t="inlineStr">
        <is>
          <t>RENT</t>
        </is>
      </c>
      <c r="C3195" t="inlineStr">
        <is>
          <t>RENT THE RUNWAY, INC.</t>
        </is>
      </c>
      <c r="D3195" t="n">
        <v>5990</v>
      </c>
    </row>
    <row r="3196">
      <c r="A3196" t="inlineStr">
        <is>
          <t>REPAY HOLDINGS CORP</t>
        </is>
      </c>
      <c r="B3196" t="inlineStr">
        <is>
          <t>RPAY</t>
        </is>
      </c>
      <c r="C3196" t="inlineStr">
        <is>
          <t>REPAY HOLDINGS CORP</t>
        </is>
      </c>
      <c r="D3196" t="n">
        <v>7389</v>
      </c>
    </row>
    <row r="3197">
      <c r="A3197" t="inlineStr">
        <is>
          <t>REPLIGEN CORP</t>
        </is>
      </c>
      <c r="B3197" t="inlineStr">
        <is>
          <t>RGEN</t>
        </is>
      </c>
      <c r="C3197" t="inlineStr">
        <is>
          <t>REPLIGEN CORP</t>
        </is>
      </c>
      <c r="D3197" t="n">
        <v>2836</v>
      </c>
    </row>
    <row r="3198">
      <c r="A3198" t="inlineStr">
        <is>
          <t>REPRO MED SYSTEMS INC</t>
        </is>
      </c>
      <c r="B3198" t="inlineStr">
        <is>
          <t>KRMD</t>
        </is>
      </c>
      <c r="C3198" t="inlineStr">
        <is>
          <t>REPRO MED SYSTEMS INC</t>
        </is>
      </c>
      <c r="D3198" t="n">
        <v>3841</v>
      </c>
    </row>
    <row r="3199">
      <c r="A3199" t="inlineStr">
        <is>
          <t>REPUBLIC BANCORP INC /KY/</t>
        </is>
      </c>
      <c r="B3199" t="inlineStr">
        <is>
          <t>RBCAA</t>
        </is>
      </c>
      <c r="C3199" t="inlineStr">
        <is>
          <t>REPUBLIC BANCORP INC /KY/</t>
        </is>
      </c>
      <c r="D3199" t="n">
        <v>6022</v>
      </c>
    </row>
    <row r="3200">
      <c r="A3200" t="inlineStr">
        <is>
          <t>REPUBLIC FIRST BANCORP INC</t>
        </is>
      </c>
      <c r="B3200" t="inlineStr">
        <is>
          <t>FRBK</t>
        </is>
      </c>
      <c r="C3200" t="inlineStr">
        <is>
          <t>REPUBLIC FIRST BANCORP INC</t>
        </is>
      </c>
      <c r="D3200" t="n">
        <v>6022</v>
      </c>
    </row>
    <row r="3201">
      <c r="A3201" t="inlineStr">
        <is>
          <t>REPUBLIC SERVICES, INC.</t>
        </is>
      </c>
      <c r="B3201" t="inlineStr">
        <is>
          <t>RSG</t>
        </is>
      </c>
      <c r="C3201" t="inlineStr">
        <is>
          <t>REPUBLIC SERVICES, INC.</t>
        </is>
      </c>
      <c r="D3201" t="n">
        <v>4953</v>
      </c>
    </row>
    <row r="3202">
      <c r="A3202" t="inlineStr">
        <is>
          <t>RESEARCH SOLUTIONS, INC.</t>
        </is>
      </c>
      <c r="B3202" t="inlineStr">
        <is>
          <t>RSSS</t>
        </is>
      </c>
      <c r="C3202" t="inlineStr">
        <is>
          <t>RESEARCH SOLUTIONS, INC.</t>
        </is>
      </c>
      <c r="D3202" t="n">
        <v>7389</v>
      </c>
    </row>
    <row r="3203">
      <c r="A3203" t="inlineStr">
        <is>
          <t>RESERVE PETROLEUM CO</t>
        </is>
      </c>
      <c r="B3203" t="inlineStr">
        <is>
          <t>RSRV</t>
        </is>
      </c>
      <c r="C3203" t="inlineStr">
        <is>
          <t>RESERVE PETROLEUM CO</t>
        </is>
      </c>
      <c r="D3203" t="n">
        <v>1311</v>
      </c>
    </row>
    <row r="3204">
      <c r="A3204" t="inlineStr">
        <is>
          <t>RESERVOIR MEDIA, INC.</t>
        </is>
      </c>
      <c r="B3204" t="inlineStr">
        <is>
          <t>RSVR</t>
        </is>
      </c>
      <c r="C3204" t="inlineStr">
        <is>
          <t>RESERVOIR MEDIA, INC.</t>
        </is>
      </c>
      <c r="D3204" t="n">
        <v>7900</v>
      </c>
    </row>
    <row r="3205">
      <c r="A3205" t="inlineStr">
        <is>
          <t>RESIDEO TECHNOLOGIES, INC.</t>
        </is>
      </c>
      <c r="B3205" t="inlineStr">
        <is>
          <t>REZI</t>
        </is>
      </c>
      <c r="C3205" t="inlineStr">
        <is>
          <t>RESIDEO TECHNOLOGIES, INC.</t>
        </is>
      </c>
      <c r="D3205" t="n">
        <v>5072</v>
      </c>
    </row>
    <row r="3206">
      <c r="A3206" t="inlineStr">
        <is>
          <t>RESMED INC</t>
        </is>
      </c>
      <c r="B3206" t="inlineStr">
        <is>
          <t>RMD</t>
        </is>
      </c>
      <c r="C3206" t="inlineStr">
        <is>
          <t>RESMED INC</t>
        </is>
      </c>
      <c r="D3206" t="n">
        <v>3841</v>
      </c>
    </row>
    <row r="3207">
      <c r="A3207" t="inlineStr">
        <is>
          <t>RESOLUTE FOREST PRODUCTS INC.</t>
        </is>
      </c>
      <c r="B3207" t="inlineStr">
        <is>
          <t>RFP</t>
        </is>
      </c>
      <c r="C3207" t="inlineStr">
        <is>
          <t>RESOLUTE FOREST PRODUCTS INC.</t>
        </is>
      </c>
      <c r="D3207" t="n">
        <v>2621</v>
      </c>
    </row>
    <row r="3208">
      <c r="A3208" t="inlineStr">
        <is>
          <t>RESOURCES CONNECTION, INC.</t>
        </is>
      </c>
      <c r="B3208" t="inlineStr">
        <is>
          <t>RGP</t>
        </is>
      </c>
      <c r="C3208" t="inlineStr">
        <is>
          <t>RESOURCES CONNECTION, INC.</t>
        </is>
      </c>
      <c r="D3208" t="n">
        <v>7389</v>
      </c>
    </row>
    <row r="3209">
      <c r="A3209" t="inlineStr">
        <is>
          <t>RESTAURANT BRANDS INTERNATIONAL INC.</t>
        </is>
      </c>
      <c r="B3209" t="inlineStr">
        <is>
          <t>QSR</t>
        </is>
      </c>
      <c r="C3209" t="inlineStr">
        <is>
          <t>RESTAURANT BRANDS INTERNATIONAL INC.</t>
        </is>
      </c>
      <c r="D3209" t="n">
        <v>5812</v>
      </c>
    </row>
    <row r="3210">
      <c r="A3210" t="inlineStr">
        <is>
          <t>RETAIL OPPORTUNITY INVESTMENTS CORP</t>
        </is>
      </c>
      <c r="B3210" t="inlineStr">
        <is>
          <t>ROIC</t>
        </is>
      </c>
      <c r="C3210" t="inlineStr">
        <is>
          <t>RETAIL OPPORTUNITY INVESTMENTS CORP</t>
        </is>
      </c>
      <c r="D3210" t="n">
        <v>6798</v>
      </c>
    </row>
    <row r="3211">
      <c r="A3211" t="inlineStr">
        <is>
          <t>RETO ECO-SOLUTIONS, INC.</t>
        </is>
      </c>
      <c r="B3211" t="inlineStr">
        <is>
          <t>RETO</t>
        </is>
      </c>
      <c r="C3211" t="inlineStr">
        <is>
          <t>RETO ECO-SOLUTIONS, INC.</t>
        </is>
      </c>
      <c r="D3211" t="n">
        <v>3290</v>
      </c>
    </row>
    <row r="3212">
      <c r="A3212" t="inlineStr">
        <is>
          <t>RETRACTABLE TECHNOLOGIES INC</t>
        </is>
      </c>
      <c r="B3212" t="inlineStr">
        <is>
          <t>RVP</t>
        </is>
      </c>
      <c r="C3212" t="inlineStr">
        <is>
          <t>RETRACTABLE TECHNOLOGIES INC</t>
        </is>
      </c>
      <c r="D3212" t="n">
        <v>3841</v>
      </c>
    </row>
    <row r="3213">
      <c r="A3213" t="inlineStr">
        <is>
          <t>REV GROUP, INC.</t>
        </is>
      </c>
      <c r="B3213" t="inlineStr">
        <is>
          <t>REVG</t>
        </is>
      </c>
      <c r="C3213" t="inlineStr">
        <is>
          <t>REV GROUP, INC.</t>
        </is>
      </c>
      <c r="D3213" t="n">
        <v>3711</v>
      </c>
    </row>
    <row r="3214">
      <c r="A3214" t="inlineStr">
        <is>
          <t>REVANCE THERAPEUTICS, INC.</t>
        </is>
      </c>
      <c r="B3214" t="inlineStr">
        <is>
          <t>RVNC</t>
        </is>
      </c>
      <c r="C3214" t="inlineStr">
        <is>
          <t>REVANCE THERAPEUTICS, INC.</t>
        </is>
      </c>
      <c r="D3214" t="n">
        <v>2834</v>
      </c>
    </row>
    <row r="3215">
      <c r="A3215" t="inlineStr">
        <is>
          <t>REVLON INC /DE/</t>
        </is>
      </c>
      <c r="B3215" t="inlineStr">
        <is>
          <t>REV</t>
        </is>
      </c>
      <c r="C3215" t="inlineStr">
        <is>
          <t>REVLON INC /DE/</t>
        </is>
      </c>
      <c r="D3215" t="n">
        <v>2844</v>
      </c>
    </row>
    <row r="3216">
      <c r="A3216" t="inlineStr">
        <is>
          <t>REVOLUTION MEDICINES, INC.</t>
        </is>
      </c>
      <c r="B3216" t="inlineStr">
        <is>
          <t>RVMD</t>
        </is>
      </c>
      <c r="C3216" t="inlineStr">
        <is>
          <t>REVOLUTION MEDICINES, INC.</t>
        </is>
      </c>
      <c r="D3216" t="n">
        <v>2836</v>
      </c>
    </row>
    <row r="3217">
      <c r="A3217" t="inlineStr">
        <is>
          <t>REVOLVE GROUP, INC.</t>
        </is>
      </c>
      <c r="B3217" t="inlineStr">
        <is>
          <t>RVLV</t>
        </is>
      </c>
      <c r="C3217" t="inlineStr">
        <is>
          <t>REVOLVE GROUP, INC.</t>
        </is>
      </c>
      <c r="D3217" t="n">
        <v>5961</v>
      </c>
    </row>
    <row r="3218">
      <c r="A3218" t="inlineStr">
        <is>
          <t>REWALK ROBOTICS LTD.</t>
        </is>
      </c>
      <c r="B3218" t="inlineStr">
        <is>
          <t>RWLK</t>
        </is>
      </c>
      <c r="C3218" t="inlineStr">
        <is>
          <t>REWALK ROBOTICS LTD.</t>
        </is>
      </c>
      <c r="D3218" t="n">
        <v>3842</v>
      </c>
    </row>
    <row r="3219">
      <c r="A3219" t="inlineStr">
        <is>
          <t>REX AMERICAN RESOURCES CORP</t>
        </is>
      </c>
      <c r="B3219" t="inlineStr">
        <is>
          <t>REX</t>
        </is>
      </c>
      <c r="C3219" t="inlineStr">
        <is>
          <t>REX AMERICAN RESOURCES CORP</t>
        </is>
      </c>
      <c r="D3219" t="n">
        <v>2860</v>
      </c>
    </row>
    <row r="3220">
      <c r="A3220" t="inlineStr">
        <is>
          <t>REXFORD INDUSTRIAL REALTY, INC.</t>
        </is>
      </c>
      <c r="B3220" t="inlineStr">
        <is>
          <t>REXR</t>
        </is>
      </c>
      <c r="C3220" t="inlineStr">
        <is>
          <t>REXFORD INDUSTRIAL REALTY, INC.</t>
        </is>
      </c>
      <c r="D3220" t="n">
        <v>6798</v>
      </c>
    </row>
    <row r="3221">
      <c r="A3221" t="inlineStr">
        <is>
          <t>REYNOLDS CONSUMER PRODUCTS INC.</t>
        </is>
      </c>
      <c r="B3221" t="inlineStr">
        <is>
          <t>REYN</t>
        </is>
      </c>
      <c r="C3221" t="inlineStr">
        <is>
          <t>REYNOLDS CONSUMER PRODUCTS INC.</t>
        </is>
      </c>
      <c r="D3221" t="n">
        <v>2673</v>
      </c>
    </row>
    <row r="3222">
      <c r="A3222" t="inlineStr">
        <is>
          <t>RGC RESOURCES INC</t>
        </is>
      </c>
      <c r="B3222" t="inlineStr">
        <is>
          <t>RGCO</t>
        </is>
      </c>
      <c r="C3222" t="inlineStr">
        <is>
          <t>RGC RESOURCES INC</t>
        </is>
      </c>
      <c r="D3222" t="n">
        <v>4923</v>
      </c>
    </row>
    <row r="3223">
      <c r="A3223" t="inlineStr">
        <is>
          <t>RH</t>
        </is>
      </c>
      <c r="B3223" t="inlineStr">
        <is>
          <t>RH</t>
        </is>
      </c>
      <c r="C3223" t="inlineStr">
        <is>
          <t>RH</t>
        </is>
      </c>
      <c r="D3223" t="n">
        <v>5712</v>
      </c>
    </row>
    <row r="3224">
      <c r="A3224" t="inlineStr">
        <is>
          <t>RHINEBECK BANCORP, INC.</t>
        </is>
      </c>
      <c r="B3224" t="inlineStr">
        <is>
          <t>RBKB</t>
        </is>
      </c>
      <c r="C3224" t="inlineStr">
        <is>
          <t>RHINEBECK BANCORP, INC.</t>
        </is>
      </c>
      <c r="D3224" t="n">
        <v>6036</v>
      </c>
    </row>
    <row r="3225">
      <c r="A3225" t="inlineStr">
        <is>
          <t>RIBBON COMMUNICATIONS INC.</t>
        </is>
      </c>
      <c r="B3225" t="inlineStr">
        <is>
          <t>RBBN</t>
        </is>
      </c>
      <c r="C3225" t="inlineStr">
        <is>
          <t>RIBBON COMMUNICATIONS INC.</t>
        </is>
      </c>
      <c r="D3225" t="n">
        <v>7373</v>
      </c>
    </row>
    <row r="3226">
      <c r="A3226" t="inlineStr">
        <is>
          <t>RICEBRAN TECHNOLOGIES</t>
        </is>
      </c>
      <c r="B3226" t="inlineStr">
        <is>
          <t>RIBT</t>
        </is>
      </c>
      <c r="C3226" t="inlineStr">
        <is>
          <t>RICEBRAN TECHNOLOGIES</t>
        </is>
      </c>
      <c r="D3226" t="n">
        <v>2040</v>
      </c>
    </row>
    <row r="3227">
      <c r="A3227" t="inlineStr">
        <is>
          <t>RICHARDSON ELECTRONICS LTD/DE</t>
        </is>
      </c>
      <c r="B3227" t="inlineStr">
        <is>
          <t>RELL</t>
        </is>
      </c>
      <c r="C3227" t="inlineStr">
        <is>
          <t>RICHARDSON ELECTRONICS LTD/DE</t>
        </is>
      </c>
      <c r="D3227" t="n">
        <v>5065</v>
      </c>
    </row>
    <row r="3228">
      <c r="A3228" t="inlineStr">
        <is>
          <t>RICHMOND MUTUAL BANCORPORATION, INC.</t>
        </is>
      </c>
      <c r="B3228" t="inlineStr">
        <is>
          <t>RMBI</t>
        </is>
      </c>
      <c r="C3228" t="inlineStr">
        <is>
          <t>RICHMOND MUTUAL BANCORPORATION, INC.</t>
        </is>
      </c>
      <c r="D3228" t="n">
        <v>6022</v>
      </c>
    </row>
    <row r="3229">
      <c r="A3229" t="inlineStr">
        <is>
          <t>RIGEL PHARMACEUTICALS INC</t>
        </is>
      </c>
      <c r="B3229" t="inlineStr">
        <is>
          <t>RIGL</t>
        </is>
      </c>
      <c r="C3229" t="inlineStr">
        <is>
          <t>RIGEL PHARMACEUTICALS INC</t>
        </is>
      </c>
      <c r="D3229" t="n">
        <v>2834</v>
      </c>
    </row>
    <row r="3230">
      <c r="A3230" t="inlineStr">
        <is>
          <t>RILEY EXPLORATION PERMIAN, INC.</t>
        </is>
      </c>
      <c r="B3230" t="inlineStr">
        <is>
          <t>REPX</t>
        </is>
      </c>
      <c r="C3230" t="inlineStr">
        <is>
          <t>RILEY EXPLORATION PERMIAN, INC.</t>
        </is>
      </c>
      <c r="D3230" t="n">
        <v>1311</v>
      </c>
    </row>
    <row r="3231">
      <c r="A3231" t="inlineStr">
        <is>
          <t>RIMINI STREET, INC.</t>
        </is>
      </c>
      <c r="B3231" t="inlineStr">
        <is>
          <t>RMNI</t>
        </is>
      </c>
      <c r="C3231" t="inlineStr">
        <is>
          <t>RIMINI STREET, INC.</t>
        </is>
      </c>
      <c r="D3231" t="n">
        <v>7389</v>
      </c>
    </row>
    <row r="3232">
      <c r="A3232" t="inlineStr">
        <is>
          <t>RING ENERGY, INC.</t>
        </is>
      </c>
      <c r="B3232" t="inlineStr">
        <is>
          <t>REI</t>
        </is>
      </c>
      <c r="C3232" t="inlineStr">
        <is>
          <t>RING ENERGY, INC.</t>
        </is>
      </c>
      <c r="D3232" t="n">
        <v>1311</v>
      </c>
    </row>
    <row r="3233">
      <c r="A3233" t="inlineStr">
        <is>
          <t>RINGCENTRAL, INC.</t>
        </is>
      </c>
      <c r="B3233" t="inlineStr">
        <is>
          <t>RNG</t>
        </is>
      </c>
      <c r="C3233" t="inlineStr">
        <is>
          <t>RINGCENTRAL, INC.</t>
        </is>
      </c>
      <c r="D3233" t="n">
        <v>7374</v>
      </c>
    </row>
    <row r="3234">
      <c r="A3234" t="inlineStr">
        <is>
          <t>RIOT BLOCKCHAIN, INC.</t>
        </is>
      </c>
      <c r="B3234" t="inlineStr">
        <is>
          <t>RIOT</t>
        </is>
      </c>
      <c r="C3234" t="inlineStr">
        <is>
          <t>RIOT BLOCKCHAIN, INC.</t>
        </is>
      </c>
      <c r="D3234" t="n">
        <v>7374</v>
      </c>
    </row>
    <row r="3235">
      <c r="A3235" t="inlineStr">
        <is>
          <t>RISKIFIED LTD.</t>
        </is>
      </c>
      <c r="B3235" t="inlineStr">
        <is>
          <t>RSKD</t>
        </is>
      </c>
      <c r="C3235" t="inlineStr">
        <is>
          <t>RISKIFIED LTD.</t>
        </is>
      </c>
      <c r="D3235" t="n">
        <v>7389</v>
      </c>
    </row>
    <row r="3236">
      <c r="A3236" t="inlineStr">
        <is>
          <t>RITCHIE BROS AUCTIONEERS INC</t>
        </is>
      </c>
      <c r="B3236" t="inlineStr">
        <is>
          <t>RBA</t>
        </is>
      </c>
      <c r="C3236" t="inlineStr">
        <is>
          <t>RITCHIE BROS AUCTIONEERS INC</t>
        </is>
      </c>
      <c r="D3236" t="n">
        <v>7389</v>
      </c>
    </row>
    <row r="3237">
      <c r="A3237" t="inlineStr">
        <is>
          <t>RITE AID CORP</t>
        </is>
      </c>
      <c r="B3237" t="inlineStr">
        <is>
          <t>RAD</t>
        </is>
      </c>
      <c r="C3237" t="inlineStr">
        <is>
          <t>RITE AID CORP</t>
        </is>
      </c>
      <c r="D3237" t="n">
        <v>5912</v>
      </c>
    </row>
    <row r="3238">
      <c r="A3238" t="inlineStr">
        <is>
          <t>RIVERVIEW BANCORP INC</t>
        </is>
      </c>
      <c r="B3238" t="inlineStr">
        <is>
          <t>RVSB</t>
        </is>
      </c>
      <c r="C3238" t="inlineStr">
        <is>
          <t>RIVERVIEW BANCORP INC</t>
        </is>
      </c>
      <c r="D3238" t="n">
        <v>6035</v>
      </c>
    </row>
    <row r="3239">
      <c r="A3239" t="inlineStr">
        <is>
          <t>RLI CORP</t>
        </is>
      </c>
      <c r="B3239" t="inlineStr">
        <is>
          <t>RLI</t>
        </is>
      </c>
      <c r="C3239" t="inlineStr">
        <is>
          <t>RLI CORP</t>
        </is>
      </c>
      <c r="D3239" t="n">
        <v>6331</v>
      </c>
    </row>
    <row r="3240">
      <c r="A3240" t="inlineStr">
        <is>
          <t>RLJ LODGING TRUST</t>
        </is>
      </c>
      <c r="B3240" t="inlineStr">
        <is>
          <t>RLJ</t>
        </is>
      </c>
      <c r="C3240" t="inlineStr">
        <is>
          <t>RLJ LODGING TRUST</t>
        </is>
      </c>
      <c r="D3240" t="n">
        <v>6798</v>
      </c>
    </row>
    <row r="3241">
      <c r="A3241" t="inlineStr">
        <is>
          <t>RLX TECHNOLOGY INC.</t>
        </is>
      </c>
      <c r="B3241" t="inlineStr">
        <is>
          <t>RLX</t>
        </is>
      </c>
      <c r="C3241" t="inlineStr">
        <is>
          <t>RLX TECHNOLOGY INC.</t>
        </is>
      </c>
      <c r="D3241" t="n">
        <v>2111</v>
      </c>
    </row>
    <row r="3242">
      <c r="A3242" t="inlineStr">
        <is>
          <t>RMR GROUP INC.</t>
        </is>
      </c>
      <c r="B3242" t="inlineStr">
        <is>
          <t>RMR</t>
        </is>
      </c>
      <c r="C3242" t="inlineStr">
        <is>
          <t>RMR GROUP INC.</t>
        </is>
      </c>
      <c r="D3242" t="n">
        <v>8742</v>
      </c>
    </row>
    <row r="3243">
      <c r="A3243" t="inlineStr">
        <is>
          <t>ROBERT HALF INTERNATIONAL INC.</t>
        </is>
      </c>
      <c r="B3243" t="inlineStr">
        <is>
          <t>RHI</t>
        </is>
      </c>
      <c r="C3243" t="inlineStr">
        <is>
          <t>ROBERT HALF INTERNATIONAL INC.</t>
        </is>
      </c>
      <c r="D3243" t="n">
        <v>7363</v>
      </c>
    </row>
    <row r="3244">
      <c r="A3244" t="inlineStr">
        <is>
          <t>ROBINHOOD MARKETS, INC.</t>
        </is>
      </c>
      <c r="B3244" t="inlineStr">
        <is>
          <t>HOOD</t>
        </is>
      </c>
      <c r="C3244" t="inlineStr">
        <is>
          <t>ROBINHOOD MARKETS, INC.</t>
        </is>
      </c>
      <c r="D3244" t="n">
        <v>6211</v>
      </c>
    </row>
    <row r="3245">
      <c r="A3245" t="inlineStr">
        <is>
          <t>ROBLOX CORP</t>
        </is>
      </c>
      <c r="B3245" t="inlineStr">
        <is>
          <t>RBLX</t>
        </is>
      </c>
      <c r="C3245" t="inlineStr">
        <is>
          <t>ROBLOX CORP</t>
        </is>
      </c>
      <c r="D3245" t="n">
        <v>7372</v>
      </c>
    </row>
    <row r="3246">
      <c r="A3246" t="inlineStr">
        <is>
          <t>ROCKET COMPANIES, INC.</t>
        </is>
      </c>
      <c r="B3246" t="inlineStr">
        <is>
          <t>RKT</t>
        </is>
      </c>
      <c r="C3246" t="inlineStr">
        <is>
          <t>ROCKET COMPANIES, INC.</t>
        </is>
      </c>
      <c r="D3246" t="n">
        <v>6162</v>
      </c>
    </row>
    <row r="3247">
      <c r="A3247" t="inlineStr">
        <is>
          <t>ROCKET LAB USA, INC.</t>
        </is>
      </c>
      <c r="B3247" t="inlineStr">
        <is>
          <t>RKLB</t>
        </is>
      </c>
      <c r="C3247" t="inlineStr">
        <is>
          <t>ROCKET LAB USA, INC.</t>
        </is>
      </c>
      <c r="D3247" t="n">
        <v>3760</v>
      </c>
    </row>
    <row r="3248">
      <c r="A3248" t="inlineStr">
        <is>
          <t>ROCKLEY PHOTONICS HOLDINGS LTD</t>
        </is>
      </c>
      <c r="B3248" t="inlineStr">
        <is>
          <t>RKLY</t>
        </is>
      </c>
      <c r="C3248" t="inlineStr">
        <is>
          <t>ROCKLEY PHOTONICS HOLDINGS LTD</t>
        </is>
      </c>
      <c r="D3248" t="n">
        <v>3674</v>
      </c>
    </row>
    <row r="3249">
      <c r="A3249" t="inlineStr">
        <is>
          <t>ROCKWELL AUTOMATION, INC</t>
        </is>
      </c>
      <c r="B3249" t="inlineStr">
        <is>
          <t>ROK</t>
        </is>
      </c>
      <c r="C3249" t="inlineStr">
        <is>
          <t>ROCKWELL AUTOMATION, INC</t>
        </is>
      </c>
      <c r="D3249" t="n">
        <v>3829</v>
      </c>
    </row>
    <row r="3250">
      <c r="A3250" t="inlineStr">
        <is>
          <t>ROCKWELL MEDICAL, INC.</t>
        </is>
      </c>
      <c r="B3250" t="inlineStr">
        <is>
          <t>RMTI</t>
        </is>
      </c>
      <c r="C3250" t="inlineStr">
        <is>
          <t>ROCKWELL MEDICAL, INC.</t>
        </is>
      </c>
      <c r="D3250" t="n">
        <v>2834</v>
      </c>
    </row>
    <row r="3251">
      <c r="A3251" t="inlineStr">
        <is>
          <t>ROCKY BRANDS, INC.</t>
        </is>
      </c>
      <c r="B3251" t="inlineStr">
        <is>
          <t>RCKY</t>
        </is>
      </c>
      <c r="C3251" t="inlineStr">
        <is>
          <t>ROCKY BRANDS, INC.</t>
        </is>
      </c>
      <c r="D3251" t="n">
        <v>3140</v>
      </c>
    </row>
    <row r="3252">
      <c r="A3252" t="inlineStr">
        <is>
          <t>ROCKY MOUNTAIN CHOCOLATE FACTORY, INC.</t>
        </is>
      </c>
      <c r="B3252" t="inlineStr">
        <is>
          <t>RMCF</t>
        </is>
      </c>
      <c r="C3252" t="inlineStr">
        <is>
          <t>ROCKY MOUNTAIN CHOCOLATE FACTORY, INC.</t>
        </is>
      </c>
      <c r="D3252" t="n">
        <v>2060</v>
      </c>
    </row>
    <row r="3253">
      <c r="A3253" t="inlineStr">
        <is>
          <t>ROGERS CORP</t>
        </is>
      </c>
      <c r="B3253" t="inlineStr">
        <is>
          <t>ROG</t>
        </is>
      </c>
      <c r="C3253" t="inlineStr">
        <is>
          <t>ROGERS CORP</t>
        </is>
      </c>
      <c r="D3253" t="n">
        <v>2821</v>
      </c>
    </row>
    <row r="3254">
      <c r="A3254" t="inlineStr">
        <is>
          <t>ROIVANT SCIENCES LTD.</t>
        </is>
      </c>
      <c r="B3254" t="inlineStr">
        <is>
          <t>ROIV</t>
        </is>
      </c>
      <c r="C3254" t="inlineStr">
        <is>
          <t>ROIVANT SCIENCES LTD.</t>
        </is>
      </c>
      <c r="D3254" t="n">
        <v>2834</v>
      </c>
    </row>
    <row r="3255">
      <c r="A3255" t="inlineStr">
        <is>
          <t>ROKU, INC</t>
        </is>
      </c>
      <c r="B3255" t="inlineStr">
        <is>
          <t>ROKU</t>
        </is>
      </c>
      <c r="C3255" t="inlineStr">
        <is>
          <t>ROKU, INC</t>
        </is>
      </c>
      <c r="D3255" t="n">
        <v>4841</v>
      </c>
    </row>
    <row r="3256">
      <c r="A3256" t="inlineStr">
        <is>
          <t>ROLLINS INC</t>
        </is>
      </c>
      <c r="B3256" t="inlineStr">
        <is>
          <t>ROL</t>
        </is>
      </c>
      <c r="C3256" t="inlineStr">
        <is>
          <t>ROLLINS INC</t>
        </is>
      </c>
      <c r="D3256" t="n">
        <v>7340</v>
      </c>
    </row>
    <row r="3257">
      <c r="A3257" t="inlineStr">
        <is>
          <t>ROMEO POWER, INC.</t>
        </is>
      </c>
      <c r="B3257" t="inlineStr">
        <is>
          <t>RMO</t>
        </is>
      </c>
      <c r="C3257" t="inlineStr">
        <is>
          <t>ROMEO POWER, INC.</t>
        </is>
      </c>
      <c r="D3257" t="n">
        <v>3714</v>
      </c>
    </row>
    <row r="3258">
      <c r="A3258" t="inlineStr">
        <is>
          <t>ROOT, INC.</t>
        </is>
      </c>
      <c r="B3258" t="inlineStr">
        <is>
          <t>ROOT</t>
        </is>
      </c>
      <c r="C3258" t="inlineStr">
        <is>
          <t>ROOT, INC.</t>
        </is>
      </c>
      <c r="D3258" t="n">
        <v>6331</v>
      </c>
    </row>
    <row r="3259">
      <c r="A3259" t="inlineStr">
        <is>
          <t>ROPER TECHNOLOGIES INC</t>
        </is>
      </c>
      <c r="B3259" t="inlineStr">
        <is>
          <t>ROP</t>
        </is>
      </c>
      <c r="C3259" t="inlineStr">
        <is>
          <t>ROPER TECHNOLOGIES INC</t>
        </is>
      </c>
      <c r="D3259" t="n">
        <v>3823</v>
      </c>
    </row>
    <row r="3260">
      <c r="A3260" t="inlineStr">
        <is>
          <t>ROSS STORES, INC.</t>
        </is>
      </c>
      <c r="B3260" t="inlineStr">
        <is>
          <t>ROST</t>
        </is>
      </c>
      <c r="C3260" t="inlineStr">
        <is>
          <t>ROSS STORES, INC.</t>
        </is>
      </c>
      <c r="D3260" t="n">
        <v>5651</v>
      </c>
    </row>
    <row r="3261">
      <c r="A3261" t="inlineStr">
        <is>
          <t>ROVER GROUP, INC.</t>
        </is>
      </c>
      <c r="B3261" t="inlineStr">
        <is>
          <t>ROVR</t>
        </is>
      </c>
      <c r="C3261" t="inlineStr">
        <is>
          <t>ROVER GROUP, INC.</t>
        </is>
      </c>
      <c r="D3261" t="n">
        <v>7200</v>
      </c>
    </row>
    <row r="3262">
      <c r="A3262" t="inlineStr">
        <is>
          <t>ROYAL CARIBBEAN CRUISES LTD</t>
        </is>
      </c>
      <c r="B3262" t="inlineStr">
        <is>
          <t>RCL</t>
        </is>
      </c>
      <c r="C3262" t="inlineStr">
        <is>
          <t>ROYAL CARIBBEAN CRUISES LTD</t>
        </is>
      </c>
      <c r="D3262" t="n">
        <v>4400</v>
      </c>
    </row>
    <row r="3263">
      <c r="A3263" t="inlineStr">
        <is>
          <t>ROYAL GOLD INC</t>
        </is>
      </c>
      <c r="B3263" t="inlineStr">
        <is>
          <t>RGLD</t>
        </is>
      </c>
      <c r="C3263" t="inlineStr">
        <is>
          <t>ROYAL GOLD INC</t>
        </is>
      </c>
      <c r="D3263" t="n">
        <v>6795</v>
      </c>
    </row>
    <row r="3264">
      <c r="A3264" t="inlineStr">
        <is>
          <t>ROYALTY PHARMA PLC</t>
        </is>
      </c>
      <c r="B3264" t="inlineStr">
        <is>
          <t>RPRX</t>
        </is>
      </c>
      <c r="C3264" t="inlineStr">
        <is>
          <t>ROYALTY PHARMA PLC</t>
        </is>
      </c>
      <c r="D3264" t="n">
        <v>2834</v>
      </c>
    </row>
    <row r="3265">
      <c r="A3265" t="inlineStr">
        <is>
          <t>RPC INC</t>
        </is>
      </c>
      <c r="B3265" t="inlineStr">
        <is>
          <t>RES</t>
        </is>
      </c>
      <c r="C3265" t="inlineStr">
        <is>
          <t>RPC INC</t>
        </is>
      </c>
      <c r="D3265" t="n">
        <v>1389</v>
      </c>
    </row>
    <row r="3266">
      <c r="A3266" t="inlineStr">
        <is>
          <t>RPM INTERNATIONAL INC/DE/</t>
        </is>
      </c>
      <c r="B3266" t="inlineStr">
        <is>
          <t>RPM</t>
        </is>
      </c>
      <c r="C3266" t="inlineStr">
        <is>
          <t>RPM INTERNATIONAL INC/DE/</t>
        </is>
      </c>
      <c r="D3266" t="n">
        <v>2851</v>
      </c>
    </row>
    <row r="3267">
      <c r="A3267" t="inlineStr">
        <is>
          <t>RPT REALTY</t>
        </is>
      </c>
      <c r="B3267" t="inlineStr">
        <is>
          <t>RPT</t>
        </is>
      </c>
      <c r="C3267" t="inlineStr">
        <is>
          <t>RPT REALTY</t>
        </is>
      </c>
      <c r="D3267" t="n">
        <v>6798</v>
      </c>
    </row>
    <row r="3268">
      <c r="A3268" t="inlineStr">
        <is>
          <t>RUBICON TECHNOLOGY, INC.</t>
        </is>
      </c>
      <c r="B3268" t="inlineStr">
        <is>
          <t>RBCN</t>
        </is>
      </c>
      <c r="C3268" t="inlineStr">
        <is>
          <t>RUBICON TECHNOLOGY, INC.</t>
        </is>
      </c>
      <c r="D3268" t="n">
        <v>3674</v>
      </c>
    </row>
    <row r="3269">
      <c r="A3269" t="inlineStr">
        <is>
          <t>RUMBLEON, INC.</t>
        </is>
      </c>
      <c r="B3269" t="inlineStr">
        <is>
          <t>RMBL</t>
        </is>
      </c>
      <c r="C3269" t="inlineStr">
        <is>
          <t>RUMBLEON, INC.</t>
        </is>
      </c>
      <c r="D3269" t="n">
        <v>7371</v>
      </c>
    </row>
    <row r="3270">
      <c r="A3270" t="inlineStr">
        <is>
          <t>RUSH ENTERPRISES INC TX</t>
        </is>
      </c>
      <c r="B3270" t="inlineStr">
        <is>
          <t>RUSHA</t>
        </is>
      </c>
      <c r="C3270" t="inlineStr">
        <is>
          <t>RUSH ENTERPRISES INC TX</t>
        </is>
      </c>
      <c r="D3270" t="n">
        <v>5500</v>
      </c>
    </row>
    <row r="3271">
      <c r="A3271" t="inlineStr">
        <is>
          <t>RUSH STREET INTERACTIVE, INC.</t>
        </is>
      </c>
      <c r="B3271" t="inlineStr">
        <is>
          <t>RSI</t>
        </is>
      </c>
      <c r="C3271" t="inlineStr">
        <is>
          <t>RUSH STREET INTERACTIVE, INC.</t>
        </is>
      </c>
      <c r="D3271" t="n">
        <v>7990</v>
      </c>
    </row>
    <row r="3272">
      <c r="A3272" t="inlineStr">
        <is>
          <t>RUTHS HOSPITALITY GROUP, INC.</t>
        </is>
      </c>
      <c r="B3272" t="inlineStr">
        <is>
          <t>RUTH</t>
        </is>
      </c>
      <c r="C3272" t="inlineStr">
        <is>
          <t>RUTHS HOSPITALITY GROUP, INC.</t>
        </is>
      </c>
      <c r="D3272" t="n">
        <v>5812</v>
      </c>
    </row>
    <row r="3273">
      <c r="A3273" t="inlineStr">
        <is>
          <t>RXSIGHT, INC.</t>
        </is>
      </c>
      <c r="B3273" t="inlineStr">
        <is>
          <t>RXST</t>
        </is>
      </c>
      <c r="C3273" t="inlineStr">
        <is>
          <t>RXSIGHT, INC.</t>
        </is>
      </c>
      <c r="D3273" t="n">
        <v>3851</v>
      </c>
    </row>
    <row r="3274">
      <c r="A3274" t="inlineStr">
        <is>
          <t>RYAN SPECIALTY GROUP HOLDINGS, INC.</t>
        </is>
      </c>
      <c r="B3274" t="inlineStr">
        <is>
          <t>RYAN</t>
        </is>
      </c>
      <c r="C3274" t="inlineStr">
        <is>
          <t>RYAN SPECIALTY GROUP HOLDINGS, INC.</t>
        </is>
      </c>
      <c r="D3274" t="n">
        <v>6411</v>
      </c>
    </row>
    <row r="3275">
      <c r="A3275" t="inlineStr">
        <is>
          <t>RYDER SYSTEM INC</t>
        </is>
      </c>
      <c r="B3275" t="inlineStr">
        <is>
          <t>R</t>
        </is>
      </c>
      <c r="C3275" t="inlineStr">
        <is>
          <t>RYDER SYSTEM INC</t>
        </is>
      </c>
      <c r="D3275" t="n">
        <v>7510</v>
      </c>
    </row>
    <row r="3276">
      <c r="A3276" t="inlineStr">
        <is>
          <t>RYERSON HOLDING CORP</t>
        </is>
      </c>
      <c r="B3276" t="inlineStr">
        <is>
          <t>RYI</t>
        </is>
      </c>
      <c r="C3276" t="inlineStr">
        <is>
          <t>RYERSON HOLDING CORP</t>
        </is>
      </c>
      <c r="D3276" t="n">
        <v>5051</v>
      </c>
    </row>
    <row r="3277">
      <c r="A3277" t="inlineStr">
        <is>
          <t>RYMAN HOSPITALITY PROPERTIES, INC.</t>
        </is>
      </c>
      <c r="B3277" t="inlineStr">
        <is>
          <t>RHP</t>
        </is>
      </c>
      <c r="C3277" t="inlineStr">
        <is>
          <t>RYMAN HOSPITALITY PROPERTIES, INC.</t>
        </is>
      </c>
      <c r="D3277" t="n">
        <v>6798</v>
      </c>
    </row>
    <row r="3278">
      <c r="A3278" t="inlineStr">
        <is>
          <t>S&amp;P GLOBAL INC.</t>
        </is>
      </c>
      <c r="B3278" t="inlineStr">
        <is>
          <t>SPGI</t>
        </is>
      </c>
      <c r="C3278" t="inlineStr">
        <is>
          <t>S&amp;P GLOBAL INC.</t>
        </is>
      </c>
      <c r="D3278" t="n">
        <v>7320</v>
      </c>
    </row>
    <row r="3279">
      <c r="A3279" t="inlineStr">
        <is>
          <t>S&amp;T BANCORP INC</t>
        </is>
      </c>
      <c r="B3279" t="inlineStr">
        <is>
          <t>STBA</t>
        </is>
      </c>
      <c r="C3279" t="inlineStr">
        <is>
          <t>S&amp;T BANCORP INC</t>
        </is>
      </c>
      <c r="D3279" t="n">
        <v>6022</v>
      </c>
    </row>
    <row r="3280">
      <c r="A3280" t="inlineStr">
        <is>
          <t>S&amp;W SEED CO</t>
        </is>
      </c>
      <c r="B3280" t="inlineStr">
        <is>
          <t>SANW</t>
        </is>
      </c>
      <c r="C3280" t="inlineStr">
        <is>
          <t>S&amp;W SEED CO</t>
        </is>
      </c>
      <c r="D3280" t="n">
        <v>100</v>
      </c>
    </row>
    <row r="3281">
      <c r="A3281" t="inlineStr">
        <is>
          <t>SAB BIOTHERAPEUTICS, INC.</t>
        </is>
      </c>
      <c r="B3281" t="inlineStr">
        <is>
          <t>SABS</t>
        </is>
      </c>
      <c r="C3281" t="inlineStr">
        <is>
          <t>SAB BIOTHERAPEUTICS, INC.</t>
        </is>
      </c>
      <c r="D3281" t="n">
        <v>2836</v>
      </c>
    </row>
    <row r="3282">
      <c r="A3282" t="inlineStr">
        <is>
          <t>SABRA HEALTH CARE REIT, INC.</t>
        </is>
      </c>
      <c r="B3282" t="inlineStr">
        <is>
          <t>SBRA</t>
        </is>
      </c>
      <c r="C3282" t="inlineStr">
        <is>
          <t>SABRA HEALTH CARE REIT, INC.</t>
        </is>
      </c>
      <c r="D3282" t="n">
        <v>6798</v>
      </c>
    </row>
    <row r="3283">
      <c r="A3283" t="inlineStr">
        <is>
          <t>SABRE CORP</t>
        </is>
      </c>
      <c r="B3283" t="inlineStr">
        <is>
          <t>SABR</t>
        </is>
      </c>
      <c r="C3283" t="inlineStr">
        <is>
          <t>SABRE CORP</t>
        </is>
      </c>
      <c r="D3283" t="n">
        <v>7370</v>
      </c>
    </row>
    <row r="3284">
      <c r="A3284" t="inlineStr">
        <is>
          <t>SACHEM CAPITAL CORP.</t>
        </is>
      </c>
      <c r="B3284" t="inlineStr">
        <is>
          <t>SACH</t>
        </is>
      </c>
      <c r="C3284" t="inlineStr">
        <is>
          <t>SACHEM CAPITAL CORP.</t>
        </is>
      </c>
      <c r="D3284" t="n">
        <v>6798</v>
      </c>
    </row>
    <row r="3285">
      <c r="A3285" t="inlineStr">
        <is>
          <t>SAFEHOLD INC.</t>
        </is>
      </c>
      <c r="B3285" t="inlineStr">
        <is>
          <t>SAFE</t>
        </is>
      </c>
      <c r="C3285" t="inlineStr">
        <is>
          <t>SAFEHOLD INC.</t>
        </is>
      </c>
      <c r="D3285" t="n">
        <v>6519</v>
      </c>
    </row>
    <row r="3286">
      <c r="A3286" t="inlineStr">
        <is>
          <t>SAFETY INSURANCE GROUP INC</t>
        </is>
      </c>
      <c r="B3286" t="inlineStr">
        <is>
          <t>SAFT</t>
        </is>
      </c>
      <c r="C3286" t="inlineStr">
        <is>
          <t>SAFETY INSURANCE GROUP INC</t>
        </is>
      </c>
      <c r="D3286" t="n">
        <v>6331</v>
      </c>
    </row>
    <row r="3287">
      <c r="A3287" t="inlineStr">
        <is>
          <t>SAGA COMMUNICATIONS INC</t>
        </is>
      </c>
      <c r="B3287" t="inlineStr">
        <is>
          <t>SGA</t>
        </is>
      </c>
      <c r="C3287" t="inlineStr">
        <is>
          <t>SAGA COMMUNICATIONS INC</t>
        </is>
      </c>
      <c r="D3287" t="n">
        <v>4832</v>
      </c>
    </row>
    <row r="3288">
      <c r="A3288" t="inlineStr">
        <is>
          <t>SAGE THERAPEUTICS, INC.</t>
        </is>
      </c>
      <c r="B3288" t="inlineStr">
        <is>
          <t>SAGE</t>
        </is>
      </c>
      <c r="C3288" t="inlineStr">
        <is>
          <t>SAGE THERAPEUTICS, INC.</t>
        </is>
      </c>
      <c r="D3288" t="n">
        <v>2834</v>
      </c>
    </row>
    <row r="3289">
      <c r="A3289" t="inlineStr">
        <is>
          <t>SAIA INC</t>
        </is>
      </c>
      <c r="B3289" t="inlineStr">
        <is>
          <t>SAIA</t>
        </is>
      </c>
      <c r="C3289" t="inlineStr">
        <is>
          <t>SAIA INC</t>
        </is>
      </c>
      <c r="D3289" t="n">
        <v>4213</v>
      </c>
    </row>
    <row r="3290">
      <c r="A3290" t="inlineStr">
        <is>
          <t>SAILPOINT TECHNOLOGIES HOLDINGS, INC.</t>
        </is>
      </c>
      <c r="B3290" t="inlineStr">
        <is>
          <t>SAIL</t>
        </is>
      </c>
      <c r="C3290" t="inlineStr">
        <is>
          <t>SAILPOINT TECHNOLOGIES HOLDINGS, INC.</t>
        </is>
      </c>
      <c r="D3290" t="n">
        <v>7372</v>
      </c>
    </row>
    <row r="3291">
      <c r="A3291" t="inlineStr">
        <is>
          <t>SALEM MEDIA GROUP, INC. /DE/</t>
        </is>
      </c>
      <c r="B3291" t="inlineStr">
        <is>
          <t>SALM</t>
        </is>
      </c>
      <c r="C3291" t="inlineStr">
        <is>
          <t>SALEM MEDIA GROUP, INC. /DE/</t>
        </is>
      </c>
      <c r="D3291" t="n">
        <v>4832</v>
      </c>
    </row>
    <row r="3292">
      <c r="A3292" t="inlineStr">
        <is>
          <t>SALESFORCE.COM, INC.</t>
        </is>
      </c>
      <c r="B3292" t="inlineStr">
        <is>
          <t>CRM</t>
        </is>
      </c>
      <c r="C3292" t="inlineStr">
        <is>
          <t>SALESFORCE.COM, INC.</t>
        </is>
      </c>
      <c r="D3292" t="n">
        <v>7372</v>
      </c>
    </row>
    <row r="3293">
      <c r="A3293" t="inlineStr">
        <is>
          <t>SALISBURY BANCORP, INC.</t>
        </is>
      </c>
      <c r="B3293" t="inlineStr">
        <is>
          <t>SAL</t>
        </is>
      </c>
      <c r="C3293" t="inlineStr">
        <is>
          <t>SALISBURY BANCORP, INC.</t>
        </is>
      </c>
      <c r="D3293" t="n">
        <v>6035</v>
      </c>
    </row>
    <row r="3294">
      <c r="A3294" t="inlineStr">
        <is>
          <t>SALLY BEAUTY HOLDINGS, INC.</t>
        </is>
      </c>
      <c r="B3294" t="inlineStr">
        <is>
          <t>SBH</t>
        </is>
      </c>
      <c r="C3294" t="inlineStr">
        <is>
          <t>SALLY BEAUTY HOLDINGS, INC.</t>
        </is>
      </c>
      <c r="D3294" t="n">
        <v>5990</v>
      </c>
    </row>
    <row r="3295">
      <c r="A3295" t="inlineStr">
        <is>
          <t>SANDERSON FARMS INC</t>
        </is>
      </c>
      <c r="B3295" t="inlineStr">
        <is>
          <t>SAFM</t>
        </is>
      </c>
      <c r="C3295" t="inlineStr">
        <is>
          <t>SANDERSON FARMS INC</t>
        </is>
      </c>
      <c r="D3295" t="n">
        <v>2015</v>
      </c>
    </row>
    <row r="3296">
      <c r="A3296" t="inlineStr">
        <is>
          <t>SANDRIDGE ENERGY INC</t>
        </is>
      </c>
      <c r="B3296" t="inlineStr">
        <is>
          <t>SD</t>
        </is>
      </c>
      <c r="C3296" t="inlineStr">
        <is>
          <t>SANDRIDGE ENERGY INC</t>
        </is>
      </c>
      <c r="D3296" t="n">
        <v>1311</v>
      </c>
    </row>
    <row r="3297">
      <c r="A3297" t="inlineStr">
        <is>
          <t>SANDY SPRING BANCORP INC</t>
        </is>
      </c>
      <c r="B3297" t="inlineStr">
        <is>
          <t>SASR</t>
        </is>
      </c>
      <c r="C3297" t="inlineStr">
        <is>
          <t>SANDY SPRING BANCORP INC</t>
        </is>
      </c>
      <c r="D3297" t="n">
        <v>6021</v>
      </c>
    </row>
    <row r="3298">
      <c r="A3298" t="inlineStr">
        <is>
          <t>SANFILIPPO JOHN B &amp; SON INC</t>
        </is>
      </c>
      <c r="B3298" t="inlineStr">
        <is>
          <t>JBSS</t>
        </is>
      </c>
      <c r="C3298" t="inlineStr">
        <is>
          <t>SANFILIPPO JOHN B &amp; SON INC</t>
        </is>
      </c>
      <c r="D3298" t="n">
        <v>2060</v>
      </c>
    </row>
    <row r="3299">
      <c r="A3299" t="inlineStr">
        <is>
          <t>SANGAMO THERAPEUTICS, INC</t>
        </is>
      </c>
      <c r="B3299" t="inlineStr">
        <is>
          <t>SGMO</t>
        </is>
      </c>
      <c r="C3299" t="inlineStr">
        <is>
          <t>SANGAMO THERAPEUTICS, INC</t>
        </is>
      </c>
      <c r="D3299" t="n">
        <v>2836</v>
      </c>
    </row>
    <row r="3300">
      <c r="A3300" t="inlineStr">
        <is>
          <t>SANMINA CORP</t>
        </is>
      </c>
      <c r="B3300" t="inlineStr">
        <is>
          <t>SANM</t>
        </is>
      </c>
      <c r="C3300" t="inlineStr">
        <is>
          <t>SANMINA CORP</t>
        </is>
      </c>
      <c r="D3300" t="n">
        <v>3672</v>
      </c>
    </row>
    <row r="3301">
      <c r="A3301" t="inlineStr">
        <is>
          <t>SANUWAVE HEALTH, INC.</t>
        </is>
      </c>
      <c r="B3301" t="inlineStr">
        <is>
          <t>SNWV</t>
        </is>
      </c>
      <c r="C3301" t="inlineStr">
        <is>
          <t>SANUWAVE HEALTH, INC.</t>
        </is>
      </c>
      <c r="D3301" t="n">
        <v>3841</v>
      </c>
    </row>
    <row r="3302">
      <c r="A3302" t="inlineStr">
        <is>
          <t>SAPIENS INTERNATIONAL CORP N V</t>
        </is>
      </c>
      <c r="B3302" t="inlineStr">
        <is>
          <t>SPNS</t>
        </is>
      </c>
      <c r="C3302" t="inlineStr">
        <is>
          <t>SAPIENS INTERNATIONAL CORP N V</t>
        </is>
      </c>
      <c r="D3302" t="n">
        <v>7372</v>
      </c>
    </row>
    <row r="3303">
      <c r="A3303" t="inlineStr">
        <is>
          <t>SARCOS TECHNOLOGY &amp; ROBOTICS CORP</t>
        </is>
      </c>
      <c r="B3303" t="inlineStr">
        <is>
          <t>STRC</t>
        </is>
      </c>
      <c r="C3303" t="inlineStr">
        <is>
          <t>SARCOS TECHNOLOGY &amp; ROBOTICS CORP</t>
        </is>
      </c>
      <c r="D3303" t="n">
        <v>3569</v>
      </c>
    </row>
    <row r="3304">
      <c r="A3304" t="inlineStr">
        <is>
          <t>SAREPTA THERAPEUTICS, INC.</t>
        </is>
      </c>
      <c r="B3304" t="inlineStr">
        <is>
          <t>SRPT</t>
        </is>
      </c>
      <c r="C3304" t="inlineStr">
        <is>
          <t>SAREPTA THERAPEUTICS, INC.</t>
        </is>
      </c>
      <c r="D3304" t="n">
        <v>2834</v>
      </c>
    </row>
    <row r="3305">
      <c r="A3305" t="inlineStr">
        <is>
          <t>SAUL CENTERS, INC.</t>
        </is>
      </c>
      <c r="B3305" t="inlineStr">
        <is>
          <t>BFS</t>
        </is>
      </c>
      <c r="C3305" t="inlineStr">
        <is>
          <t>SAUL CENTERS, INC.</t>
        </is>
      </c>
      <c r="D3305" t="n">
        <v>6798</v>
      </c>
    </row>
    <row r="3306">
      <c r="A3306" t="inlineStr">
        <is>
          <t>SB FINANCIAL GROUP, INC.</t>
        </is>
      </c>
      <c r="B3306" t="inlineStr">
        <is>
          <t>SBFG</t>
        </is>
      </c>
      <c r="C3306" t="inlineStr">
        <is>
          <t>SB FINANCIAL GROUP, INC.</t>
        </is>
      </c>
      <c r="D3306" t="n">
        <v>6022</v>
      </c>
    </row>
    <row r="3307">
      <c r="A3307" t="inlineStr">
        <is>
          <t>SBA COMMUNICATIONS CORP</t>
        </is>
      </c>
      <c r="B3307" t="inlineStr">
        <is>
          <t>SBAC</t>
        </is>
      </c>
      <c r="C3307" t="inlineStr">
        <is>
          <t>SBA COMMUNICATIONS CORP</t>
        </is>
      </c>
      <c r="D3307" t="n">
        <v>6798</v>
      </c>
    </row>
    <row r="3308">
      <c r="A3308" t="inlineStr">
        <is>
          <t>SCANSOURCE, INC.</t>
        </is>
      </c>
      <c r="B3308" t="inlineStr">
        <is>
          <t>SCSC</t>
        </is>
      </c>
      <c r="C3308" t="inlineStr">
        <is>
          <t>SCANSOURCE, INC.</t>
        </is>
      </c>
      <c r="D3308" t="n">
        <v>5045</v>
      </c>
    </row>
    <row r="3309">
      <c r="A3309" t="inlineStr">
        <is>
          <t>SCHLUMBERGER LIMITED/NV</t>
        </is>
      </c>
      <c r="B3309" t="inlineStr">
        <is>
          <t>SLB</t>
        </is>
      </c>
      <c r="C3309" t="inlineStr">
        <is>
          <t>SCHLUMBERGER LIMITED/NV</t>
        </is>
      </c>
      <c r="D3309" t="n">
        <v>1389</v>
      </c>
    </row>
    <row r="3310">
      <c r="A3310" t="inlineStr">
        <is>
          <t>SCHMITT INDUSTRIES INC</t>
        </is>
      </c>
      <c r="B3310" t="inlineStr">
        <is>
          <t>SMIT</t>
        </is>
      </c>
      <c r="C3310" t="inlineStr">
        <is>
          <t>SCHMITT INDUSTRIES INC</t>
        </is>
      </c>
      <c r="D3310" t="n">
        <v>3823</v>
      </c>
    </row>
    <row r="3311">
      <c r="A3311" t="inlineStr">
        <is>
          <t>SCHNEIDER NATIONAL, INC.</t>
        </is>
      </c>
      <c r="B3311" t="inlineStr">
        <is>
          <t>SNDR</t>
        </is>
      </c>
      <c r="C3311" t="inlineStr">
        <is>
          <t>SCHNEIDER NATIONAL, INC.</t>
        </is>
      </c>
      <c r="D3311" t="n">
        <v>4213</v>
      </c>
    </row>
    <row r="3312">
      <c r="A3312" t="inlineStr">
        <is>
          <t>SCHNITZER STEEL INDUSTRIES, INC.</t>
        </is>
      </c>
      <c r="B3312" t="inlineStr">
        <is>
          <t>SCHN</t>
        </is>
      </c>
      <c r="C3312" t="inlineStr">
        <is>
          <t>SCHNITZER STEEL INDUSTRIES, INC.</t>
        </is>
      </c>
      <c r="D3312" t="n">
        <v>5090</v>
      </c>
    </row>
    <row r="3313">
      <c r="A3313" t="inlineStr">
        <is>
          <t>SCHOLAR ROCK HOLDING CORP</t>
        </is>
      </c>
      <c r="B3313" t="inlineStr">
        <is>
          <t>SRRK</t>
        </is>
      </c>
      <c r="C3313" t="inlineStr">
        <is>
          <t>SCHOLAR ROCK HOLDING CORP</t>
        </is>
      </c>
      <c r="D3313" t="n">
        <v>2836</v>
      </c>
    </row>
    <row r="3314">
      <c r="A3314" t="inlineStr">
        <is>
          <t>SCHOLASTIC CORP</t>
        </is>
      </c>
      <c r="B3314" t="inlineStr">
        <is>
          <t>SCHL</t>
        </is>
      </c>
      <c r="C3314" t="inlineStr">
        <is>
          <t>SCHOLASTIC CORP</t>
        </is>
      </c>
      <c r="D3314" t="n">
        <v>2731</v>
      </c>
    </row>
    <row r="3315">
      <c r="A3315" t="inlineStr">
        <is>
          <t>SCHRODINGER, INC.</t>
        </is>
      </c>
      <c r="B3315" t="inlineStr">
        <is>
          <t>SDGR</t>
        </is>
      </c>
      <c r="C3315" t="inlineStr">
        <is>
          <t>SCHRODINGER, INC.</t>
        </is>
      </c>
      <c r="D3315" t="n">
        <v>2834</v>
      </c>
    </row>
    <row r="3316">
      <c r="A3316" t="inlineStr">
        <is>
          <t>SCHWAB CHARLES CORP</t>
        </is>
      </c>
      <c r="B3316" t="inlineStr">
        <is>
          <t>SCHW</t>
        </is>
      </c>
      <c r="C3316" t="inlineStr">
        <is>
          <t>SCHWAB CHARLES CORP</t>
        </is>
      </c>
      <c r="D3316" t="n">
        <v>6211</v>
      </c>
    </row>
    <row r="3317">
      <c r="A3317" t="inlineStr">
        <is>
          <t>SCHWEITZER MAUDUIT INTERNATIONAL INC</t>
        </is>
      </c>
      <c r="B3317" t="inlineStr">
        <is>
          <t>SWM</t>
        </is>
      </c>
      <c r="C3317" t="inlineStr">
        <is>
          <t>SCHWEITZER MAUDUIT INTERNATIONAL INC</t>
        </is>
      </c>
      <c r="D3317" t="n">
        <v>2621</v>
      </c>
    </row>
    <row r="3318">
      <c r="A3318" t="inlineStr">
        <is>
          <t>SCIENCE 37 HOLDINGS, INC.</t>
        </is>
      </c>
      <c r="B3318" t="inlineStr">
        <is>
          <t>SNCE</t>
        </is>
      </c>
      <c r="C3318" t="inlineStr">
        <is>
          <t>SCIENCE 37 HOLDINGS, INC.</t>
        </is>
      </c>
      <c r="D3318" t="n">
        <v>8731</v>
      </c>
    </row>
    <row r="3319">
      <c r="A3319" t="inlineStr">
        <is>
          <t>SCIENCE APPLICATIONS INTERNATIONAL CORP</t>
        </is>
      </c>
      <c r="B3319" t="inlineStr">
        <is>
          <t>SAIC</t>
        </is>
      </c>
      <c r="C3319" t="inlineStr">
        <is>
          <t>SCIENCE APPLICATIONS INTERNATIONAL CORP</t>
        </is>
      </c>
      <c r="D3319" t="n">
        <v>7373</v>
      </c>
    </row>
    <row r="3320">
      <c r="A3320" t="inlineStr">
        <is>
          <t>SCIENJOY HOLDING CORP</t>
        </is>
      </c>
      <c r="B3320" t="inlineStr">
        <is>
          <t>SJ</t>
        </is>
      </c>
      <c r="C3320" t="inlineStr">
        <is>
          <t>SCIENJOY HOLDING CORP</t>
        </is>
      </c>
      <c r="D3320" t="n">
        <v>7374</v>
      </c>
    </row>
    <row r="3321">
      <c r="A3321" t="inlineStr">
        <is>
          <t>SCIENTIFIC INDUSTRIES INC</t>
        </is>
      </c>
      <c r="B3321" t="inlineStr">
        <is>
          <t>SCND</t>
        </is>
      </c>
      <c r="C3321" t="inlineStr">
        <is>
          <t>SCIENTIFIC INDUSTRIES INC</t>
        </is>
      </c>
      <c r="D3321" t="n">
        <v>3826</v>
      </c>
    </row>
    <row r="3322">
      <c r="A3322" t="inlineStr">
        <is>
          <t>SCIPLAY CORP</t>
        </is>
      </c>
      <c r="B3322" t="inlineStr">
        <is>
          <t>SCPL</t>
        </is>
      </c>
      <c r="C3322" t="inlineStr">
        <is>
          <t>SCIPLAY CORP</t>
        </is>
      </c>
      <c r="D3322" t="n">
        <v>7374</v>
      </c>
    </row>
    <row r="3323">
      <c r="A3323" t="inlineStr">
        <is>
          <t>SCOTTS MIRACLE-GRO CO</t>
        </is>
      </c>
      <c r="B3323" t="inlineStr">
        <is>
          <t>SMG</t>
        </is>
      </c>
      <c r="C3323" t="inlineStr">
        <is>
          <t>SCOTTS MIRACLE-GRO CO</t>
        </is>
      </c>
      <c r="D3323" t="n">
        <v>2870</v>
      </c>
    </row>
    <row r="3324">
      <c r="A3324" t="inlineStr">
        <is>
          <t>SCULPTOR CAPITAL MANAGEMENT, INC.</t>
        </is>
      </c>
      <c r="B3324" t="inlineStr">
        <is>
          <t>SCU</t>
        </is>
      </c>
      <c r="C3324" t="inlineStr">
        <is>
          <t>SCULPTOR CAPITAL MANAGEMENT, INC.</t>
        </is>
      </c>
      <c r="D3324" t="n">
        <v>6282</v>
      </c>
    </row>
    <row r="3325">
      <c r="A3325" t="inlineStr">
        <is>
          <t>SEA LTD</t>
        </is>
      </c>
      <c r="B3325" t="inlineStr">
        <is>
          <t>SE</t>
        </is>
      </c>
      <c r="C3325" t="inlineStr">
        <is>
          <t>SEA LTD</t>
        </is>
      </c>
      <c r="D3325" t="n">
        <v>7380</v>
      </c>
    </row>
    <row r="3326">
      <c r="A3326" t="inlineStr">
        <is>
          <t>SEABOARD CORP /DE/</t>
        </is>
      </c>
      <c r="B3326" t="inlineStr">
        <is>
          <t>SEB</t>
        </is>
      </c>
      <c r="C3326" t="inlineStr">
        <is>
          <t>SEABOARD CORP /DE/</t>
        </is>
      </c>
      <c r="D3326" t="n">
        <v>5150</v>
      </c>
    </row>
    <row r="3327">
      <c r="A3327" t="inlineStr">
        <is>
          <t>SEACHANGE INTERNATIONAL INC</t>
        </is>
      </c>
      <c r="B3327" t="inlineStr">
        <is>
          <t>SEAC</t>
        </is>
      </c>
      <c r="C3327" t="inlineStr">
        <is>
          <t>SEACHANGE INTERNATIONAL INC</t>
        </is>
      </c>
      <c r="D3327" t="n">
        <v>7372</v>
      </c>
    </row>
    <row r="3328">
      <c r="A3328" t="inlineStr">
        <is>
          <t>SEACOAST BANKING CORP OF FLORIDA</t>
        </is>
      </c>
      <c r="B3328" t="inlineStr">
        <is>
          <t>SBCF</t>
        </is>
      </c>
      <c r="C3328" t="inlineStr">
        <is>
          <t>SEACOAST BANKING CORP OF FLORIDA</t>
        </is>
      </c>
      <c r="D3328" t="n">
        <v>6022</v>
      </c>
    </row>
    <row r="3329">
      <c r="A3329" t="inlineStr">
        <is>
          <t>SEACOR MARINE HOLDINGS INC.</t>
        </is>
      </c>
      <c r="B3329" t="inlineStr">
        <is>
          <t>SMHI</t>
        </is>
      </c>
      <c r="C3329" t="inlineStr">
        <is>
          <t>SEACOR MARINE HOLDINGS INC.</t>
        </is>
      </c>
      <c r="D3329" t="n">
        <v>4412</v>
      </c>
    </row>
    <row r="3330">
      <c r="A3330" t="inlineStr">
        <is>
          <t>SEAGATE TECHNOLOGY HOLDINGS PLC</t>
        </is>
      </c>
      <c r="B3330" t="inlineStr">
        <is>
          <t>STX</t>
        </is>
      </c>
      <c r="C3330" t="inlineStr">
        <is>
          <t>SEAGATE TECHNOLOGY HOLDINGS PLC</t>
        </is>
      </c>
      <c r="D3330" t="n">
        <v>3572</v>
      </c>
    </row>
    <row r="3331">
      <c r="A3331" t="inlineStr">
        <is>
          <t>SEAGEN INC.</t>
        </is>
      </c>
      <c r="B3331" t="inlineStr">
        <is>
          <t>SGEN</t>
        </is>
      </c>
      <c r="C3331" t="inlineStr">
        <is>
          <t>SEAGEN INC.</t>
        </is>
      </c>
      <c r="D3331" t="n">
        <v>2836</v>
      </c>
    </row>
    <row r="3332">
      <c r="A3332" t="inlineStr">
        <is>
          <t>SEALED AIR CORP/DE</t>
        </is>
      </c>
      <c r="B3332" t="inlineStr">
        <is>
          <t>SEE</t>
        </is>
      </c>
      <c r="C3332" t="inlineStr">
        <is>
          <t>SEALED AIR CORP/DE</t>
        </is>
      </c>
      <c r="D3332" t="n">
        <v>2820</v>
      </c>
    </row>
    <row r="3333">
      <c r="A3333" t="inlineStr">
        <is>
          <t>SEANERGY MARITIME HOLDINGS CORP.</t>
        </is>
      </c>
      <c r="B3333" t="inlineStr">
        <is>
          <t>SHIP</t>
        </is>
      </c>
      <c r="C3333" t="inlineStr">
        <is>
          <t>SEANERGY MARITIME HOLDINGS CORP.</t>
        </is>
      </c>
      <c r="D3333" t="n">
        <v>4412</v>
      </c>
    </row>
    <row r="3334">
      <c r="A3334" t="inlineStr">
        <is>
          <t>SEASPINE HOLDINGS CORP</t>
        </is>
      </c>
      <c r="B3334" t="inlineStr">
        <is>
          <t>SPNE</t>
        </is>
      </c>
      <c r="C3334" t="inlineStr">
        <is>
          <t>SEASPINE HOLDINGS CORP</t>
        </is>
      </c>
      <c r="D3334" t="n">
        <v>3841</v>
      </c>
    </row>
    <row r="3335">
      <c r="A3335" t="inlineStr">
        <is>
          <t>SEAWORLD ENTERTAINMENT, INC.</t>
        </is>
      </c>
      <c r="B3335" t="inlineStr">
        <is>
          <t>SEAS</t>
        </is>
      </c>
      <c r="C3335" t="inlineStr">
        <is>
          <t>SEAWORLD ENTERTAINMENT, INC.</t>
        </is>
      </c>
      <c r="D3335" t="n">
        <v>7990</v>
      </c>
    </row>
    <row r="3336">
      <c r="A3336" t="inlineStr">
        <is>
          <t>SECOO HOLDING LTD</t>
        </is>
      </c>
      <c r="B3336" t="inlineStr">
        <is>
          <t>SECO</t>
        </is>
      </c>
      <c r="C3336" t="inlineStr">
        <is>
          <t>SECOO HOLDING LTD</t>
        </is>
      </c>
      <c r="D3336" t="n">
        <v>5990</v>
      </c>
    </row>
    <row r="3337">
      <c r="A3337" t="inlineStr">
        <is>
          <t>SECUREWORKS CORP</t>
        </is>
      </c>
      <c r="B3337" t="inlineStr">
        <is>
          <t>SCWX</t>
        </is>
      </c>
      <c r="C3337" t="inlineStr">
        <is>
          <t>SECUREWORKS CORP</t>
        </is>
      </c>
      <c r="D3337" t="n">
        <v>7372</v>
      </c>
    </row>
    <row r="3338">
      <c r="A3338" t="inlineStr">
        <is>
          <t>SECURITY FEDERAL CORP</t>
        </is>
      </c>
      <c r="B3338" t="inlineStr">
        <is>
          <t>SFDL</t>
        </is>
      </c>
      <c r="C3338" t="inlineStr">
        <is>
          <t>SECURITY FEDERAL CORP</t>
        </is>
      </c>
      <c r="D3338" t="n">
        <v>6022</v>
      </c>
    </row>
    <row r="3339">
      <c r="A3339" t="inlineStr">
        <is>
          <t>SECURITY NATIONAL FINANCIAL CORP</t>
        </is>
      </c>
      <c r="B3339" t="inlineStr">
        <is>
          <t>SNFCA</t>
        </is>
      </c>
      <c r="C3339" t="inlineStr">
        <is>
          <t>SECURITY NATIONAL FINANCIAL CORP</t>
        </is>
      </c>
      <c r="D3339" t="n">
        <v>6199</v>
      </c>
    </row>
    <row r="3340">
      <c r="A3340" t="inlineStr">
        <is>
          <t>SEER, INC.</t>
        </is>
      </c>
      <c r="B3340" t="inlineStr">
        <is>
          <t>SEER</t>
        </is>
      </c>
      <c r="C3340" t="inlineStr">
        <is>
          <t>SEER, INC.</t>
        </is>
      </c>
      <c r="D3340" t="n">
        <v>3826</v>
      </c>
    </row>
    <row r="3341">
      <c r="A3341" t="inlineStr">
        <is>
          <t>SEI INVESTMENTS CO</t>
        </is>
      </c>
      <c r="B3341" t="inlineStr">
        <is>
          <t>SEIC</t>
        </is>
      </c>
      <c r="C3341" t="inlineStr">
        <is>
          <t>SEI INVESTMENTS CO</t>
        </is>
      </c>
      <c r="D3341" t="n">
        <v>6211</v>
      </c>
    </row>
    <row r="3342">
      <c r="A3342" t="inlineStr">
        <is>
          <t>SELECT ENERGY SERVICES, INC.</t>
        </is>
      </c>
      <c r="B3342" t="inlineStr">
        <is>
          <t>WTTR</t>
        </is>
      </c>
      <c r="C3342" t="inlineStr">
        <is>
          <t>SELECT ENERGY SERVICES, INC.</t>
        </is>
      </c>
      <c r="D3342" t="n">
        <v>1389</v>
      </c>
    </row>
    <row r="3343">
      <c r="A3343" t="inlineStr">
        <is>
          <t>SELECT MEDICAL HOLDINGS CORP</t>
        </is>
      </c>
      <c r="B3343" t="inlineStr">
        <is>
          <t>SEM</t>
        </is>
      </c>
      <c r="C3343" t="inlineStr">
        <is>
          <t>SELECT MEDICAL HOLDINGS CORP</t>
        </is>
      </c>
      <c r="D3343" t="n">
        <v>8060</v>
      </c>
    </row>
    <row r="3344">
      <c r="A3344" t="inlineStr">
        <is>
          <t>SELECTA BIOSCIENCES INC</t>
        </is>
      </c>
      <c r="B3344" t="inlineStr">
        <is>
          <t>SELB</t>
        </is>
      </c>
      <c r="C3344" t="inlineStr">
        <is>
          <t>SELECTA BIOSCIENCES INC</t>
        </is>
      </c>
      <c r="D3344" t="n">
        <v>2834</v>
      </c>
    </row>
    <row r="3345">
      <c r="A3345" t="inlineStr">
        <is>
          <t>SELECTIVE INSURANCE GROUP INC</t>
        </is>
      </c>
      <c r="B3345" t="inlineStr">
        <is>
          <t>SIGI</t>
        </is>
      </c>
      <c r="C3345" t="inlineStr">
        <is>
          <t>SELECTIVE INSURANCE GROUP INC</t>
        </is>
      </c>
      <c r="D3345" t="n">
        <v>6331</v>
      </c>
    </row>
    <row r="3346">
      <c r="A3346" t="inlineStr">
        <is>
          <t>SELECTQUOTE, INC.</t>
        </is>
      </c>
      <c r="B3346" t="inlineStr">
        <is>
          <t>SLQT</t>
        </is>
      </c>
      <c r="C3346" t="inlineStr">
        <is>
          <t>SELECTQUOTE, INC.</t>
        </is>
      </c>
      <c r="D3346" t="n">
        <v>6411</v>
      </c>
    </row>
    <row r="3347">
      <c r="A3347" t="inlineStr">
        <is>
          <t>SELLAS LIFE SCIENCES GROUP, INC.</t>
        </is>
      </c>
      <c r="B3347" t="inlineStr">
        <is>
          <t>SLS</t>
        </is>
      </c>
      <c r="C3347" t="inlineStr">
        <is>
          <t>SELLAS LIFE SCIENCES GROUP, INC.</t>
        </is>
      </c>
      <c r="D3347" t="n">
        <v>2834</v>
      </c>
    </row>
    <row r="3348">
      <c r="A3348" t="inlineStr">
        <is>
          <t>SEMA4 HOLDINGS CORP.</t>
        </is>
      </c>
      <c r="B3348" t="inlineStr">
        <is>
          <t>SMFR</t>
        </is>
      </c>
      <c r="C3348" t="inlineStr">
        <is>
          <t>SEMA4 HOLDINGS CORP.</t>
        </is>
      </c>
      <c r="D3348" t="n">
        <v>8000</v>
      </c>
    </row>
    <row r="3349">
      <c r="A3349" t="inlineStr">
        <is>
          <t>SEMILEDS CORP</t>
        </is>
      </c>
      <c r="B3349" t="inlineStr">
        <is>
          <t>LEDS</t>
        </is>
      </c>
      <c r="C3349" t="inlineStr">
        <is>
          <t>SEMILEDS CORP</t>
        </is>
      </c>
      <c r="D3349" t="n">
        <v>3674</v>
      </c>
    </row>
    <row r="3350">
      <c r="A3350" t="inlineStr">
        <is>
          <t>SEMLER SCIENTIFIC, INC.</t>
        </is>
      </c>
      <c r="B3350" t="inlineStr">
        <is>
          <t>SMLR</t>
        </is>
      </c>
      <c r="C3350" t="inlineStr">
        <is>
          <t>SEMLER SCIENTIFIC, INC.</t>
        </is>
      </c>
      <c r="D3350" t="n">
        <v>3845</v>
      </c>
    </row>
    <row r="3351">
      <c r="A3351" t="inlineStr">
        <is>
          <t>SEMPRA ENERGY</t>
        </is>
      </c>
      <c r="B3351" t="inlineStr">
        <is>
          <t>SRE</t>
        </is>
      </c>
      <c r="C3351" t="inlineStr">
        <is>
          <t>SEMPRA ENERGY</t>
        </is>
      </c>
      <c r="D3351" t="n">
        <v>4932</v>
      </c>
    </row>
    <row r="3352">
      <c r="A3352" t="inlineStr">
        <is>
          <t>SEMRUSH HOLDINGS, INC.</t>
        </is>
      </c>
      <c r="B3352" t="inlineStr">
        <is>
          <t>SEMR</t>
        </is>
      </c>
      <c r="C3352" t="inlineStr">
        <is>
          <t>SEMRUSH HOLDINGS, INC.</t>
        </is>
      </c>
      <c r="D3352" t="n">
        <v>7372</v>
      </c>
    </row>
    <row r="3353">
      <c r="A3353" t="inlineStr">
        <is>
          <t>SEMTECH CORP</t>
        </is>
      </c>
      <c r="B3353" t="inlineStr">
        <is>
          <t>SMTC</t>
        </is>
      </c>
      <c r="C3353" t="inlineStr">
        <is>
          <t>SEMTECH CORP</t>
        </is>
      </c>
      <c r="D3353" t="n">
        <v>3674</v>
      </c>
    </row>
    <row r="3354">
      <c r="A3354" t="inlineStr">
        <is>
          <t>SENECA FOODS CORP</t>
        </is>
      </c>
      <c r="B3354" t="inlineStr">
        <is>
          <t>SENEA</t>
        </is>
      </c>
      <c r="C3354" t="inlineStr">
        <is>
          <t>SENECA FOODS CORP</t>
        </is>
      </c>
      <c r="D3354" t="n">
        <v>2033</v>
      </c>
    </row>
    <row r="3355">
      <c r="A3355" t="inlineStr">
        <is>
          <t>SENMIAO TECHNOLOGY LTD</t>
        </is>
      </c>
      <c r="B3355" t="inlineStr">
        <is>
          <t>AIHS</t>
        </is>
      </c>
      <c r="C3355" t="inlineStr">
        <is>
          <t>SENMIAO TECHNOLOGY LTD</t>
        </is>
      </c>
      <c r="D3355" t="n">
        <v>6199</v>
      </c>
    </row>
    <row r="3356">
      <c r="A3356" t="inlineStr">
        <is>
          <t>SENSATA TECHNOLOGIES HOLDING PLC</t>
        </is>
      </c>
      <c r="B3356" t="inlineStr">
        <is>
          <t>ST</t>
        </is>
      </c>
      <c r="C3356" t="inlineStr">
        <is>
          <t>SENSATA TECHNOLOGIES HOLDING PLC</t>
        </is>
      </c>
      <c r="D3356" t="n">
        <v>3823</v>
      </c>
    </row>
    <row r="3357">
      <c r="A3357" t="inlineStr">
        <is>
          <t>SENSEONICS HOLDINGS, INC.</t>
        </is>
      </c>
      <c r="B3357" t="inlineStr">
        <is>
          <t>SENS</t>
        </is>
      </c>
      <c r="C3357" t="inlineStr">
        <is>
          <t>SENSEONICS HOLDINGS, INC.</t>
        </is>
      </c>
      <c r="D3357" t="n">
        <v>3823</v>
      </c>
    </row>
    <row r="3358">
      <c r="A3358" t="inlineStr">
        <is>
          <t>SENSIENT TECHNOLOGIES CORP</t>
        </is>
      </c>
      <c r="B3358" t="inlineStr">
        <is>
          <t>SXT</t>
        </is>
      </c>
      <c r="C3358" t="inlineStr">
        <is>
          <t>SENSIENT TECHNOLOGIES CORP</t>
        </is>
      </c>
      <c r="D3358" t="n">
        <v>2860</v>
      </c>
    </row>
    <row r="3359">
      <c r="A3359" t="inlineStr">
        <is>
          <t>SENSTAR TECHNOLOGIES LTD.</t>
        </is>
      </c>
      <c r="B3359" t="inlineStr">
        <is>
          <t>SNT</t>
        </is>
      </c>
      <c r="C3359" t="inlineStr">
        <is>
          <t>SENSTAR TECHNOLOGIES LTD.</t>
        </is>
      </c>
      <c r="D3359" t="n">
        <v>3669</v>
      </c>
    </row>
    <row r="3360">
      <c r="A3360" t="inlineStr">
        <is>
          <t>SENTINELONE, INC.</t>
        </is>
      </c>
      <c r="B3360" t="inlineStr">
        <is>
          <t>S</t>
        </is>
      </c>
      <c r="C3360" t="inlineStr">
        <is>
          <t>SENTINELONE, INC.</t>
        </is>
      </c>
      <c r="D3360" t="n">
        <v>7372</v>
      </c>
    </row>
    <row r="3361">
      <c r="A3361" t="inlineStr">
        <is>
          <t>SERA PROGNOSTICS, INC.</t>
        </is>
      </c>
      <c r="B3361" t="inlineStr">
        <is>
          <t>SERA</t>
        </is>
      </c>
      <c r="C3361" t="inlineStr">
        <is>
          <t>SERA PROGNOSTICS, INC.</t>
        </is>
      </c>
      <c r="D3361" t="n">
        <v>8071</v>
      </c>
    </row>
    <row r="3362">
      <c r="A3362" t="inlineStr">
        <is>
          <t>SERES THERAPEUTICS, INC.</t>
        </is>
      </c>
      <c r="B3362" t="inlineStr">
        <is>
          <t>MCRB</t>
        </is>
      </c>
      <c r="C3362" t="inlineStr">
        <is>
          <t>SERES THERAPEUTICS, INC.</t>
        </is>
      </c>
      <c r="D3362" t="n">
        <v>2834</v>
      </c>
    </row>
    <row r="3363">
      <c r="A3363" t="inlineStr">
        <is>
          <t>SERITAGE GROWTH PROPERTIES</t>
        </is>
      </c>
      <c r="B3363" t="inlineStr">
        <is>
          <t>SRG</t>
        </is>
      </c>
      <c r="C3363" t="inlineStr">
        <is>
          <t>SERITAGE GROWTH PROPERTIES</t>
        </is>
      </c>
      <c r="D3363" t="n">
        <v>6500</v>
      </c>
    </row>
    <row r="3364">
      <c r="A3364" t="inlineStr">
        <is>
          <t>SERVICE CORP INTERNATIONAL</t>
        </is>
      </c>
      <c r="B3364" t="inlineStr">
        <is>
          <t>SCI</t>
        </is>
      </c>
      <c r="C3364" t="inlineStr">
        <is>
          <t>SERVICE CORP INTERNATIONAL</t>
        </is>
      </c>
      <c r="D3364" t="n">
        <v>7200</v>
      </c>
    </row>
    <row r="3365">
      <c r="A3365" t="inlineStr">
        <is>
          <t>SERVICE PROPERTIES TRUST</t>
        </is>
      </c>
      <c r="B3365" t="inlineStr">
        <is>
          <t>SVC</t>
        </is>
      </c>
      <c r="C3365" t="inlineStr">
        <is>
          <t>SERVICE PROPERTIES TRUST</t>
        </is>
      </c>
      <c r="D3365" t="n">
        <v>6798</v>
      </c>
    </row>
    <row r="3366">
      <c r="A3366" t="inlineStr">
        <is>
          <t>SERVICENOW, INC.</t>
        </is>
      </c>
      <c r="B3366" t="inlineStr">
        <is>
          <t>NOW</t>
        </is>
      </c>
      <c r="C3366" t="inlineStr">
        <is>
          <t>SERVICENOW, INC.</t>
        </is>
      </c>
      <c r="D3366" t="n">
        <v>7372</v>
      </c>
    </row>
    <row r="3367">
      <c r="A3367" t="inlineStr">
        <is>
          <t>SERVICESOURCE INTERNATIONAL, INC.</t>
        </is>
      </c>
      <c r="B3367" t="inlineStr">
        <is>
          <t>SREV</t>
        </is>
      </c>
      <c r="C3367" t="inlineStr">
        <is>
          <t>SERVICESOURCE INTERNATIONAL, INC.</t>
        </is>
      </c>
      <c r="D3367" t="n">
        <v>7389</v>
      </c>
    </row>
    <row r="3368">
      <c r="A3368" t="inlineStr">
        <is>
          <t>SERVISFIRST BANCSHARES, INC.</t>
        </is>
      </c>
      <c r="B3368" t="inlineStr">
        <is>
          <t>SFBS</t>
        </is>
      </c>
      <c r="C3368" t="inlineStr">
        <is>
          <t>SERVISFIRST BANCSHARES, INC.</t>
        </is>
      </c>
      <c r="D3368" t="n">
        <v>6022</v>
      </c>
    </row>
    <row r="3369">
      <c r="A3369" t="inlineStr">
        <is>
          <t>SERVOTRONICS INC /DE/</t>
        </is>
      </c>
      <c r="B3369" t="inlineStr">
        <is>
          <t>SVT</t>
        </is>
      </c>
      <c r="C3369" t="inlineStr">
        <is>
          <t>SERVOTRONICS INC /DE/</t>
        </is>
      </c>
      <c r="D3369" t="n">
        <v>3420</v>
      </c>
    </row>
    <row r="3370">
      <c r="A3370" t="inlineStr">
        <is>
          <t>SESEN BIO, INC.</t>
        </is>
      </c>
      <c r="B3370" t="inlineStr">
        <is>
          <t>SESN</t>
        </is>
      </c>
      <c r="C3370" t="inlineStr">
        <is>
          <t>SESEN BIO, INC.</t>
        </is>
      </c>
      <c r="D3370" t="n">
        <v>2834</v>
      </c>
    </row>
    <row r="3371">
      <c r="A3371" t="inlineStr">
        <is>
          <t>SEZZLE INC.</t>
        </is>
      </c>
      <c r="B3371" t="inlineStr">
        <is>
          <t>SEZNL</t>
        </is>
      </c>
      <c r="C3371" t="inlineStr">
        <is>
          <t>SEZZLE INC.</t>
        </is>
      </c>
      <c r="D3371" t="n">
        <v>7389</v>
      </c>
    </row>
    <row r="3372">
      <c r="A3372" t="inlineStr">
        <is>
          <t>SFL CORP LTD.</t>
        </is>
      </c>
      <c r="B3372" t="inlineStr">
        <is>
          <t>SFL</t>
        </is>
      </c>
      <c r="C3372" t="inlineStr">
        <is>
          <t>SFL CORP LTD.</t>
        </is>
      </c>
      <c r="D3372" t="n">
        <v>4412</v>
      </c>
    </row>
    <row r="3373">
      <c r="A3373" t="inlineStr">
        <is>
          <t>SG BLOCKS, INC.</t>
        </is>
      </c>
      <c r="B3373" t="inlineStr">
        <is>
          <t>SGBX</t>
        </is>
      </c>
      <c r="C3373" t="inlineStr">
        <is>
          <t>SG BLOCKS, INC.</t>
        </is>
      </c>
      <c r="D3373" t="n">
        <v>5030</v>
      </c>
    </row>
    <row r="3374">
      <c r="A3374" t="inlineStr">
        <is>
          <t>SHAKE SHACK INC.</t>
        </is>
      </c>
      <c r="B3374" t="inlineStr">
        <is>
          <t>SHAK</t>
        </is>
      </c>
      <c r="C3374" t="inlineStr">
        <is>
          <t>SHAKE SHACK INC.</t>
        </is>
      </c>
      <c r="D3374" t="n">
        <v>5810</v>
      </c>
    </row>
    <row r="3375">
      <c r="A3375" t="inlineStr">
        <is>
          <t>SHARECARE, INC.</t>
        </is>
      </c>
      <c r="B3375" t="inlineStr">
        <is>
          <t>SHCR</t>
        </is>
      </c>
      <c r="C3375" t="inlineStr">
        <is>
          <t>SHARECARE, INC.</t>
        </is>
      </c>
      <c r="D3375" t="n">
        <v>8000</v>
      </c>
    </row>
    <row r="3376">
      <c r="A3376" t="inlineStr">
        <is>
          <t>SHARPS COMPLIANCE CORP</t>
        </is>
      </c>
      <c r="B3376" t="inlineStr">
        <is>
          <t>SMED</t>
        </is>
      </c>
      <c r="C3376" t="inlineStr">
        <is>
          <t>SHARPS COMPLIANCE CORP</t>
        </is>
      </c>
      <c r="D3376" t="n">
        <v>4955</v>
      </c>
    </row>
    <row r="3377">
      <c r="A3377" t="inlineStr">
        <is>
          <t>SHATTUCK LABS, INC.</t>
        </is>
      </c>
      <c r="B3377" t="inlineStr">
        <is>
          <t>STTK</t>
        </is>
      </c>
      <c r="C3377" t="inlineStr">
        <is>
          <t>SHATTUCK LABS, INC.</t>
        </is>
      </c>
      <c r="D3377" t="n">
        <v>2834</v>
      </c>
    </row>
    <row r="3378">
      <c r="A3378" t="inlineStr">
        <is>
          <t>SHELL MIDSTREAM PARTNERS, L.P.</t>
        </is>
      </c>
      <c r="B3378" t="inlineStr">
        <is>
          <t>SHLX</t>
        </is>
      </c>
      <c r="C3378" t="inlineStr">
        <is>
          <t>SHELL MIDSTREAM PARTNERS, L.P.</t>
        </is>
      </c>
      <c r="D3378" t="n">
        <v>4610</v>
      </c>
    </row>
    <row r="3379">
      <c r="A3379" t="inlineStr">
        <is>
          <t>SHENANDOAH TELECOMMUNICATIONS CO/VA/</t>
        </is>
      </c>
      <c r="B3379" t="inlineStr">
        <is>
          <t>SHEN</t>
        </is>
      </c>
      <c r="C3379" t="inlineStr">
        <is>
          <t>SHENANDOAH TELECOMMUNICATIONS CO/VA/</t>
        </is>
      </c>
      <c r="D3379" t="n">
        <v>4813</v>
      </c>
    </row>
    <row r="3380">
      <c r="A3380" t="inlineStr">
        <is>
          <t>SHERWIN WILLIAMS CO</t>
        </is>
      </c>
      <c r="B3380" t="inlineStr">
        <is>
          <t>SHW</t>
        </is>
      </c>
      <c r="C3380" t="inlineStr">
        <is>
          <t>SHERWIN WILLIAMS CO</t>
        </is>
      </c>
      <c r="D3380" t="n">
        <v>5200</v>
      </c>
    </row>
    <row r="3381">
      <c r="A3381" t="inlineStr">
        <is>
          <t>SHIFT TECHNOLOGIES, INC.</t>
        </is>
      </c>
      <c r="B3381" t="inlineStr">
        <is>
          <t>SFT</t>
        </is>
      </c>
      <c r="C3381" t="inlineStr">
        <is>
          <t>SHIFT TECHNOLOGIES, INC.</t>
        </is>
      </c>
      <c r="D3381" t="n">
        <v>5500</v>
      </c>
    </row>
    <row r="3382">
      <c r="A3382" t="inlineStr">
        <is>
          <t>SHIFT4 PAYMENTS, INC.</t>
        </is>
      </c>
      <c r="B3382" t="inlineStr">
        <is>
          <t>FOUR</t>
        </is>
      </c>
      <c r="C3382" t="inlineStr">
        <is>
          <t>SHIFT4 PAYMENTS, INC.</t>
        </is>
      </c>
      <c r="D3382" t="n">
        <v>7389</v>
      </c>
    </row>
    <row r="3383">
      <c r="A3383" t="inlineStr">
        <is>
          <t>SHINECO, INC.</t>
        </is>
      </c>
      <c r="B3383" t="inlineStr">
        <is>
          <t>SISI</t>
        </is>
      </c>
      <c r="C3383" t="inlineStr">
        <is>
          <t>SHINECO, INC.</t>
        </is>
      </c>
      <c r="D3383" t="n">
        <v>100</v>
      </c>
    </row>
    <row r="3384">
      <c r="A3384" t="inlineStr">
        <is>
          <t>SHOALS TECHNOLOGIES GROUP, INC.</t>
        </is>
      </c>
      <c r="B3384" t="inlineStr">
        <is>
          <t>SHLS</t>
        </is>
      </c>
      <c r="C3384" t="inlineStr">
        <is>
          <t>SHOALS TECHNOLOGIES GROUP, INC.</t>
        </is>
      </c>
      <c r="D3384" t="n">
        <v>3674</v>
      </c>
    </row>
    <row r="3385">
      <c r="A3385" t="inlineStr">
        <is>
          <t>SHOCKWAVE MEDICAL, INC.</t>
        </is>
      </c>
      <c r="B3385" t="inlineStr">
        <is>
          <t>SWAV</t>
        </is>
      </c>
      <c r="C3385" t="inlineStr">
        <is>
          <t>SHOCKWAVE MEDICAL, INC.</t>
        </is>
      </c>
      <c r="D3385" t="n">
        <v>3841</v>
      </c>
    </row>
    <row r="3386">
      <c r="A3386" t="inlineStr">
        <is>
          <t>SHOE CARNIVAL INC</t>
        </is>
      </c>
      <c r="B3386" t="inlineStr">
        <is>
          <t>SCVL</t>
        </is>
      </c>
      <c r="C3386" t="inlineStr">
        <is>
          <t>SHOE CARNIVAL INC</t>
        </is>
      </c>
      <c r="D3386" t="n">
        <v>5661</v>
      </c>
    </row>
    <row r="3387">
      <c r="A3387" t="inlineStr">
        <is>
          <t>SHOPIFY INC.</t>
        </is>
      </c>
      <c r="B3387" t="inlineStr">
        <is>
          <t>SHOP</t>
        </is>
      </c>
      <c r="C3387" t="inlineStr">
        <is>
          <t>SHOPIFY INC.</t>
        </is>
      </c>
      <c r="D3387" t="n">
        <v>7372</v>
      </c>
    </row>
    <row r="3388">
      <c r="A3388" t="inlineStr">
        <is>
          <t>SHORE BANCSHARES INC</t>
        </is>
      </c>
      <c r="B3388" t="inlineStr">
        <is>
          <t>SHBI</t>
        </is>
      </c>
      <c r="C3388" t="inlineStr">
        <is>
          <t>SHORE BANCSHARES INC</t>
        </is>
      </c>
      <c r="D3388" t="n">
        <v>6021</v>
      </c>
    </row>
    <row r="3389">
      <c r="A3389" t="inlineStr">
        <is>
          <t>SHOTSPOTTER, INC</t>
        </is>
      </c>
      <c r="B3389" t="inlineStr">
        <is>
          <t>SSTI</t>
        </is>
      </c>
      <c r="C3389" t="inlineStr">
        <is>
          <t>SHOTSPOTTER, INC</t>
        </is>
      </c>
      <c r="D3389" t="n">
        <v>7372</v>
      </c>
    </row>
    <row r="3390">
      <c r="A3390" t="inlineStr">
        <is>
          <t>SHUTTERSTOCK, INC.</t>
        </is>
      </c>
      <c r="B3390" t="inlineStr">
        <is>
          <t>SSTK</t>
        </is>
      </c>
      <c r="C3390" t="inlineStr">
        <is>
          <t>SHUTTERSTOCK, INC.</t>
        </is>
      </c>
      <c r="D3390" t="n">
        <v>7374</v>
      </c>
    </row>
    <row r="3391">
      <c r="A3391" t="inlineStr">
        <is>
          <t>SHYFT GROUP, INC.</t>
        </is>
      </c>
      <c r="B3391" t="inlineStr">
        <is>
          <t>SHYF</t>
        </is>
      </c>
      <c r="C3391" t="inlineStr">
        <is>
          <t>SHYFT GROUP, INC.</t>
        </is>
      </c>
      <c r="D3391" t="n">
        <v>3711</v>
      </c>
    </row>
    <row r="3392">
      <c r="A3392" t="inlineStr">
        <is>
          <t>SI-BONE, INC.</t>
        </is>
      </c>
      <c r="B3392" t="inlineStr">
        <is>
          <t>SIBN</t>
        </is>
      </c>
      <c r="C3392" t="inlineStr">
        <is>
          <t>SI-BONE, INC.</t>
        </is>
      </c>
      <c r="D3392" t="n">
        <v>3841</v>
      </c>
    </row>
    <row r="3393">
      <c r="A3393" t="inlineStr">
        <is>
          <t>SIEBERT FINANCIAL CORP</t>
        </is>
      </c>
      <c r="B3393" t="inlineStr">
        <is>
          <t>SIEB</t>
        </is>
      </c>
      <c r="C3393" t="inlineStr">
        <is>
          <t>SIEBERT FINANCIAL CORP</t>
        </is>
      </c>
      <c r="D3393" t="n">
        <v>6211</v>
      </c>
    </row>
    <row r="3394">
      <c r="A3394" t="inlineStr">
        <is>
          <t>SIENTRA, INC.</t>
        </is>
      </c>
      <c r="B3394" t="inlineStr">
        <is>
          <t>SIEN</t>
        </is>
      </c>
      <c r="C3394" t="inlineStr">
        <is>
          <t>SIENTRA, INC.</t>
        </is>
      </c>
      <c r="D3394" t="n">
        <v>3842</v>
      </c>
    </row>
    <row r="3395">
      <c r="A3395" t="inlineStr">
        <is>
          <t>SIERRA BANCORP</t>
        </is>
      </c>
      <c r="B3395" t="inlineStr">
        <is>
          <t>BSRR</t>
        </is>
      </c>
      <c r="C3395" t="inlineStr">
        <is>
          <t>SIERRA BANCORP</t>
        </is>
      </c>
      <c r="D3395" t="n">
        <v>6022</v>
      </c>
    </row>
    <row r="3396">
      <c r="A3396" t="inlineStr">
        <is>
          <t>SIERRA WIRELESS INC</t>
        </is>
      </c>
      <c r="B3396" t="inlineStr">
        <is>
          <t>SWIR</t>
        </is>
      </c>
      <c r="C3396" t="inlineStr">
        <is>
          <t>SIERRA WIRELESS INC</t>
        </is>
      </c>
      <c r="D3396" t="n">
        <v>3663</v>
      </c>
    </row>
    <row r="3397">
      <c r="A3397" t="inlineStr">
        <is>
          <t>SIFCO INDUSTRIES INC</t>
        </is>
      </c>
      <c r="B3397" t="inlineStr">
        <is>
          <t>SIF</t>
        </is>
      </c>
      <c r="C3397" t="inlineStr">
        <is>
          <t>SIFCO INDUSTRIES INC</t>
        </is>
      </c>
      <c r="D3397" t="n">
        <v>3724</v>
      </c>
    </row>
    <row r="3398">
      <c r="A3398" t="inlineStr">
        <is>
          <t>SIGA TECHNOLOGIES INC</t>
        </is>
      </c>
      <c r="B3398" t="inlineStr">
        <is>
          <t>SIGA</t>
        </is>
      </c>
      <c r="C3398" t="inlineStr">
        <is>
          <t>SIGA TECHNOLOGIES INC</t>
        </is>
      </c>
      <c r="D3398" t="n">
        <v>2834</v>
      </c>
    </row>
    <row r="3399">
      <c r="A3399" t="inlineStr">
        <is>
          <t>SIGHT SCIENCES, INC.</t>
        </is>
      </c>
      <c r="B3399" t="inlineStr">
        <is>
          <t>SGHT</t>
        </is>
      </c>
      <c r="C3399" t="inlineStr">
        <is>
          <t>SIGHT SCIENCES, INC.</t>
        </is>
      </c>
      <c r="D3399" t="n">
        <v>3841</v>
      </c>
    </row>
    <row r="3400">
      <c r="A3400" t="inlineStr">
        <is>
          <t>SIGILON THERAPEUTICS, INC.</t>
        </is>
      </c>
      <c r="B3400" t="inlineStr">
        <is>
          <t>SGTX</t>
        </is>
      </c>
      <c r="C3400" t="inlineStr">
        <is>
          <t>SIGILON THERAPEUTICS, INC.</t>
        </is>
      </c>
      <c r="D3400" t="n">
        <v>2834</v>
      </c>
    </row>
    <row r="3401">
      <c r="A3401" t="inlineStr">
        <is>
          <t>SIGMATRON INTERNATIONAL INC</t>
        </is>
      </c>
      <c r="B3401" t="inlineStr">
        <is>
          <t>SGMA</t>
        </is>
      </c>
      <c r="C3401" t="inlineStr">
        <is>
          <t>SIGMATRON INTERNATIONAL INC</t>
        </is>
      </c>
      <c r="D3401" t="n">
        <v>3672</v>
      </c>
    </row>
    <row r="3402">
      <c r="A3402" t="inlineStr">
        <is>
          <t>SIGNET JEWELERS LTD</t>
        </is>
      </c>
      <c r="B3402" t="inlineStr">
        <is>
          <t>SIG</t>
        </is>
      </c>
      <c r="C3402" t="inlineStr">
        <is>
          <t>SIGNET JEWELERS LTD</t>
        </is>
      </c>
      <c r="D3402" t="n">
        <v>5944</v>
      </c>
    </row>
    <row r="3403">
      <c r="A3403" t="inlineStr">
        <is>
          <t>SIGNIFY HEALTH, INC.</t>
        </is>
      </c>
      <c r="B3403" t="inlineStr">
        <is>
          <t>SGFY</t>
        </is>
      </c>
      <c r="C3403" t="inlineStr">
        <is>
          <t>SIGNIFY HEALTH, INC.</t>
        </is>
      </c>
      <c r="D3403" t="n">
        <v>8082</v>
      </c>
    </row>
    <row r="3404">
      <c r="A3404" t="inlineStr">
        <is>
          <t>SILGAN HOLDINGS INC</t>
        </is>
      </c>
      <c r="B3404" t="inlineStr">
        <is>
          <t>SLGN</t>
        </is>
      </c>
      <c r="C3404" t="inlineStr">
        <is>
          <t>SILGAN HOLDINGS INC</t>
        </is>
      </c>
      <c r="D3404" t="n">
        <v>3411</v>
      </c>
    </row>
    <row r="3405">
      <c r="A3405" t="inlineStr">
        <is>
          <t>SILICOM LTD.</t>
        </is>
      </c>
      <c r="B3405" t="inlineStr">
        <is>
          <t>SILC</t>
        </is>
      </c>
      <c r="C3405" t="inlineStr">
        <is>
          <t>SILICOM LTD.</t>
        </is>
      </c>
      <c r="D3405" t="n">
        <v>3576</v>
      </c>
    </row>
    <row r="3406">
      <c r="A3406" t="inlineStr">
        <is>
          <t>SILICON LABORATORIES INC.</t>
        </is>
      </c>
      <c r="B3406" t="inlineStr">
        <is>
          <t>SLAB</t>
        </is>
      </c>
      <c r="C3406" t="inlineStr">
        <is>
          <t>SILICON LABORATORIES INC.</t>
        </is>
      </c>
      <c r="D3406" t="n">
        <v>3674</v>
      </c>
    </row>
    <row r="3407">
      <c r="A3407" t="inlineStr">
        <is>
          <t>SILICON MOTION TECHNOLOGY CORP</t>
        </is>
      </c>
      <c r="B3407" t="inlineStr">
        <is>
          <t>SIMO</t>
        </is>
      </c>
      <c r="C3407" t="inlineStr">
        <is>
          <t>SILICON MOTION TECHNOLOGY CORP</t>
        </is>
      </c>
      <c r="D3407" t="n">
        <v>3674</v>
      </c>
    </row>
    <row r="3408">
      <c r="A3408" t="inlineStr">
        <is>
          <t>SILK ROAD MEDICAL INC</t>
        </is>
      </c>
      <c r="B3408" t="inlineStr">
        <is>
          <t>SILK</t>
        </is>
      </c>
      <c r="C3408" t="inlineStr">
        <is>
          <t>SILK ROAD MEDICAL INC</t>
        </is>
      </c>
      <c r="D3408" t="n">
        <v>3841</v>
      </c>
    </row>
    <row r="3409">
      <c r="A3409" t="inlineStr">
        <is>
          <t>SILVERBOW RESOURCES, INC.</t>
        </is>
      </c>
      <c r="B3409" t="inlineStr">
        <is>
          <t>SBOW</t>
        </is>
      </c>
      <c r="C3409" t="inlineStr">
        <is>
          <t>SILVERBOW RESOURCES, INC.</t>
        </is>
      </c>
      <c r="D3409" t="n">
        <v>1311</v>
      </c>
    </row>
    <row r="3410">
      <c r="A3410" t="inlineStr">
        <is>
          <t>SILVERCREST ASSET MANAGEMENT GROUP INC.</t>
        </is>
      </c>
      <c r="B3410" t="inlineStr">
        <is>
          <t>SAMG</t>
        </is>
      </c>
      <c r="C3410" t="inlineStr">
        <is>
          <t>SILVERCREST ASSET MANAGEMENT GROUP INC.</t>
        </is>
      </c>
      <c r="D3410" t="n">
        <v>6282</v>
      </c>
    </row>
    <row r="3411">
      <c r="A3411" t="inlineStr">
        <is>
          <t>SILVERGATE CAPITAL CORP</t>
        </is>
      </c>
      <c r="B3411" t="inlineStr">
        <is>
          <t>SI</t>
        </is>
      </c>
      <c r="C3411" t="inlineStr">
        <is>
          <t>SILVERGATE CAPITAL CORP</t>
        </is>
      </c>
      <c r="D3411" t="n">
        <v>6022</v>
      </c>
    </row>
    <row r="3412">
      <c r="A3412" t="inlineStr">
        <is>
          <t>SILVERSUN TECHNOLOGIES, INC.</t>
        </is>
      </c>
      <c r="B3412" t="inlineStr">
        <is>
          <t>SSNT</t>
        </is>
      </c>
      <c r="C3412" t="inlineStr">
        <is>
          <t>SILVERSUN TECHNOLOGIES, INC.</t>
        </is>
      </c>
      <c r="D3412" t="n">
        <v>7389</v>
      </c>
    </row>
    <row r="3413">
      <c r="A3413" t="inlineStr">
        <is>
          <t>SIMILARWEB LTD.</t>
        </is>
      </c>
      <c r="B3413" t="inlineStr">
        <is>
          <t>SMWB</t>
        </is>
      </c>
      <c r="C3413" t="inlineStr">
        <is>
          <t>SIMILARWEB LTD.</t>
        </is>
      </c>
      <c r="D3413" t="n">
        <v>7370</v>
      </c>
    </row>
    <row r="3414">
      <c r="A3414" t="inlineStr">
        <is>
          <t>SIMMONS FIRST NATIONAL CORP</t>
        </is>
      </c>
      <c r="B3414" t="inlineStr">
        <is>
          <t>SFNC</t>
        </is>
      </c>
      <c r="C3414" t="inlineStr">
        <is>
          <t>SIMMONS FIRST NATIONAL CORP</t>
        </is>
      </c>
      <c r="D3414" t="n">
        <v>6021</v>
      </c>
    </row>
    <row r="3415">
      <c r="A3415" t="inlineStr">
        <is>
          <t>SIMON PROPERTY GROUP INC /DE/</t>
        </is>
      </c>
      <c r="B3415" t="inlineStr">
        <is>
          <t>SPG</t>
        </is>
      </c>
      <c r="C3415" t="inlineStr">
        <is>
          <t>SIMON PROPERTY GROUP INC /DE/</t>
        </is>
      </c>
      <c r="D3415" t="n">
        <v>6798</v>
      </c>
    </row>
    <row r="3416">
      <c r="A3416" t="inlineStr">
        <is>
          <t>SIMPLY GOOD FOODS CO</t>
        </is>
      </c>
      <c r="B3416" t="inlineStr">
        <is>
          <t>SMPL</t>
        </is>
      </c>
      <c r="C3416" t="inlineStr">
        <is>
          <t>SIMPLY GOOD FOODS CO</t>
        </is>
      </c>
      <c r="D3416" t="n">
        <v>2000</v>
      </c>
    </row>
    <row r="3417">
      <c r="A3417" t="inlineStr">
        <is>
          <t>SIMPSON MANUFACTURING CO., INC.</t>
        </is>
      </c>
      <c r="B3417" t="inlineStr">
        <is>
          <t>SSD</t>
        </is>
      </c>
      <c r="C3417" t="inlineStr">
        <is>
          <t>SIMPSON MANUFACTURING CO., INC.</t>
        </is>
      </c>
      <c r="D3417" t="n">
        <v>3420</v>
      </c>
    </row>
    <row r="3418">
      <c r="A3418" t="inlineStr">
        <is>
          <t>SIMULATIONS PLUS, INC.</t>
        </is>
      </c>
      <c r="B3418" t="inlineStr">
        <is>
          <t>SLP</t>
        </is>
      </c>
      <c r="C3418" t="inlineStr">
        <is>
          <t>SIMULATIONS PLUS, INC.</t>
        </is>
      </c>
      <c r="D3418" t="n">
        <v>7373</v>
      </c>
    </row>
    <row r="3419">
      <c r="A3419" t="inlineStr">
        <is>
          <t>SINCLAIR BROADCAST GROUP INC</t>
        </is>
      </c>
      <c r="B3419" t="inlineStr">
        <is>
          <t>SBGI</t>
        </is>
      </c>
      <c r="C3419" t="inlineStr">
        <is>
          <t>SINCLAIR BROADCAST GROUP INC</t>
        </is>
      </c>
      <c r="D3419" t="n">
        <v>4833</v>
      </c>
    </row>
    <row r="3420">
      <c r="A3420" t="inlineStr">
        <is>
          <t>SINOVAC BIOTECH LTD</t>
        </is>
      </c>
      <c r="B3420" t="inlineStr">
        <is>
          <t>SVA</t>
        </is>
      </c>
      <c r="C3420" t="inlineStr">
        <is>
          <t>SINOVAC BIOTECH LTD</t>
        </is>
      </c>
      <c r="D3420" t="n">
        <v>2834</v>
      </c>
    </row>
    <row r="3421">
      <c r="A3421" t="inlineStr">
        <is>
          <t>SINTX TECHNOLOGIES, INC.</t>
        </is>
      </c>
      <c r="B3421" t="inlineStr">
        <is>
          <t>SINT</t>
        </is>
      </c>
      <c r="C3421" t="inlineStr">
        <is>
          <t>SINTX TECHNOLOGIES, INC.</t>
        </is>
      </c>
      <c r="D3421" t="n">
        <v>3841</v>
      </c>
    </row>
    <row r="3422">
      <c r="A3422" t="inlineStr">
        <is>
          <t>SIRIUS XM HOLDINGS INC.</t>
        </is>
      </c>
      <c r="B3422" t="inlineStr">
        <is>
          <t>SIRI</t>
        </is>
      </c>
      <c r="C3422" t="inlineStr">
        <is>
          <t>SIRIUS XM HOLDINGS INC.</t>
        </is>
      </c>
      <c r="D3422" t="n">
        <v>4832</v>
      </c>
    </row>
    <row r="3423">
      <c r="A3423" t="inlineStr">
        <is>
          <t>SIRIUSPOINT LTD</t>
        </is>
      </c>
      <c r="B3423" t="inlineStr">
        <is>
          <t>SPNT</t>
        </is>
      </c>
      <c r="C3423" t="inlineStr">
        <is>
          <t>SIRIUSPOINT LTD</t>
        </is>
      </c>
      <c r="D3423" t="n">
        <v>6331</v>
      </c>
    </row>
    <row r="3424">
      <c r="A3424" t="inlineStr">
        <is>
          <t>SITE CENTERS CORP.</t>
        </is>
      </c>
      <c r="B3424" t="inlineStr">
        <is>
          <t>SITC</t>
        </is>
      </c>
      <c r="C3424" t="inlineStr">
        <is>
          <t>SITE CENTERS CORP.</t>
        </is>
      </c>
      <c r="D3424" t="n">
        <v>6798</v>
      </c>
    </row>
    <row r="3425">
      <c r="A3425" t="inlineStr">
        <is>
          <t>SITEONE LANDSCAPE SUPPLY, INC.</t>
        </is>
      </c>
      <c r="B3425" t="inlineStr">
        <is>
          <t>SITE</t>
        </is>
      </c>
      <c r="C3425" t="inlineStr">
        <is>
          <t>SITEONE LANDSCAPE SUPPLY, INC.</t>
        </is>
      </c>
      <c r="D3425" t="n">
        <v>5040</v>
      </c>
    </row>
    <row r="3426">
      <c r="A3426" t="inlineStr">
        <is>
          <t>SITIME CORP</t>
        </is>
      </c>
      <c r="B3426" t="inlineStr">
        <is>
          <t>SITM</t>
        </is>
      </c>
      <c r="C3426" t="inlineStr">
        <is>
          <t>SITIME CORP</t>
        </is>
      </c>
      <c r="D3426" t="n">
        <v>3674</v>
      </c>
    </row>
    <row r="3427">
      <c r="A3427" t="inlineStr">
        <is>
          <t>SIX FLAGS ENTERTAINMENT CORP</t>
        </is>
      </c>
      <c r="B3427" t="inlineStr">
        <is>
          <t>SIX</t>
        </is>
      </c>
      <c r="C3427" t="inlineStr">
        <is>
          <t>SIX FLAGS ENTERTAINMENT CORP</t>
        </is>
      </c>
      <c r="D3427" t="n">
        <v>7990</v>
      </c>
    </row>
    <row r="3428">
      <c r="A3428" t="inlineStr">
        <is>
          <t>SJW GROUP</t>
        </is>
      </c>
      <c r="B3428" t="inlineStr">
        <is>
          <t>SJW</t>
        </is>
      </c>
      <c r="C3428" t="inlineStr">
        <is>
          <t>SJW GROUP</t>
        </is>
      </c>
      <c r="D3428" t="n">
        <v>4941</v>
      </c>
    </row>
    <row r="3429">
      <c r="A3429" t="inlineStr">
        <is>
          <t>SKECHERS USA INC</t>
        </is>
      </c>
      <c r="B3429" t="inlineStr">
        <is>
          <t>SKX</t>
        </is>
      </c>
      <c r="C3429" t="inlineStr">
        <is>
          <t>SKECHERS USA INC</t>
        </is>
      </c>
      <c r="D3429" t="n">
        <v>3140</v>
      </c>
    </row>
    <row r="3430">
      <c r="A3430" t="inlineStr">
        <is>
          <t>SKILLFUL CRAFTSMAN EDUCATION TECHNOLOGY LTD</t>
        </is>
      </c>
      <c r="B3430" t="inlineStr">
        <is>
          <t>EDTK</t>
        </is>
      </c>
      <c r="C3430" t="inlineStr">
        <is>
          <t>SKILLFUL CRAFTSMAN EDUCATION TECHNOLOGY LTD</t>
        </is>
      </c>
      <c r="D3430" t="n">
        <v>8200</v>
      </c>
    </row>
    <row r="3431">
      <c r="A3431" t="inlineStr">
        <is>
          <t>SKILLZ INC.</t>
        </is>
      </c>
      <c r="B3431" t="inlineStr">
        <is>
          <t>SKLZ</t>
        </is>
      </c>
      <c r="C3431" t="inlineStr">
        <is>
          <t>SKILLZ INC.</t>
        </is>
      </c>
      <c r="D3431" t="n">
        <v>7374</v>
      </c>
    </row>
    <row r="3432">
      <c r="A3432" t="inlineStr">
        <is>
          <t>SKYLINE CHAMPION CORP</t>
        </is>
      </c>
      <c r="B3432" t="inlineStr">
        <is>
          <t>SKY</t>
        </is>
      </c>
      <c r="C3432" t="inlineStr">
        <is>
          <t>SKYLINE CHAMPION CORP</t>
        </is>
      </c>
      <c r="D3432" t="n">
        <v>2451</v>
      </c>
    </row>
    <row r="3433">
      <c r="A3433" t="inlineStr">
        <is>
          <t>SKYWATER TECHNOLOGY, INC</t>
        </is>
      </c>
      <c r="B3433" t="inlineStr">
        <is>
          <t>SKYT</t>
        </is>
      </c>
      <c r="C3433" t="inlineStr">
        <is>
          <t>SKYWATER TECHNOLOGY, INC</t>
        </is>
      </c>
      <c r="D3433" t="n">
        <v>3674</v>
      </c>
    </row>
    <row r="3434">
      <c r="A3434" t="inlineStr">
        <is>
          <t>SKYWEST INC</t>
        </is>
      </c>
      <c r="B3434" t="inlineStr">
        <is>
          <t>SKYW</t>
        </is>
      </c>
      <c r="C3434" t="inlineStr">
        <is>
          <t>SKYWEST INC</t>
        </is>
      </c>
      <c r="D3434" t="n">
        <v>4512</v>
      </c>
    </row>
    <row r="3435">
      <c r="A3435" t="inlineStr">
        <is>
          <t>SKYWORKS SOLUTIONS INC</t>
        </is>
      </c>
      <c r="B3435" t="inlineStr">
        <is>
          <t>SWKS</t>
        </is>
      </c>
      <c r="C3435" t="inlineStr">
        <is>
          <t>SKYWORKS SOLUTIONS INC</t>
        </is>
      </c>
      <c r="D3435" t="n">
        <v>3674</v>
      </c>
    </row>
    <row r="3436">
      <c r="A3436" t="inlineStr">
        <is>
          <t>SL GREEN REALTY CORP</t>
        </is>
      </c>
      <c r="B3436" t="inlineStr">
        <is>
          <t>SLG</t>
        </is>
      </c>
      <c r="C3436" t="inlineStr">
        <is>
          <t>SL GREEN REALTY CORP</t>
        </is>
      </c>
      <c r="D3436" t="n">
        <v>6798</v>
      </c>
    </row>
    <row r="3437">
      <c r="A3437" t="inlineStr">
        <is>
          <t>SLEEP NUMBER CORP</t>
        </is>
      </c>
      <c r="B3437" t="inlineStr">
        <is>
          <t>SNBR</t>
        </is>
      </c>
      <c r="C3437" t="inlineStr">
        <is>
          <t>SLEEP NUMBER CORP</t>
        </is>
      </c>
      <c r="D3437" t="n">
        <v>2510</v>
      </c>
    </row>
    <row r="3438">
      <c r="A3438" t="inlineStr">
        <is>
          <t>SLM CORP</t>
        </is>
      </c>
      <c r="B3438" t="inlineStr">
        <is>
          <t>SLM</t>
        </is>
      </c>
      <c r="C3438" t="inlineStr">
        <is>
          <t>SLM CORP</t>
        </is>
      </c>
      <c r="D3438" t="n">
        <v>6141</v>
      </c>
    </row>
    <row r="3439">
      <c r="A3439" t="inlineStr">
        <is>
          <t>SM ENERGY CO</t>
        </is>
      </c>
      <c r="B3439" t="inlineStr">
        <is>
          <t>SM</t>
        </is>
      </c>
      <c r="C3439" t="inlineStr">
        <is>
          <t>SM ENERGY CO</t>
        </is>
      </c>
      <c r="D3439" t="n">
        <v>1311</v>
      </c>
    </row>
    <row r="3440">
      <c r="A3440" t="inlineStr">
        <is>
          <t>SMART GLOBAL HOLDINGS, INC.</t>
        </is>
      </c>
      <c r="B3440" t="inlineStr">
        <is>
          <t>SGH</t>
        </is>
      </c>
      <c r="C3440" t="inlineStr">
        <is>
          <t>SMART GLOBAL HOLDINGS, INC.</t>
        </is>
      </c>
      <c r="D3440" t="n">
        <v>3674</v>
      </c>
    </row>
    <row r="3441">
      <c r="A3441" t="inlineStr">
        <is>
          <t>SMART SAND, INC.</t>
        </is>
      </c>
      <c r="B3441" t="inlineStr">
        <is>
          <t>SND</t>
        </is>
      </c>
      <c r="C3441" t="inlineStr">
        <is>
          <t>SMART SAND, INC.</t>
        </is>
      </c>
      <c r="D3441" t="n">
        <v>1400</v>
      </c>
    </row>
    <row r="3442">
      <c r="A3442" t="inlineStr">
        <is>
          <t>SMARTFINANCIAL INC.</t>
        </is>
      </c>
      <c r="B3442" t="inlineStr">
        <is>
          <t>SMBK</t>
        </is>
      </c>
      <c r="C3442" t="inlineStr">
        <is>
          <t>SMARTFINANCIAL INC.</t>
        </is>
      </c>
      <c r="D3442" t="n">
        <v>6021</v>
      </c>
    </row>
    <row r="3443">
      <c r="A3443" t="inlineStr">
        <is>
          <t>SMARTRENT, INC.</t>
        </is>
      </c>
      <c r="B3443" t="inlineStr">
        <is>
          <t>SMRT</t>
        </is>
      </c>
      <c r="C3443" t="inlineStr">
        <is>
          <t>SMARTRENT, INC.</t>
        </is>
      </c>
      <c r="D3443" t="n">
        <v>7373</v>
      </c>
    </row>
    <row r="3444">
      <c r="A3444" t="inlineStr">
        <is>
          <t>SMARTSHEET INC</t>
        </is>
      </c>
      <c r="B3444" t="inlineStr">
        <is>
          <t>SMAR</t>
        </is>
      </c>
      <c r="C3444" t="inlineStr">
        <is>
          <t>SMARTSHEET INC</t>
        </is>
      </c>
      <c r="D3444" t="n">
        <v>7372</v>
      </c>
    </row>
    <row r="3445">
      <c r="A3445" t="inlineStr">
        <is>
          <t>SMILEDIRECTCLUB, INC.</t>
        </is>
      </c>
      <c r="B3445" t="inlineStr">
        <is>
          <t>SDC</t>
        </is>
      </c>
      <c r="C3445" t="inlineStr">
        <is>
          <t>SMILEDIRECTCLUB, INC.</t>
        </is>
      </c>
      <c r="D3445" t="n">
        <v>3843</v>
      </c>
    </row>
    <row r="3446">
      <c r="A3446" t="inlineStr">
        <is>
          <t>SMITH &amp; WESSON BRANDS, INC.</t>
        </is>
      </c>
      <c r="B3446" t="inlineStr">
        <is>
          <t>SWBI</t>
        </is>
      </c>
      <c r="C3446" t="inlineStr">
        <is>
          <t>SMITH &amp; WESSON BRANDS, INC.</t>
        </is>
      </c>
      <c r="D3446" t="n">
        <v>3480</v>
      </c>
    </row>
    <row r="3447">
      <c r="A3447" t="inlineStr">
        <is>
          <t>SMITH A O CORP</t>
        </is>
      </c>
      <c r="B3447" t="inlineStr">
        <is>
          <t>AOS</t>
        </is>
      </c>
      <c r="C3447" t="inlineStr">
        <is>
          <t>SMITH A O CORP</t>
        </is>
      </c>
      <c r="D3447" t="n">
        <v>3630</v>
      </c>
    </row>
    <row r="3448">
      <c r="A3448" t="inlineStr">
        <is>
          <t>SMITH MICRO SOFTWARE, INC.</t>
        </is>
      </c>
      <c r="B3448" t="inlineStr">
        <is>
          <t>SMSI</t>
        </is>
      </c>
      <c r="C3448" t="inlineStr">
        <is>
          <t>SMITH MICRO SOFTWARE, INC.</t>
        </is>
      </c>
      <c r="D3448" t="n">
        <v>7372</v>
      </c>
    </row>
    <row r="3449">
      <c r="A3449" t="inlineStr">
        <is>
          <t>SMITH MIDLAND CORP</t>
        </is>
      </c>
      <c r="B3449" t="inlineStr">
        <is>
          <t>SMID</t>
        </is>
      </c>
      <c r="C3449" t="inlineStr">
        <is>
          <t>SMITH MIDLAND CORP</t>
        </is>
      </c>
      <c r="D3449" t="n">
        <v>3272</v>
      </c>
    </row>
    <row r="3450">
      <c r="A3450" t="inlineStr">
        <is>
          <t>SNAP INC</t>
        </is>
      </c>
      <c r="B3450" t="inlineStr">
        <is>
          <t>SNAP</t>
        </is>
      </c>
      <c r="C3450" t="inlineStr">
        <is>
          <t>SNAP INC</t>
        </is>
      </c>
      <c r="D3450" t="n">
        <v>7370</v>
      </c>
    </row>
    <row r="3451">
      <c r="A3451" t="inlineStr">
        <is>
          <t>SNAP ONE HOLDINGS CORP.</t>
        </is>
      </c>
      <c r="B3451" t="inlineStr">
        <is>
          <t>SNPO</t>
        </is>
      </c>
      <c r="C3451" t="inlineStr">
        <is>
          <t>SNAP ONE HOLDINGS CORP.</t>
        </is>
      </c>
      <c r="D3451" t="n">
        <v>3670</v>
      </c>
    </row>
    <row r="3452">
      <c r="A3452" t="inlineStr">
        <is>
          <t>SNAP-ON INC</t>
        </is>
      </c>
      <c r="B3452" t="inlineStr">
        <is>
          <t>SNA</t>
        </is>
      </c>
      <c r="C3452" t="inlineStr">
        <is>
          <t>SNAP-ON INC</t>
        </is>
      </c>
      <c r="D3452" t="n">
        <v>3420</v>
      </c>
    </row>
    <row r="3453">
      <c r="A3453" t="inlineStr">
        <is>
          <t>SNOWFLAKE INC.</t>
        </is>
      </c>
      <c r="B3453" t="inlineStr">
        <is>
          <t>SNOW</t>
        </is>
      </c>
      <c r="C3453" t="inlineStr">
        <is>
          <t>SNOWFLAKE INC.</t>
        </is>
      </c>
      <c r="D3453" t="n">
        <v>7372</v>
      </c>
    </row>
    <row r="3454">
      <c r="A3454" t="inlineStr">
        <is>
          <t>SO-YOUNG INTERNATIONAL INC.</t>
        </is>
      </c>
      <c r="B3454" t="inlineStr">
        <is>
          <t>SY</t>
        </is>
      </c>
      <c r="C3454" t="inlineStr">
        <is>
          <t>SO-YOUNG INTERNATIONAL INC.</t>
        </is>
      </c>
      <c r="D3454" t="n">
        <v>7374</v>
      </c>
    </row>
    <row r="3455">
      <c r="A3455" t="inlineStr">
        <is>
          <t>SOCKET MOBILE, INC.</t>
        </is>
      </c>
      <c r="B3455" t="inlineStr">
        <is>
          <t>SCKT</t>
        </is>
      </c>
      <c r="C3455" t="inlineStr">
        <is>
          <t>SOCKET MOBILE, INC.</t>
        </is>
      </c>
      <c r="D3455" t="n">
        <v>3571</v>
      </c>
    </row>
    <row r="3456">
      <c r="A3456" t="inlineStr">
        <is>
          <t>SOFI TECHNOLOGIES, INC.</t>
        </is>
      </c>
      <c r="B3456" t="inlineStr">
        <is>
          <t>SOFI</t>
        </is>
      </c>
      <c r="C3456" t="inlineStr">
        <is>
          <t>SOFI TECHNOLOGIES, INC.</t>
        </is>
      </c>
      <c r="D3456" t="n">
        <v>6199</v>
      </c>
    </row>
    <row r="3457">
      <c r="A3457" t="inlineStr">
        <is>
          <t>SOHU.COM LTD</t>
        </is>
      </c>
      <c r="B3457" t="inlineStr">
        <is>
          <t>SOHU</t>
        </is>
      </c>
      <c r="C3457" t="inlineStr">
        <is>
          <t>SOHU.COM LTD</t>
        </is>
      </c>
      <c r="D3457" t="n">
        <v>7374</v>
      </c>
    </row>
    <row r="3458">
      <c r="A3458" t="inlineStr">
        <is>
          <t>SOL-GEL TECHNOLOGIES LTD.</t>
        </is>
      </c>
      <c r="B3458" t="inlineStr">
        <is>
          <t>SLGL</t>
        </is>
      </c>
      <c r="C3458" t="inlineStr">
        <is>
          <t>SOL-GEL TECHNOLOGIES LTD.</t>
        </is>
      </c>
      <c r="D3458" t="n">
        <v>2834</v>
      </c>
    </row>
    <row r="3459">
      <c r="A3459" t="inlineStr">
        <is>
          <t>SOLAREDGE TECHNOLOGIES, INC.</t>
        </is>
      </c>
      <c r="B3459" t="inlineStr">
        <is>
          <t>SEDG</t>
        </is>
      </c>
      <c r="C3459" t="inlineStr">
        <is>
          <t>SOLAREDGE TECHNOLOGIES, INC.</t>
        </is>
      </c>
      <c r="D3459" t="n">
        <v>3674</v>
      </c>
    </row>
    <row r="3460">
      <c r="A3460" t="inlineStr">
        <is>
          <t>SOLARIS OILFIELD INFRASTRUCTURE, INC.</t>
        </is>
      </c>
      <c r="B3460" t="inlineStr">
        <is>
          <t>SOI</t>
        </is>
      </c>
      <c r="C3460" t="inlineStr">
        <is>
          <t>SOLARIS OILFIELD INFRASTRUCTURE, INC.</t>
        </is>
      </c>
      <c r="D3460" t="n">
        <v>3533</v>
      </c>
    </row>
    <row r="3461">
      <c r="A3461" t="inlineStr">
        <is>
          <t>SOLARWINDOW TECHNOLOGIES, INC.</t>
        </is>
      </c>
      <c r="B3461" t="inlineStr">
        <is>
          <t>WNDW</t>
        </is>
      </c>
      <c r="C3461" t="inlineStr">
        <is>
          <t>SOLARWINDOW TECHNOLOGIES, INC.</t>
        </is>
      </c>
      <c r="D3461" t="n">
        <v>2860</v>
      </c>
    </row>
    <row r="3462">
      <c r="A3462" t="inlineStr">
        <is>
          <t>SOLARWINDS CORP</t>
        </is>
      </c>
      <c r="B3462" t="inlineStr">
        <is>
          <t>SWI</t>
        </is>
      </c>
      <c r="C3462" t="inlineStr">
        <is>
          <t>SOLARWINDS CORP</t>
        </is>
      </c>
      <c r="D3462" t="n">
        <v>7372</v>
      </c>
    </row>
    <row r="3463">
      <c r="A3463" t="inlineStr">
        <is>
          <t>SOLID POWER, INC.</t>
        </is>
      </c>
      <c r="B3463" t="inlineStr">
        <is>
          <t>SLDP</t>
        </is>
      </c>
      <c r="C3463" t="inlineStr">
        <is>
          <t>SOLID POWER, INC.</t>
        </is>
      </c>
      <c r="D3463" t="n">
        <v>3690</v>
      </c>
    </row>
    <row r="3464">
      <c r="A3464" t="inlineStr">
        <is>
          <t>SOLIGENIX, INC.</t>
        </is>
      </c>
      <c r="B3464" t="inlineStr">
        <is>
          <t>SNGX</t>
        </is>
      </c>
      <c r="C3464" t="inlineStr">
        <is>
          <t>SOLIGENIX, INC.</t>
        </is>
      </c>
      <c r="D3464" t="n">
        <v>2834</v>
      </c>
    </row>
    <row r="3465">
      <c r="A3465" t="inlineStr">
        <is>
          <t>SOMALOGIC, INC.</t>
        </is>
      </c>
      <c r="B3465" t="inlineStr">
        <is>
          <t>SLGC</t>
        </is>
      </c>
      <c r="C3465" t="inlineStr">
        <is>
          <t>SOMALOGIC, INC.</t>
        </is>
      </c>
      <c r="D3465" t="n">
        <v>8731</v>
      </c>
    </row>
    <row r="3466">
      <c r="A3466" t="inlineStr">
        <is>
          <t>SONENDO, INC.</t>
        </is>
      </c>
      <c r="B3466" t="inlineStr">
        <is>
          <t>SONX</t>
        </is>
      </c>
      <c r="C3466" t="inlineStr">
        <is>
          <t>SONENDO, INC.</t>
        </is>
      </c>
      <c r="D3466" t="n">
        <v>3843</v>
      </c>
    </row>
    <row r="3467">
      <c r="A3467" t="inlineStr">
        <is>
          <t>SONIC AUTOMOTIVE INC</t>
        </is>
      </c>
      <c r="B3467" t="inlineStr">
        <is>
          <t>SAH</t>
        </is>
      </c>
      <c r="C3467" t="inlineStr">
        <is>
          <t>SONIC AUTOMOTIVE INC</t>
        </is>
      </c>
      <c r="D3467" t="n">
        <v>5500</v>
      </c>
    </row>
    <row r="3468">
      <c r="A3468" t="inlineStr">
        <is>
          <t>SONIC FOUNDRY INC</t>
        </is>
      </c>
      <c r="B3468" t="inlineStr">
        <is>
          <t>SOFO</t>
        </is>
      </c>
      <c r="C3468" t="inlineStr">
        <is>
          <t>SONIC FOUNDRY INC</t>
        </is>
      </c>
      <c r="D3468" t="n">
        <v>3663</v>
      </c>
    </row>
    <row r="3469">
      <c r="A3469" t="inlineStr">
        <is>
          <t>SONIDA SENIOR LIVING, INC.</t>
        </is>
      </c>
      <c r="B3469" t="inlineStr">
        <is>
          <t>SNDA</t>
        </is>
      </c>
      <c r="C3469" t="inlineStr">
        <is>
          <t>SONIDA SENIOR LIVING, INC.</t>
        </is>
      </c>
      <c r="D3469" t="n">
        <v>8050</v>
      </c>
    </row>
    <row r="3470">
      <c r="A3470" t="inlineStr">
        <is>
          <t>SONO TEK CORP</t>
        </is>
      </c>
      <c r="B3470" t="inlineStr">
        <is>
          <t>SOTK</t>
        </is>
      </c>
      <c r="C3470" t="inlineStr">
        <is>
          <t>SONO TEK CORP</t>
        </is>
      </c>
      <c r="D3470" t="n">
        <v>3690</v>
      </c>
    </row>
    <row r="3471">
      <c r="A3471" t="inlineStr">
        <is>
          <t>SONOCO PRODUCTS CO</t>
        </is>
      </c>
      <c r="B3471" t="inlineStr">
        <is>
          <t>SON</t>
        </is>
      </c>
      <c r="C3471" t="inlineStr">
        <is>
          <t>SONOCO PRODUCTS CO</t>
        </is>
      </c>
      <c r="D3471" t="n">
        <v>2650</v>
      </c>
    </row>
    <row r="3472">
      <c r="A3472" t="inlineStr">
        <is>
          <t>SONOS INC</t>
        </is>
      </c>
      <c r="B3472" t="inlineStr">
        <is>
          <t>SONO</t>
        </is>
      </c>
      <c r="C3472" t="inlineStr">
        <is>
          <t>SONOS INC</t>
        </is>
      </c>
      <c r="D3472" t="n">
        <v>3651</v>
      </c>
    </row>
    <row r="3473">
      <c r="A3473" t="inlineStr">
        <is>
          <t>SORRENTO THERAPEUTICS, INC.</t>
        </is>
      </c>
      <c r="B3473" t="inlineStr">
        <is>
          <t>SRNE</t>
        </is>
      </c>
      <c r="C3473" t="inlineStr">
        <is>
          <t>SORRENTO THERAPEUTICS, INC.</t>
        </is>
      </c>
      <c r="D3473" t="n">
        <v>2836</v>
      </c>
    </row>
    <row r="3474">
      <c r="A3474" t="inlineStr">
        <is>
          <t>SOS LTD</t>
        </is>
      </c>
      <c r="B3474" t="inlineStr">
        <is>
          <t>SOS</t>
        </is>
      </c>
      <c r="C3474" t="inlineStr">
        <is>
          <t>SOS LTD</t>
        </is>
      </c>
      <c r="D3474" t="n">
        <v>6199</v>
      </c>
    </row>
    <row r="3475">
      <c r="A3475" t="inlineStr">
        <is>
          <t>SOTERA HEALTH CO</t>
        </is>
      </c>
      <c r="B3475" t="inlineStr">
        <is>
          <t>SHC</t>
        </is>
      </c>
      <c r="C3475" t="inlineStr">
        <is>
          <t>SOTERA HEALTH CO</t>
        </is>
      </c>
      <c r="D3475" t="n">
        <v>8090</v>
      </c>
    </row>
    <row r="3476">
      <c r="A3476" t="inlineStr">
        <is>
          <t>SOTHERLY HOTELS INC.</t>
        </is>
      </c>
      <c r="B3476" t="inlineStr">
        <is>
          <t>SOHO</t>
        </is>
      </c>
      <c r="C3476" t="inlineStr">
        <is>
          <t>SOTHERLY HOTELS INC.</t>
        </is>
      </c>
      <c r="D3476" t="n">
        <v>6798</v>
      </c>
    </row>
    <row r="3477">
      <c r="A3477" t="inlineStr">
        <is>
          <t>SOUND FINANCIAL BANCORP, INC.</t>
        </is>
      </c>
      <c r="B3477" t="inlineStr">
        <is>
          <t>SFBC</t>
        </is>
      </c>
      <c r="C3477" t="inlineStr">
        <is>
          <t>SOUND FINANCIAL BANCORP, INC.</t>
        </is>
      </c>
      <c r="D3477" t="n">
        <v>6035</v>
      </c>
    </row>
    <row r="3478">
      <c r="A3478" t="inlineStr">
        <is>
          <t>SOUTH DAKOTA SOYBEAN PROCESSORS LLC</t>
        </is>
      </c>
      <c r="B3478" t="inlineStr">
        <is>
          <t>SDSYA</t>
        </is>
      </c>
      <c r="C3478" t="inlineStr">
        <is>
          <t>SOUTH DAKOTA SOYBEAN PROCESSORS LLC</t>
        </is>
      </c>
      <c r="D3478" t="n">
        <v>2070</v>
      </c>
    </row>
    <row r="3479">
      <c r="A3479" t="inlineStr">
        <is>
          <t>SOUTH JERSEY INDUSTRIES INC</t>
        </is>
      </c>
      <c r="B3479" t="inlineStr">
        <is>
          <t>SJI</t>
        </is>
      </c>
      <c r="C3479" t="inlineStr">
        <is>
          <t>SOUTH JERSEY INDUSTRIES INC</t>
        </is>
      </c>
      <c r="D3479" t="n">
        <v>4924</v>
      </c>
    </row>
    <row r="3480">
      <c r="A3480" t="inlineStr">
        <is>
          <t>SOUTH PLAINS FINANCIAL, INC.</t>
        </is>
      </c>
      <c r="B3480" t="inlineStr">
        <is>
          <t>SPFI</t>
        </is>
      </c>
      <c r="C3480" t="inlineStr">
        <is>
          <t>SOUTH PLAINS FINANCIAL, INC.</t>
        </is>
      </c>
      <c r="D3480" t="n">
        <v>6022</v>
      </c>
    </row>
    <row r="3481">
      <c r="A3481" t="inlineStr">
        <is>
          <t>SOUTHERN CO</t>
        </is>
      </c>
      <c r="B3481" t="inlineStr">
        <is>
          <t>SO</t>
        </is>
      </c>
      <c r="C3481" t="inlineStr">
        <is>
          <t>SOUTHERN CO</t>
        </is>
      </c>
      <c r="D3481" t="n">
        <v>4911</v>
      </c>
    </row>
    <row r="3482">
      <c r="A3482" t="inlineStr">
        <is>
          <t>SOUTHERN COPPER CORP/</t>
        </is>
      </c>
      <c r="B3482" t="inlineStr">
        <is>
          <t>SCCO</t>
        </is>
      </c>
      <c r="C3482" t="inlineStr">
        <is>
          <t>SOUTHERN COPPER CORP/</t>
        </is>
      </c>
      <c r="D3482" t="n">
        <v>1000</v>
      </c>
    </row>
    <row r="3483">
      <c r="A3483" t="inlineStr">
        <is>
          <t>SOUTHERN FIRST BANCSHARES INC</t>
        </is>
      </c>
      <c r="B3483" t="inlineStr">
        <is>
          <t>SFST</t>
        </is>
      </c>
      <c r="C3483" t="inlineStr">
        <is>
          <t>SOUTHERN FIRST BANCSHARES INC</t>
        </is>
      </c>
      <c r="D3483" t="n">
        <v>6021</v>
      </c>
    </row>
    <row r="3484">
      <c r="A3484" t="inlineStr">
        <is>
          <t>SOUTHERN MISSOURI BANCORP, INC.</t>
        </is>
      </c>
      <c r="B3484" t="inlineStr">
        <is>
          <t>SMBC</t>
        </is>
      </c>
      <c r="C3484" t="inlineStr">
        <is>
          <t>SOUTHERN MISSOURI BANCORP, INC.</t>
        </is>
      </c>
      <c r="D3484" t="n">
        <v>6036</v>
      </c>
    </row>
    <row r="3485">
      <c r="A3485" t="inlineStr">
        <is>
          <t>SOUTHERN STATES BANCSHARES, INC.</t>
        </is>
      </c>
      <c r="B3485" t="inlineStr">
        <is>
          <t>SSBK</t>
        </is>
      </c>
      <c r="C3485" t="inlineStr">
        <is>
          <t>SOUTHERN STATES BANCSHARES, INC.</t>
        </is>
      </c>
      <c r="D3485" t="n">
        <v>6022</v>
      </c>
    </row>
    <row r="3486">
      <c r="A3486" t="inlineStr">
        <is>
          <t>SOUTHSIDE BANCSHARES INC</t>
        </is>
      </c>
      <c r="B3486" t="inlineStr">
        <is>
          <t>SBSI</t>
        </is>
      </c>
      <c r="C3486" t="inlineStr">
        <is>
          <t>SOUTHSIDE BANCSHARES INC</t>
        </is>
      </c>
      <c r="D3486" t="n">
        <v>6022</v>
      </c>
    </row>
    <row r="3487">
      <c r="A3487" t="inlineStr">
        <is>
          <t>SOUTHSTATE CORP</t>
        </is>
      </c>
      <c r="B3487" t="inlineStr">
        <is>
          <t>SSB</t>
        </is>
      </c>
      <c r="C3487" t="inlineStr">
        <is>
          <t>SOUTHSTATE CORP</t>
        </is>
      </c>
      <c r="D3487" t="n">
        <v>6022</v>
      </c>
    </row>
    <row r="3488">
      <c r="A3488" t="inlineStr">
        <is>
          <t>SOUTHWEST AIRLINES CO</t>
        </is>
      </c>
      <c r="B3488" t="inlineStr">
        <is>
          <t>LUV</t>
        </is>
      </c>
      <c r="C3488" t="inlineStr">
        <is>
          <t>SOUTHWEST AIRLINES CO</t>
        </is>
      </c>
      <c r="D3488" t="n">
        <v>4512</v>
      </c>
    </row>
    <row r="3489">
      <c r="A3489" t="inlineStr">
        <is>
          <t>SOUTHWEST GAS HOLDINGS, INC.</t>
        </is>
      </c>
      <c r="B3489" t="inlineStr">
        <is>
          <t>SWX</t>
        </is>
      </c>
      <c r="C3489" t="inlineStr">
        <is>
          <t>SOUTHWEST GAS HOLDINGS, INC.</t>
        </is>
      </c>
      <c r="D3489" t="n">
        <v>4923</v>
      </c>
    </row>
    <row r="3490">
      <c r="A3490" t="inlineStr">
        <is>
          <t>SOUTHWESTERN ENERGY CO</t>
        </is>
      </c>
      <c r="B3490" t="inlineStr">
        <is>
          <t>SWN</t>
        </is>
      </c>
      <c r="C3490" t="inlineStr">
        <is>
          <t>SOUTHWESTERN ENERGY CO</t>
        </is>
      </c>
      <c r="D3490" t="n">
        <v>1311</v>
      </c>
    </row>
    <row r="3491">
      <c r="A3491" t="inlineStr">
        <is>
          <t>SOVOS BRANDS, INC.</t>
        </is>
      </c>
      <c r="B3491" t="inlineStr">
        <is>
          <t>SOVO</t>
        </is>
      </c>
      <c r="C3491" t="inlineStr">
        <is>
          <t>SOVOS BRANDS, INC.</t>
        </is>
      </c>
      <c r="D3491" t="n">
        <v>2000</v>
      </c>
    </row>
    <row r="3492">
      <c r="A3492" t="inlineStr">
        <is>
          <t>SP PLUS CORP</t>
        </is>
      </c>
      <c r="B3492" t="inlineStr">
        <is>
          <t>SP</t>
        </is>
      </c>
      <c r="C3492" t="inlineStr">
        <is>
          <t>SP PLUS CORP</t>
        </is>
      </c>
      <c r="D3492" t="n">
        <v>7510</v>
      </c>
    </row>
    <row r="3493">
      <c r="A3493" t="inlineStr">
        <is>
          <t>SPAR GROUP, INC.</t>
        </is>
      </c>
      <c r="B3493" t="inlineStr">
        <is>
          <t>SGRP</t>
        </is>
      </c>
      <c r="C3493" t="inlineStr">
        <is>
          <t>SPAR GROUP, INC.</t>
        </is>
      </c>
      <c r="D3493" t="n">
        <v>7389</v>
      </c>
    </row>
    <row r="3494">
      <c r="A3494" t="inlineStr">
        <is>
          <t>SPARK NETWORKS SE</t>
        </is>
      </c>
      <c r="B3494" t="inlineStr">
        <is>
          <t>LOV</t>
        </is>
      </c>
      <c r="C3494" t="inlineStr">
        <is>
          <t>SPARK NETWORKS SE</t>
        </is>
      </c>
      <c r="D3494" t="n">
        <v>7200</v>
      </c>
    </row>
    <row r="3495">
      <c r="A3495" t="inlineStr">
        <is>
          <t>SPARTANNASH CO</t>
        </is>
      </c>
      <c r="B3495" t="inlineStr">
        <is>
          <t>SPTN</t>
        </is>
      </c>
      <c r="C3495" t="inlineStr">
        <is>
          <t>SPARTANNASH CO</t>
        </is>
      </c>
      <c r="D3495" t="n">
        <v>5141</v>
      </c>
    </row>
    <row r="3496">
      <c r="A3496" t="inlineStr">
        <is>
          <t>SPECTRUM BRANDS HOLDINGS, INC.</t>
        </is>
      </c>
      <c r="B3496" t="inlineStr">
        <is>
          <t>SPB</t>
        </is>
      </c>
      <c r="C3496" t="inlineStr">
        <is>
          <t>SPECTRUM BRANDS HOLDINGS, INC.</t>
        </is>
      </c>
      <c r="D3496" t="n">
        <v>3690</v>
      </c>
    </row>
    <row r="3497">
      <c r="A3497" t="inlineStr">
        <is>
          <t>SPECTRUM PHARMACEUTICALS INC</t>
        </is>
      </c>
      <c r="B3497" t="inlineStr">
        <is>
          <t>SPPI</t>
        </is>
      </c>
      <c r="C3497" t="inlineStr">
        <is>
          <t>SPECTRUM PHARMACEUTICALS INC</t>
        </is>
      </c>
      <c r="D3497" t="n">
        <v>2834</v>
      </c>
    </row>
    <row r="3498">
      <c r="A3498" t="inlineStr">
        <is>
          <t>SPERO THERAPEUTICS, INC.</t>
        </is>
      </c>
      <c r="B3498" t="inlineStr">
        <is>
          <t>SPRO</t>
        </is>
      </c>
      <c r="C3498" t="inlineStr">
        <is>
          <t>SPERO THERAPEUTICS, INC.</t>
        </is>
      </c>
      <c r="D3498" t="n">
        <v>2834</v>
      </c>
    </row>
    <row r="3499">
      <c r="A3499" t="inlineStr">
        <is>
          <t>SPHERE 3D CORP</t>
        </is>
      </c>
      <c r="B3499" t="inlineStr">
        <is>
          <t>ANY</t>
        </is>
      </c>
      <c r="C3499" t="inlineStr">
        <is>
          <t>SPHERE 3D CORP</t>
        </is>
      </c>
      <c r="D3499" t="n">
        <v>7374</v>
      </c>
    </row>
    <row r="3500">
      <c r="A3500" t="inlineStr">
        <is>
          <t>SPI ENERGY CO., LTD.</t>
        </is>
      </c>
      <c r="B3500" t="inlineStr">
        <is>
          <t>SPI</t>
        </is>
      </c>
      <c r="C3500" t="inlineStr">
        <is>
          <t>SPI ENERGY CO., LTD.</t>
        </is>
      </c>
      <c r="D3500" t="n">
        <v>3674</v>
      </c>
    </row>
    <row r="3501">
      <c r="A3501" t="inlineStr">
        <is>
          <t>SPINDLETOP OIL &amp; GAS CO</t>
        </is>
      </c>
      <c r="B3501" t="inlineStr">
        <is>
          <t>SPND</t>
        </is>
      </c>
      <c r="C3501" t="inlineStr">
        <is>
          <t>SPINDLETOP OIL &amp; GAS CO</t>
        </is>
      </c>
      <c r="D3501" t="n">
        <v>1311</v>
      </c>
    </row>
    <row r="3502">
      <c r="A3502" t="inlineStr">
        <is>
          <t>SPIRE GLOBAL, INC.</t>
        </is>
      </c>
      <c r="B3502" t="inlineStr">
        <is>
          <t>SPIR</t>
        </is>
      </c>
      <c r="C3502" t="inlineStr">
        <is>
          <t>SPIRE GLOBAL, INC.</t>
        </is>
      </c>
      <c r="D3502" t="n">
        <v>4899</v>
      </c>
    </row>
    <row r="3503">
      <c r="A3503" t="inlineStr">
        <is>
          <t>SPIRE INC</t>
        </is>
      </c>
      <c r="B3503" t="inlineStr">
        <is>
          <t>SR</t>
        </is>
      </c>
      <c r="C3503" t="inlineStr">
        <is>
          <t>SPIRE INC</t>
        </is>
      </c>
      <c r="D3503" t="n">
        <v>4924</v>
      </c>
    </row>
    <row r="3504">
      <c r="A3504" t="inlineStr">
        <is>
          <t>SPIRIT AEROSYSTEMS HOLDINGS, INC.</t>
        </is>
      </c>
      <c r="B3504" t="inlineStr">
        <is>
          <t>SPR</t>
        </is>
      </c>
      <c r="C3504" t="inlineStr">
        <is>
          <t>SPIRIT AEROSYSTEMS HOLDINGS, INC.</t>
        </is>
      </c>
      <c r="D3504" t="n">
        <v>3728</v>
      </c>
    </row>
    <row r="3505">
      <c r="A3505" t="inlineStr">
        <is>
          <t>SPIRIT AIRLINES, INC.</t>
        </is>
      </c>
      <c r="B3505" t="inlineStr">
        <is>
          <t>SAVE</t>
        </is>
      </c>
      <c r="C3505" t="inlineStr">
        <is>
          <t>SPIRIT AIRLINES, INC.</t>
        </is>
      </c>
      <c r="D3505" t="n">
        <v>4512</v>
      </c>
    </row>
    <row r="3506">
      <c r="A3506" t="inlineStr">
        <is>
          <t>SPIRIT REALTY CAPITAL, INC.</t>
        </is>
      </c>
      <c r="B3506" t="inlineStr">
        <is>
          <t>SRC</t>
        </is>
      </c>
      <c r="C3506" t="inlineStr">
        <is>
          <t>SPIRIT REALTY CAPITAL, INC.</t>
        </is>
      </c>
      <c r="D3506" t="n">
        <v>6512</v>
      </c>
    </row>
    <row r="3507">
      <c r="A3507" t="inlineStr">
        <is>
          <t>SPLUNK INC</t>
        </is>
      </c>
      <c r="B3507" t="inlineStr">
        <is>
          <t>SPLK</t>
        </is>
      </c>
      <c r="C3507" t="inlineStr">
        <is>
          <t>SPLUNK INC</t>
        </is>
      </c>
      <c r="D3507" t="n">
        <v>7372</v>
      </c>
    </row>
    <row r="3508">
      <c r="A3508" t="inlineStr">
        <is>
          <t>SPOK HOLDINGS, INC</t>
        </is>
      </c>
      <c r="B3508" t="inlineStr">
        <is>
          <t>SPOK</t>
        </is>
      </c>
      <c r="C3508" t="inlineStr">
        <is>
          <t>SPOK HOLDINGS, INC</t>
        </is>
      </c>
      <c r="D3508" t="n">
        <v>4812</v>
      </c>
    </row>
    <row r="3509">
      <c r="A3509" t="inlineStr">
        <is>
          <t>SPORTSMAN'S WAREHOUSE HOLDINGS, INC.</t>
        </is>
      </c>
      <c r="B3509" t="inlineStr">
        <is>
          <t>SPWH</t>
        </is>
      </c>
      <c r="C3509" t="inlineStr">
        <is>
          <t>SPORTSMAN'S WAREHOUSE HOLDINGS, INC.</t>
        </is>
      </c>
      <c r="D3509" t="n">
        <v>5940</v>
      </c>
    </row>
    <row r="3510">
      <c r="A3510" t="inlineStr">
        <is>
          <t>SPRAGUE RESOURCES LP</t>
        </is>
      </c>
      <c r="B3510" t="inlineStr">
        <is>
          <t>SRLP</t>
        </is>
      </c>
      <c r="C3510" t="inlineStr">
        <is>
          <t>SPRAGUE RESOURCES LP</t>
        </is>
      </c>
      <c r="D3510" t="n">
        <v>5171</v>
      </c>
    </row>
    <row r="3511">
      <c r="A3511" t="inlineStr">
        <is>
          <t>SPRINKLR, INC.</t>
        </is>
      </c>
      <c r="B3511" t="inlineStr">
        <is>
          <t>CXM</t>
        </is>
      </c>
      <c r="C3511" t="inlineStr">
        <is>
          <t>SPRINKLR, INC.</t>
        </is>
      </c>
      <c r="D3511" t="n">
        <v>7372</v>
      </c>
    </row>
    <row r="3512">
      <c r="A3512" t="inlineStr">
        <is>
          <t>SPROUT SOCIAL, INC.</t>
        </is>
      </c>
      <c r="B3512" t="inlineStr">
        <is>
          <t>SPT</t>
        </is>
      </c>
      <c r="C3512" t="inlineStr">
        <is>
          <t>SPROUT SOCIAL, INC.</t>
        </is>
      </c>
      <c r="D3512" t="n">
        <v>7372</v>
      </c>
    </row>
    <row r="3513">
      <c r="A3513" t="inlineStr">
        <is>
          <t>SPROUTS FARMERS MARKET, INC.</t>
        </is>
      </c>
      <c r="B3513" t="inlineStr">
        <is>
          <t>SFM</t>
        </is>
      </c>
      <c r="C3513" t="inlineStr">
        <is>
          <t>SPROUTS FARMERS MARKET, INC.</t>
        </is>
      </c>
      <c r="D3513" t="n">
        <v>5411</v>
      </c>
    </row>
    <row r="3514">
      <c r="A3514" t="inlineStr">
        <is>
          <t>SPS COMMERCE INC</t>
        </is>
      </c>
      <c r="B3514" t="inlineStr">
        <is>
          <t>SPSC</t>
        </is>
      </c>
      <c r="C3514" t="inlineStr">
        <is>
          <t>SPS COMMERCE INC</t>
        </is>
      </c>
      <c r="D3514" t="n">
        <v>7372</v>
      </c>
    </row>
    <row r="3515">
      <c r="A3515" t="inlineStr">
        <is>
          <t>SPX CORP</t>
        </is>
      </c>
      <c r="B3515" t="inlineStr">
        <is>
          <t>SPXC</t>
        </is>
      </c>
      <c r="C3515" t="inlineStr">
        <is>
          <t>SPX CORP</t>
        </is>
      </c>
      <c r="D3515" t="n">
        <v>3540</v>
      </c>
    </row>
    <row r="3516">
      <c r="A3516" t="inlineStr">
        <is>
          <t>SQUARESPACE, INC.</t>
        </is>
      </c>
      <c r="B3516" t="inlineStr">
        <is>
          <t>SQSP</t>
        </is>
      </c>
      <c r="C3516" t="inlineStr">
        <is>
          <t>SQUARESPACE, INC.</t>
        </is>
      </c>
      <c r="D3516" t="n">
        <v>7372</v>
      </c>
    </row>
    <row r="3517">
      <c r="A3517" t="inlineStr">
        <is>
          <t>SQZ BIOTECHNOLOGIES CO</t>
        </is>
      </c>
      <c r="B3517" t="inlineStr">
        <is>
          <t>SQZ</t>
        </is>
      </c>
      <c r="C3517" t="inlineStr">
        <is>
          <t>SQZ BIOTECHNOLOGIES CO</t>
        </is>
      </c>
      <c r="D3517" t="n">
        <v>2836</v>
      </c>
    </row>
    <row r="3518">
      <c r="A3518" t="inlineStr">
        <is>
          <t>SRAX, INC.</t>
        </is>
      </c>
      <c r="B3518" t="inlineStr">
        <is>
          <t>SRAX</t>
        </is>
      </c>
      <c r="C3518" t="inlineStr">
        <is>
          <t>SRAX, INC.</t>
        </is>
      </c>
      <c r="D3518" t="n">
        <v>7311</v>
      </c>
    </row>
    <row r="3519">
      <c r="A3519" t="inlineStr">
        <is>
          <t>SS&amp;C TECHNOLOGIES HOLDINGS INC</t>
        </is>
      </c>
      <c r="B3519" t="inlineStr">
        <is>
          <t>SSNC</t>
        </is>
      </c>
      <c r="C3519" t="inlineStr">
        <is>
          <t>SS&amp;C TECHNOLOGIES HOLDINGS INC</t>
        </is>
      </c>
      <c r="D3519" t="n">
        <v>7372</v>
      </c>
    </row>
    <row r="3520">
      <c r="A3520" t="inlineStr">
        <is>
          <t>SSR MINING INC.</t>
        </is>
      </c>
      <c r="B3520" t="inlineStr">
        <is>
          <t>SSRM</t>
        </is>
      </c>
      <c r="C3520" t="inlineStr">
        <is>
          <t>SSR MINING INC.</t>
        </is>
      </c>
      <c r="D3520" t="n">
        <v>6795</v>
      </c>
    </row>
    <row r="3521">
      <c r="A3521" t="inlineStr">
        <is>
          <t>ST JOE CO</t>
        </is>
      </c>
      <c r="B3521" t="inlineStr">
        <is>
          <t>JOE</t>
        </is>
      </c>
      <c r="C3521" t="inlineStr">
        <is>
          <t>ST JOE CO</t>
        </is>
      </c>
      <c r="D3521" t="n">
        <v>6552</v>
      </c>
    </row>
    <row r="3522">
      <c r="A3522" t="inlineStr">
        <is>
          <t>STAAR SURGICAL CO</t>
        </is>
      </c>
      <c r="B3522" t="inlineStr">
        <is>
          <t>STAA</t>
        </is>
      </c>
      <c r="C3522" t="inlineStr">
        <is>
          <t>STAAR SURGICAL CO</t>
        </is>
      </c>
      <c r="D3522" t="n">
        <v>3851</v>
      </c>
    </row>
    <row r="3523">
      <c r="A3523" t="inlineStr">
        <is>
          <t>STABILIS SOLUTIONS, INC.</t>
        </is>
      </c>
      <c r="B3523" t="inlineStr">
        <is>
          <t>SLNG</t>
        </is>
      </c>
      <c r="C3523" t="inlineStr">
        <is>
          <t>STABILIS SOLUTIONS, INC.</t>
        </is>
      </c>
      <c r="D3523" t="n">
        <v>4924</v>
      </c>
    </row>
    <row r="3524">
      <c r="A3524" t="inlineStr">
        <is>
          <t>STAFFING 360 SOLUTIONS, INC.</t>
        </is>
      </c>
      <c r="B3524" t="inlineStr">
        <is>
          <t>STAF</t>
        </is>
      </c>
      <c r="C3524" t="inlineStr">
        <is>
          <t>STAFFING 360 SOLUTIONS, INC.</t>
        </is>
      </c>
      <c r="D3524" t="n">
        <v>7363</v>
      </c>
    </row>
    <row r="3525">
      <c r="A3525" t="inlineStr">
        <is>
          <t>STAG INDUSTRIAL, INC.</t>
        </is>
      </c>
      <c r="B3525" t="inlineStr">
        <is>
          <t>STAG</t>
        </is>
      </c>
      <c r="C3525" t="inlineStr">
        <is>
          <t>STAG INDUSTRIAL, INC.</t>
        </is>
      </c>
      <c r="D3525" t="n">
        <v>6798</v>
      </c>
    </row>
    <row r="3526">
      <c r="A3526" t="inlineStr">
        <is>
          <t>STAGWELL INC</t>
        </is>
      </c>
      <c r="B3526" t="inlineStr">
        <is>
          <t>STGW</t>
        </is>
      </c>
      <c r="C3526" t="inlineStr">
        <is>
          <t>STAGWELL INC</t>
        </is>
      </c>
      <c r="D3526" t="n">
        <v>7311</v>
      </c>
    </row>
    <row r="3527">
      <c r="A3527" t="inlineStr">
        <is>
          <t>STANDARD MOTOR PRODUCTS, INC.</t>
        </is>
      </c>
      <c r="B3527" t="inlineStr">
        <is>
          <t>SMP</t>
        </is>
      </c>
      <c r="C3527" t="inlineStr">
        <is>
          <t>STANDARD MOTOR PRODUCTS, INC.</t>
        </is>
      </c>
      <c r="D3527" t="n">
        <v>3714</v>
      </c>
    </row>
    <row r="3528">
      <c r="A3528" t="inlineStr">
        <is>
          <t>STANDEX INTERNATIONAL CORP/DE/</t>
        </is>
      </c>
      <c r="B3528" t="inlineStr">
        <is>
          <t>SXI</t>
        </is>
      </c>
      <c r="C3528" t="inlineStr">
        <is>
          <t>STANDEX INTERNATIONAL CORP/DE/</t>
        </is>
      </c>
      <c r="D3528" t="n">
        <v>3580</v>
      </c>
    </row>
    <row r="3529">
      <c r="A3529" t="inlineStr">
        <is>
          <t>STANLEY BLACK &amp; DECKER, INC.</t>
        </is>
      </c>
      <c r="B3529" t="inlineStr">
        <is>
          <t>SWK</t>
        </is>
      </c>
      <c r="C3529" t="inlineStr">
        <is>
          <t>STANLEY BLACK &amp; DECKER, INC.</t>
        </is>
      </c>
      <c r="D3529" t="n">
        <v>3420</v>
      </c>
    </row>
    <row r="3530">
      <c r="A3530" t="inlineStr">
        <is>
          <t>STAR BULK CARRIERS CORP.</t>
        </is>
      </c>
      <c r="B3530" t="inlineStr">
        <is>
          <t>SBLK</t>
        </is>
      </c>
      <c r="C3530" t="inlineStr">
        <is>
          <t>STAR BULK CARRIERS CORP.</t>
        </is>
      </c>
      <c r="D3530" t="n">
        <v>4412</v>
      </c>
    </row>
    <row r="3531">
      <c r="A3531" t="inlineStr">
        <is>
          <t>STAR GROUP, L.P.</t>
        </is>
      </c>
      <c r="B3531" t="inlineStr">
        <is>
          <t>SGU</t>
        </is>
      </c>
      <c r="C3531" t="inlineStr">
        <is>
          <t>STAR GROUP, L.P.</t>
        </is>
      </c>
      <c r="D3531" t="n">
        <v>5990</v>
      </c>
    </row>
    <row r="3532">
      <c r="A3532" t="inlineStr">
        <is>
          <t>STARRETT L S CO</t>
        </is>
      </c>
      <c r="B3532" t="inlineStr">
        <is>
          <t>SCX</t>
        </is>
      </c>
      <c r="C3532" t="inlineStr">
        <is>
          <t>STARRETT L S CO</t>
        </is>
      </c>
      <c r="D3532" t="n">
        <v>3420</v>
      </c>
    </row>
    <row r="3533">
      <c r="A3533" t="inlineStr">
        <is>
          <t>STARTEK, INC.</t>
        </is>
      </c>
      <c r="B3533" t="inlineStr">
        <is>
          <t>SRT</t>
        </is>
      </c>
      <c r="C3533" t="inlineStr">
        <is>
          <t>STARTEK, INC.</t>
        </is>
      </c>
      <c r="D3533" t="n">
        <v>7363</v>
      </c>
    </row>
    <row r="3534">
      <c r="A3534" t="inlineStr">
        <is>
          <t>STARWOOD PROPERTY TRUST, INC.</t>
        </is>
      </c>
      <c r="B3534" t="inlineStr">
        <is>
          <t>STWD</t>
        </is>
      </c>
      <c r="C3534" t="inlineStr">
        <is>
          <t>STARWOOD PROPERTY TRUST, INC.</t>
        </is>
      </c>
      <c r="D3534" t="n">
        <v>6798</v>
      </c>
    </row>
    <row r="3535">
      <c r="A3535" t="inlineStr">
        <is>
          <t>STATE STREET CORP</t>
        </is>
      </c>
      <c r="B3535" t="inlineStr">
        <is>
          <t>STT</t>
        </is>
      </c>
      <c r="C3535" t="inlineStr">
        <is>
          <t>STATE STREET CORP</t>
        </is>
      </c>
      <c r="D3535" t="n">
        <v>6022</v>
      </c>
    </row>
    <row r="3536">
      <c r="A3536" t="inlineStr">
        <is>
          <t>STEALTHGAS INC.</t>
        </is>
      </c>
      <c r="B3536" t="inlineStr">
        <is>
          <t>GASS</t>
        </is>
      </c>
      <c r="C3536" t="inlineStr">
        <is>
          <t>STEALTHGAS INC.</t>
        </is>
      </c>
      <c r="D3536" t="n">
        <v>4412</v>
      </c>
    </row>
    <row r="3537">
      <c r="A3537" t="inlineStr">
        <is>
          <t>STEEL CONNECT, INC.</t>
        </is>
      </c>
      <c r="B3537" t="inlineStr">
        <is>
          <t>STCN</t>
        </is>
      </c>
      <c r="C3537" t="inlineStr">
        <is>
          <t>STEEL CONNECT, INC.</t>
        </is>
      </c>
      <c r="D3537" t="n">
        <v>7389</v>
      </c>
    </row>
    <row r="3538">
      <c r="A3538" t="inlineStr">
        <is>
          <t>STEEL DYNAMICS INC</t>
        </is>
      </c>
      <c r="B3538" t="inlineStr">
        <is>
          <t>STLD</t>
        </is>
      </c>
      <c r="C3538" t="inlineStr">
        <is>
          <t>STEEL DYNAMICS INC</t>
        </is>
      </c>
      <c r="D3538" t="n">
        <v>3312</v>
      </c>
    </row>
    <row r="3539">
      <c r="A3539" t="inlineStr">
        <is>
          <t>STEEL PARTNERS HOLDINGS L.P.</t>
        </is>
      </c>
      <c r="B3539" t="inlineStr">
        <is>
          <t>SPLP</t>
        </is>
      </c>
      <c r="C3539" t="inlineStr">
        <is>
          <t>STEEL PARTNERS HOLDINGS L.P.</t>
        </is>
      </c>
      <c r="D3539" t="n">
        <v>3390</v>
      </c>
    </row>
    <row r="3540">
      <c r="A3540" t="inlineStr">
        <is>
          <t>STEELCASE INC</t>
        </is>
      </c>
      <c r="B3540" t="inlineStr">
        <is>
          <t>SCS</t>
        </is>
      </c>
      <c r="C3540" t="inlineStr">
        <is>
          <t>STEELCASE INC</t>
        </is>
      </c>
      <c r="D3540" t="n">
        <v>2522</v>
      </c>
    </row>
    <row r="3541">
      <c r="A3541" t="inlineStr">
        <is>
          <t>STEM, INC.</t>
        </is>
      </c>
      <c r="B3541" t="inlineStr">
        <is>
          <t>STEM</t>
        </is>
      </c>
      <c r="C3541" t="inlineStr">
        <is>
          <t>STEM, INC.</t>
        </is>
      </c>
      <c r="D3541" t="n">
        <v>3690</v>
      </c>
    </row>
    <row r="3542">
      <c r="A3542" t="inlineStr">
        <is>
          <t>STEPAN CO</t>
        </is>
      </c>
      <c r="B3542" t="inlineStr">
        <is>
          <t>SCL</t>
        </is>
      </c>
      <c r="C3542" t="inlineStr">
        <is>
          <t>STEPAN CO</t>
        </is>
      </c>
      <c r="D3542" t="n">
        <v>2840</v>
      </c>
    </row>
    <row r="3543">
      <c r="A3543" t="inlineStr">
        <is>
          <t>STEPSTONE GROUP INC.</t>
        </is>
      </c>
      <c r="B3543" t="inlineStr">
        <is>
          <t>STEP</t>
        </is>
      </c>
      <c r="C3543" t="inlineStr">
        <is>
          <t>STEPSTONE GROUP INC.</t>
        </is>
      </c>
      <c r="D3543" t="n">
        <v>6282</v>
      </c>
    </row>
    <row r="3544">
      <c r="A3544" t="inlineStr">
        <is>
          <t>STEREOTAXIS, INC.</t>
        </is>
      </c>
      <c r="B3544" t="inlineStr">
        <is>
          <t>STXS</t>
        </is>
      </c>
      <c r="C3544" t="inlineStr">
        <is>
          <t>STEREOTAXIS, INC.</t>
        </is>
      </c>
      <c r="D3544" t="n">
        <v>3845</v>
      </c>
    </row>
    <row r="3545">
      <c r="A3545" t="inlineStr">
        <is>
          <t>STERICYCLE INC</t>
        </is>
      </c>
      <c r="B3545" t="inlineStr">
        <is>
          <t>SRCL</t>
        </is>
      </c>
      <c r="C3545" t="inlineStr">
        <is>
          <t>STERICYCLE INC</t>
        </is>
      </c>
      <c r="D3545" t="n">
        <v>4955</v>
      </c>
    </row>
    <row r="3546">
      <c r="A3546" t="inlineStr">
        <is>
          <t>STERIS PLC</t>
        </is>
      </c>
      <c r="B3546" t="inlineStr">
        <is>
          <t>STE</t>
        </is>
      </c>
      <c r="C3546" t="inlineStr">
        <is>
          <t>STERIS PLC</t>
        </is>
      </c>
      <c r="D3546" t="n">
        <v>3842</v>
      </c>
    </row>
    <row r="3547">
      <c r="A3547" t="inlineStr">
        <is>
          <t>STERLING BANCORP, INC.</t>
        </is>
      </c>
      <c r="B3547" t="inlineStr">
        <is>
          <t>SBT</t>
        </is>
      </c>
      <c r="C3547" t="inlineStr">
        <is>
          <t>STERLING BANCORP, INC.</t>
        </is>
      </c>
      <c r="D3547" t="n">
        <v>6035</v>
      </c>
    </row>
    <row r="3548">
      <c r="A3548" t="inlineStr">
        <is>
          <t>STERLING CHECK CORP.</t>
        </is>
      </c>
      <c r="B3548" t="inlineStr">
        <is>
          <t>STER</t>
        </is>
      </c>
      <c r="C3548" t="inlineStr">
        <is>
          <t>STERLING CHECK CORP.</t>
        </is>
      </c>
      <c r="D3548" t="n">
        <v>7374</v>
      </c>
    </row>
    <row r="3549">
      <c r="A3549" t="inlineStr">
        <is>
          <t>STERLING CONSTRUCTION CO INC</t>
        </is>
      </c>
      <c r="B3549" t="inlineStr">
        <is>
          <t>STRL</t>
        </is>
      </c>
      <c r="C3549" t="inlineStr">
        <is>
          <t>STERLING CONSTRUCTION CO INC</t>
        </is>
      </c>
      <c r="D3549" t="n">
        <v>1600</v>
      </c>
    </row>
    <row r="3550">
      <c r="A3550" t="inlineStr">
        <is>
          <t>STEVEN MADDEN, LTD.</t>
        </is>
      </c>
      <c r="B3550" t="inlineStr">
        <is>
          <t>SHOO</t>
        </is>
      </c>
      <c r="C3550" t="inlineStr">
        <is>
          <t>STEVEN MADDEN, LTD.</t>
        </is>
      </c>
      <c r="D3550" t="n">
        <v>3140</v>
      </c>
    </row>
    <row r="3551">
      <c r="A3551" t="inlineStr">
        <is>
          <t>STEWART INFORMATION SERVICES CORP</t>
        </is>
      </c>
      <c r="B3551" t="inlineStr">
        <is>
          <t>STC</t>
        </is>
      </c>
      <c r="C3551" t="inlineStr">
        <is>
          <t>STEWART INFORMATION SERVICES CORP</t>
        </is>
      </c>
      <c r="D3551" t="n">
        <v>6361</v>
      </c>
    </row>
    <row r="3552">
      <c r="A3552" t="inlineStr">
        <is>
          <t>STIFEL FINANCIAL CORP</t>
        </is>
      </c>
      <c r="B3552" t="inlineStr">
        <is>
          <t>SF</t>
        </is>
      </c>
      <c r="C3552" t="inlineStr">
        <is>
          <t>STIFEL FINANCIAL CORP</t>
        </is>
      </c>
      <c r="D3552" t="n">
        <v>6211</v>
      </c>
    </row>
    <row r="3553">
      <c r="A3553" t="inlineStr">
        <is>
          <t>STITCH FIX, INC.</t>
        </is>
      </c>
      <c r="B3553" t="inlineStr">
        <is>
          <t>SFIX</t>
        </is>
      </c>
      <c r="C3553" t="inlineStr">
        <is>
          <t>STITCH FIX, INC.</t>
        </is>
      </c>
      <c r="D3553" t="n">
        <v>5961</v>
      </c>
    </row>
    <row r="3554">
      <c r="A3554" t="inlineStr">
        <is>
          <t>STMICROELECTRONICS N.V.</t>
        </is>
      </c>
      <c r="B3554" t="inlineStr">
        <is>
          <t>STM</t>
        </is>
      </c>
      <c r="C3554" t="inlineStr">
        <is>
          <t>STMICROELECTRONICS N.V.</t>
        </is>
      </c>
      <c r="D3554" t="n">
        <v>3674</v>
      </c>
    </row>
    <row r="3555">
      <c r="A3555" t="inlineStr">
        <is>
          <t>STOCK YARDS BANCORP, INC.</t>
        </is>
      </c>
      <c r="B3555" t="inlineStr">
        <is>
          <t>SYBT</t>
        </is>
      </c>
      <c r="C3555" t="inlineStr">
        <is>
          <t>STOCK YARDS BANCORP, INC.</t>
        </is>
      </c>
      <c r="D3555" t="n">
        <v>6022</v>
      </c>
    </row>
    <row r="3556">
      <c r="A3556" t="inlineStr">
        <is>
          <t>STONEMOR INC.</t>
        </is>
      </c>
      <c r="B3556" t="inlineStr">
        <is>
          <t>STON</t>
        </is>
      </c>
      <c r="C3556" t="inlineStr">
        <is>
          <t>STONEMOR INC.</t>
        </is>
      </c>
      <c r="D3556" t="n">
        <v>7200</v>
      </c>
    </row>
    <row r="3557">
      <c r="A3557" t="inlineStr">
        <is>
          <t>STONERIDGE INC</t>
        </is>
      </c>
      <c r="B3557" t="inlineStr">
        <is>
          <t>SRI</t>
        </is>
      </c>
      <c r="C3557" t="inlineStr">
        <is>
          <t>STONERIDGE INC</t>
        </is>
      </c>
      <c r="D3557" t="n">
        <v>3714</v>
      </c>
    </row>
    <row r="3558">
      <c r="A3558" t="inlineStr">
        <is>
          <t>STONEX GROUP INC.</t>
        </is>
      </c>
      <c r="B3558" t="inlineStr">
        <is>
          <t>SNEX</t>
        </is>
      </c>
      <c r="C3558" t="inlineStr">
        <is>
          <t>STONEX GROUP INC.</t>
        </is>
      </c>
      <c r="D3558" t="n">
        <v>6200</v>
      </c>
    </row>
    <row r="3559">
      <c r="A3559" t="inlineStr">
        <is>
          <t>STORE CAPITAL CORP</t>
        </is>
      </c>
      <c r="B3559" t="inlineStr">
        <is>
          <t>STOR</t>
        </is>
      </c>
      <c r="C3559" t="inlineStr">
        <is>
          <t>STORE CAPITAL CORP</t>
        </is>
      </c>
      <c r="D3559" t="n">
        <v>6798</v>
      </c>
    </row>
    <row r="3560">
      <c r="A3560" t="inlineStr">
        <is>
          <t>STRAN &amp; COMPANY, INC.</t>
        </is>
      </c>
      <c r="B3560" t="inlineStr">
        <is>
          <t>STRN</t>
        </is>
      </c>
      <c r="C3560" t="inlineStr">
        <is>
          <t>STRAN &amp; COMPANY, INC.</t>
        </is>
      </c>
      <c r="D3560" t="n">
        <v>7311</v>
      </c>
    </row>
    <row r="3561">
      <c r="A3561" t="inlineStr">
        <is>
          <t>STRATA SKIN SCIENCES, INC.</t>
        </is>
      </c>
      <c r="B3561" t="inlineStr">
        <is>
          <t>SSKN</t>
        </is>
      </c>
      <c r="C3561" t="inlineStr">
        <is>
          <t>STRATA SKIN SCIENCES, INC.</t>
        </is>
      </c>
      <c r="D3561" t="n">
        <v>3841</v>
      </c>
    </row>
    <row r="3562">
      <c r="A3562" t="inlineStr">
        <is>
          <t>STRATASYS LTD.</t>
        </is>
      </c>
      <c r="B3562" t="inlineStr">
        <is>
          <t>SSYS</t>
        </is>
      </c>
      <c r="C3562" t="inlineStr">
        <is>
          <t>STRATASYS LTD.</t>
        </is>
      </c>
      <c r="D3562" t="n">
        <v>3577</v>
      </c>
    </row>
    <row r="3563">
      <c r="A3563" t="inlineStr">
        <is>
          <t>STRATEGIC EDUCATION, INC.</t>
        </is>
      </c>
      <c r="B3563" t="inlineStr">
        <is>
          <t>STRA</t>
        </is>
      </c>
      <c r="C3563" t="inlineStr">
        <is>
          <t>STRATEGIC EDUCATION, INC.</t>
        </is>
      </c>
      <c r="D3563" t="n">
        <v>8200</v>
      </c>
    </row>
    <row r="3564">
      <c r="A3564" t="inlineStr">
        <is>
          <t>STRATTEC SECURITY CORP</t>
        </is>
      </c>
      <c r="B3564" t="inlineStr">
        <is>
          <t>STRT</t>
        </is>
      </c>
      <c r="C3564" t="inlineStr">
        <is>
          <t>STRATTEC SECURITY CORP</t>
        </is>
      </c>
      <c r="D3564" t="n">
        <v>3714</v>
      </c>
    </row>
    <row r="3565">
      <c r="A3565" t="inlineStr">
        <is>
          <t>STRATUS PROPERTIES INC</t>
        </is>
      </c>
      <c r="B3565" t="inlineStr">
        <is>
          <t>STRS</t>
        </is>
      </c>
      <c r="C3565" t="inlineStr">
        <is>
          <t>STRATUS PROPERTIES INC</t>
        </is>
      </c>
      <c r="D3565" t="n">
        <v>6552</v>
      </c>
    </row>
    <row r="3566">
      <c r="A3566" t="inlineStr">
        <is>
          <t>STREAMLINE HEALTH SOLUTIONS INC.</t>
        </is>
      </c>
      <c r="B3566" t="inlineStr">
        <is>
          <t>STRM</t>
        </is>
      </c>
      <c r="C3566" t="inlineStr">
        <is>
          <t>STREAMLINE HEALTH SOLUTIONS INC.</t>
        </is>
      </c>
      <c r="D3566" t="n">
        <v>7373</v>
      </c>
    </row>
    <row r="3567">
      <c r="A3567" t="inlineStr">
        <is>
          <t>STRIDE, INC.</t>
        </is>
      </c>
      <c r="B3567" t="inlineStr">
        <is>
          <t>LRN</t>
        </is>
      </c>
      <c r="C3567" t="inlineStr">
        <is>
          <t>STRIDE, INC.</t>
        </is>
      </c>
      <c r="D3567" t="n">
        <v>8200</v>
      </c>
    </row>
    <row r="3568">
      <c r="A3568" t="inlineStr">
        <is>
          <t>STRYKER CORP</t>
        </is>
      </c>
      <c r="B3568" t="inlineStr">
        <is>
          <t>SYK</t>
        </is>
      </c>
      <c r="C3568" t="inlineStr">
        <is>
          <t>STRYKER CORP</t>
        </is>
      </c>
      <c r="D3568" t="n">
        <v>3841</v>
      </c>
    </row>
    <row r="3569">
      <c r="A3569" t="inlineStr">
        <is>
          <t>STUDIO CITY INTERNATIONAL HOLDINGS LTD</t>
        </is>
      </c>
      <c r="B3569" t="inlineStr">
        <is>
          <t>MSC</t>
        </is>
      </c>
      <c r="C3569" t="inlineStr">
        <is>
          <t>STUDIO CITY INTERNATIONAL HOLDINGS LTD</t>
        </is>
      </c>
      <c r="D3569" t="n">
        <v>7011</v>
      </c>
    </row>
    <row r="3570">
      <c r="A3570" t="inlineStr">
        <is>
          <t>STURM RUGER &amp; CO INC</t>
        </is>
      </c>
      <c r="B3570" t="inlineStr">
        <is>
          <t>RGR</t>
        </is>
      </c>
      <c r="C3570" t="inlineStr">
        <is>
          <t>STURM RUGER &amp; CO INC</t>
        </is>
      </c>
      <c r="D3570" t="n">
        <v>3480</v>
      </c>
    </row>
    <row r="3571">
      <c r="A3571" t="inlineStr">
        <is>
          <t>SUBURBAN PROPANE PARTNERS LP</t>
        </is>
      </c>
      <c r="B3571" t="inlineStr">
        <is>
          <t>SPH</t>
        </is>
      </c>
      <c r="C3571" t="inlineStr">
        <is>
          <t>SUBURBAN PROPANE PARTNERS LP</t>
        </is>
      </c>
      <c r="D3571" t="n">
        <v>5900</v>
      </c>
    </row>
    <row r="3572">
      <c r="A3572" t="inlineStr">
        <is>
          <t>SUMMIT FINANCIAL GROUP, INC.</t>
        </is>
      </c>
      <c r="B3572" t="inlineStr">
        <is>
          <t>SMMF</t>
        </is>
      </c>
      <c r="C3572" t="inlineStr">
        <is>
          <t>SUMMIT FINANCIAL GROUP, INC.</t>
        </is>
      </c>
      <c r="D3572" t="n">
        <v>6022</v>
      </c>
    </row>
    <row r="3573">
      <c r="A3573" t="inlineStr">
        <is>
          <t>SUMMIT HOTEL PROPERTIES, INC.</t>
        </is>
      </c>
      <c r="B3573" t="inlineStr">
        <is>
          <t>INN</t>
        </is>
      </c>
      <c r="C3573" t="inlineStr">
        <is>
          <t>SUMMIT HOTEL PROPERTIES, INC.</t>
        </is>
      </c>
      <c r="D3573" t="n">
        <v>6798</v>
      </c>
    </row>
    <row r="3574">
      <c r="A3574" t="inlineStr">
        <is>
          <t>SUMMIT MATERIALS, INC.</t>
        </is>
      </c>
      <c r="B3574" t="inlineStr">
        <is>
          <t>SUM</t>
        </is>
      </c>
      <c r="C3574" t="inlineStr">
        <is>
          <t>SUMMIT MATERIALS, INC.</t>
        </is>
      </c>
      <c r="D3574" t="n">
        <v>1400</v>
      </c>
    </row>
    <row r="3575">
      <c r="A3575" t="inlineStr">
        <is>
          <t>SUMMIT MIDSTREAM PARTNERS, LP</t>
        </is>
      </c>
      <c r="B3575" t="inlineStr">
        <is>
          <t>SMLP</t>
        </is>
      </c>
      <c r="C3575" t="inlineStr">
        <is>
          <t>SUMMIT MIDSTREAM PARTNERS, LP</t>
        </is>
      </c>
      <c r="D3575" t="n">
        <v>4922</v>
      </c>
    </row>
    <row r="3576">
      <c r="A3576" t="inlineStr">
        <is>
          <t>SUMMIT THERAPEUTICS INC.</t>
        </is>
      </c>
      <c r="B3576" t="inlineStr">
        <is>
          <t>SMMT</t>
        </is>
      </c>
      <c r="C3576" t="inlineStr">
        <is>
          <t>SUMMIT THERAPEUTICS INC.</t>
        </is>
      </c>
      <c r="D3576" t="n">
        <v>2834</v>
      </c>
    </row>
    <row r="3577">
      <c r="A3577" t="inlineStr">
        <is>
          <t>SUMO LOGIC, INC.</t>
        </is>
      </c>
      <c r="B3577" t="inlineStr">
        <is>
          <t>SUMO</t>
        </is>
      </c>
      <c r="C3577" t="inlineStr">
        <is>
          <t>SUMO LOGIC, INC.</t>
        </is>
      </c>
      <c r="D3577" t="n">
        <v>7372</v>
      </c>
    </row>
    <row r="3578">
      <c r="A3578" t="inlineStr">
        <is>
          <t>SUN COMMUNITIES INC</t>
        </is>
      </c>
      <c r="B3578" t="inlineStr">
        <is>
          <t>SUI</t>
        </is>
      </c>
      <c r="C3578" t="inlineStr">
        <is>
          <t>SUN COMMUNITIES INC</t>
        </is>
      </c>
      <c r="D3578" t="n">
        <v>6798</v>
      </c>
    </row>
    <row r="3579">
      <c r="A3579" t="inlineStr">
        <is>
          <t>SUN COUNTRY AIRLINES HOLDINGS, INC.</t>
        </is>
      </c>
      <c r="B3579" t="inlineStr">
        <is>
          <t>SNCY</t>
        </is>
      </c>
      <c r="C3579" t="inlineStr">
        <is>
          <t>SUN COUNTRY AIRLINES HOLDINGS, INC.</t>
        </is>
      </c>
      <c r="D3579" t="n">
        <v>4512</v>
      </c>
    </row>
    <row r="3580">
      <c r="A3580" t="inlineStr">
        <is>
          <t>SUNCOKE ENERGY, INC.</t>
        </is>
      </c>
      <c r="B3580" t="inlineStr">
        <is>
          <t>SXC</t>
        </is>
      </c>
      <c r="C3580" t="inlineStr">
        <is>
          <t>SUNCOKE ENERGY, INC.</t>
        </is>
      </c>
      <c r="D3580" t="n">
        <v>3312</v>
      </c>
    </row>
    <row r="3581">
      <c r="A3581" t="inlineStr">
        <is>
          <t>SUNESIS PHARMACEUTICALS INC</t>
        </is>
      </c>
      <c r="B3581" t="inlineStr">
        <is>
          <t>VIRX</t>
        </is>
      </c>
      <c r="C3581" t="inlineStr">
        <is>
          <t>SUNESIS PHARMACEUTICALS INC</t>
        </is>
      </c>
      <c r="D3581" t="n">
        <v>2834</v>
      </c>
    </row>
    <row r="3582">
      <c r="A3582" t="inlineStr">
        <is>
          <t>SUNLANDS TECHNOLOGY GROUP</t>
        </is>
      </c>
      <c r="B3582" t="inlineStr">
        <is>
          <t>STG</t>
        </is>
      </c>
      <c r="C3582" t="inlineStr">
        <is>
          <t>SUNLANDS TECHNOLOGY GROUP</t>
        </is>
      </c>
      <c r="D3582" t="n">
        <v>8200</v>
      </c>
    </row>
    <row r="3583">
      <c r="A3583" t="inlineStr">
        <is>
          <t>SUNNOVA ENERGY INTERNATIONAL INC.</t>
        </is>
      </c>
      <c r="B3583" t="inlineStr">
        <is>
          <t>NOVA</t>
        </is>
      </c>
      <c r="C3583" t="inlineStr">
        <is>
          <t>SUNNOVA ENERGY INTERNATIONAL INC.</t>
        </is>
      </c>
      <c r="D3583" t="n">
        <v>4931</v>
      </c>
    </row>
    <row r="3584">
      <c r="A3584" t="inlineStr">
        <is>
          <t>SUNOCO LP</t>
        </is>
      </c>
      <c r="B3584" t="inlineStr">
        <is>
          <t>SUN</t>
        </is>
      </c>
      <c r="C3584" t="inlineStr">
        <is>
          <t>SUNOCO LP</t>
        </is>
      </c>
      <c r="D3584" t="n">
        <v>2911</v>
      </c>
    </row>
    <row r="3585">
      <c r="A3585" t="inlineStr">
        <is>
          <t>SUNOPTA INC.</t>
        </is>
      </c>
      <c r="B3585" t="inlineStr">
        <is>
          <t>STKL</t>
        </is>
      </c>
      <c r="C3585" t="inlineStr">
        <is>
          <t>SUNOPTA INC.</t>
        </is>
      </c>
      <c r="D3585" t="n">
        <v>5150</v>
      </c>
    </row>
    <row r="3586">
      <c r="A3586" t="inlineStr">
        <is>
          <t>SUNPOWER CORP</t>
        </is>
      </c>
      <c r="B3586" t="inlineStr">
        <is>
          <t>SPWR</t>
        </is>
      </c>
      <c r="C3586" t="inlineStr">
        <is>
          <t>SUNPOWER CORP</t>
        </is>
      </c>
      <c r="D3586" t="n">
        <v>3674</v>
      </c>
    </row>
    <row r="3587">
      <c r="A3587" t="inlineStr">
        <is>
          <t>SUNRISE REAL ESTATE GROUP INC</t>
        </is>
      </c>
      <c r="B3587" t="inlineStr">
        <is>
          <t>SRRE</t>
        </is>
      </c>
      <c r="C3587" t="inlineStr">
        <is>
          <t>SUNRISE REAL ESTATE GROUP INC</t>
        </is>
      </c>
      <c r="D3587" t="n">
        <v>6513</v>
      </c>
    </row>
    <row r="3588">
      <c r="A3588" t="inlineStr">
        <is>
          <t>SUNRUN INC.</t>
        </is>
      </c>
      <c r="B3588" t="inlineStr">
        <is>
          <t>RUN</t>
        </is>
      </c>
      <c r="C3588" t="inlineStr">
        <is>
          <t>SUNRUN INC.</t>
        </is>
      </c>
      <c r="D3588" t="n">
        <v>3690</v>
      </c>
    </row>
    <row r="3589">
      <c r="A3589" t="inlineStr">
        <is>
          <t>SUNSTONE HOTEL INVESTORS, INC.</t>
        </is>
      </c>
      <c r="B3589" t="inlineStr">
        <is>
          <t>SHO</t>
        </is>
      </c>
      <c r="C3589" t="inlineStr">
        <is>
          <t>SUNSTONE HOTEL INVESTORS, INC.</t>
        </is>
      </c>
      <c r="D3589" t="n">
        <v>7011</v>
      </c>
    </row>
    <row r="3590">
      <c r="A3590" t="inlineStr">
        <is>
          <t>SUNWORKS, INC.</t>
        </is>
      </c>
      <c r="B3590" t="inlineStr">
        <is>
          <t>SUNW</t>
        </is>
      </c>
      <c r="C3590" t="inlineStr">
        <is>
          <t>SUNWORKS, INC.</t>
        </is>
      </c>
      <c r="D3590" t="n">
        <v>3690</v>
      </c>
    </row>
    <row r="3591">
      <c r="A3591" t="inlineStr">
        <is>
          <t>SUPER LEAGUE GAMING, INC.</t>
        </is>
      </c>
      <c r="B3591" t="inlineStr">
        <is>
          <t>SLGG</t>
        </is>
      </c>
      <c r="C3591" t="inlineStr">
        <is>
          <t>SUPER LEAGUE GAMING, INC.</t>
        </is>
      </c>
      <c r="D3591" t="n">
        <v>7900</v>
      </c>
    </row>
    <row r="3592">
      <c r="A3592" t="inlineStr">
        <is>
          <t>SUPER MICRO COMPUTER, INC.</t>
        </is>
      </c>
      <c r="B3592" t="inlineStr">
        <is>
          <t>SMCI</t>
        </is>
      </c>
      <c r="C3592" t="inlineStr">
        <is>
          <t>SUPER MICRO COMPUTER, INC.</t>
        </is>
      </c>
      <c r="D3592" t="n">
        <v>3571</v>
      </c>
    </row>
    <row r="3593">
      <c r="A3593" t="inlineStr">
        <is>
          <t>SUPERIOR DRILLING PRODUCTS, INC.</t>
        </is>
      </c>
      <c r="B3593" t="inlineStr">
        <is>
          <t>SDPI</t>
        </is>
      </c>
      <c r="C3593" t="inlineStr">
        <is>
          <t>SUPERIOR DRILLING PRODUCTS, INC.</t>
        </is>
      </c>
      <c r="D3593" t="n">
        <v>3533</v>
      </c>
    </row>
    <row r="3594">
      <c r="A3594" t="inlineStr">
        <is>
          <t>SUPERIOR GROUP OF COMPANIES, INC.</t>
        </is>
      </c>
      <c r="B3594" t="inlineStr">
        <is>
          <t>SGC</t>
        </is>
      </c>
      <c r="C3594" t="inlineStr">
        <is>
          <t>SUPERIOR GROUP OF COMPANIES, INC.</t>
        </is>
      </c>
      <c r="D3594" t="n">
        <v>2300</v>
      </c>
    </row>
    <row r="3595">
      <c r="A3595" t="inlineStr">
        <is>
          <t>SUPERIOR INDUSTRIES INTERNATIONAL INC</t>
        </is>
      </c>
      <c r="B3595" t="inlineStr">
        <is>
          <t>SUP</t>
        </is>
      </c>
      <c r="C3595" t="inlineStr">
        <is>
          <t>SUPERIOR INDUSTRIES INTERNATIONAL INC</t>
        </is>
      </c>
      <c r="D3595" t="n">
        <v>3714</v>
      </c>
    </row>
    <row r="3596">
      <c r="A3596" t="inlineStr">
        <is>
          <t>SUPERNUS PHARMACEUTICALS, INC.</t>
        </is>
      </c>
      <c r="B3596" t="inlineStr">
        <is>
          <t>SUPN</t>
        </is>
      </c>
      <c r="C3596" t="inlineStr">
        <is>
          <t>SUPERNUS PHARMACEUTICALS, INC.</t>
        </is>
      </c>
      <c r="D3596" t="n">
        <v>2834</v>
      </c>
    </row>
    <row r="3597">
      <c r="A3597" t="inlineStr">
        <is>
          <t>SURFACE ONCOLOGY, INC.</t>
        </is>
      </c>
      <c r="B3597" t="inlineStr">
        <is>
          <t>SURF</t>
        </is>
      </c>
      <c r="C3597" t="inlineStr">
        <is>
          <t>SURFACE ONCOLOGY, INC.</t>
        </is>
      </c>
      <c r="D3597" t="n">
        <v>2836</v>
      </c>
    </row>
    <row r="3598">
      <c r="A3598" t="inlineStr">
        <is>
          <t>SURGALIGN HOLDINGS, INC.</t>
        </is>
      </c>
      <c r="B3598" t="inlineStr">
        <is>
          <t>SRGA</t>
        </is>
      </c>
      <c r="C3598" t="inlineStr">
        <is>
          <t>SURGALIGN HOLDINGS, INC.</t>
        </is>
      </c>
      <c r="D3598" t="n">
        <v>3842</v>
      </c>
    </row>
    <row r="3599">
      <c r="A3599" t="inlineStr">
        <is>
          <t>SURGE COMPONENTS INC</t>
        </is>
      </c>
      <c r="B3599" t="inlineStr">
        <is>
          <t>SPRS</t>
        </is>
      </c>
      <c r="C3599" t="inlineStr">
        <is>
          <t>SURGE COMPONENTS INC</t>
        </is>
      </c>
      <c r="D3599" t="n">
        <v>5065</v>
      </c>
    </row>
    <row r="3600">
      <c r="A3600" t="inlineStr">
        <is>
          <t>SURGERY PARTNERS, INC.</t>
        </is>
      </c>
      <c r="B3600" t="inlineStr">
        <is>
          <t>SGRY</t>
        </is>
      </c>
      <c r="C3600" t="inlineStr">
        <is>
          <t>SURGERY PARTNERS, INC.</t>
        </is>
      </c>
      <c r="D3600" t="n">
        <v>8062</v>
      </c>
    </row>
    <row r="3601">
      <c r="A3601" t="inlineStr">
        <is>
          <t>SURMODICS INC</t>
        </is>
      </c>
      <c r="B3601" t="inlineStr">
        <is>
          <t>SRDX</t>
        </is>
      </c>
      <c r="C3601" t="inlineStr">
        <is>
          <t>SURMODICS INC</t>
        </is>
      </c>
      <c r="D3601" t="n">
        <v>3841</v>
      </c>
    </row>
    <row r="3602">
      <c r="A3602" t="inlineStr">
        <is>
          <t>SUTRO BIOPHARMA, INC.</t>
        </is>
      </c>
      <c r="B3602" t="inlineStr">
        <is>
          <t>STRO</t>
        </is>
      </c>
      <c r="C3602" t="inlineStr">
        <is>
          <t>SUTRO BIOPHARMA, INC.</t>
        </is>
      </c>
      <c r="D3602" t="n">
        <v>2836</v>
      </c>
    </row>
    <row r="3603">
      <c r="A3603" t="inlineStr">
        <is>
          <t>SVB FINANCIAL GROUP</t>
        </is>
      </c>
      <c r="B3603" t="inlineStr">
        <is>
          <t>SIVB</t>
        </is>
      </c>
      <c r="C3603" t="inlineStr">
        <is>
          <t>SVB FINANCIAL GROUP</t>
        </is>
      </c>
      <c r="D3603" t="n">
        <v>6022</v>
      </c>
    </row>
    <row r="3604">
      <c r="A3604" t="inlineStr">
        <is>
          <t>SWITCH, INC.</t>
        </is>
      </c>
      <c r="B3604" t="inlineStr">
        <is>
          <t>SWCH</t>
        </is>
      </c>
      <c r="C3604" t="inlineStr">
        <is>
          <t>SWITCH, INC.</t>
        </is>
      </c>
      <c r="D3604" t="n">
        <v>7370</v>
      </c>
    </row>
    <row r="3605">
      <c r="A3605" t="inlineStr">
        <is>
          <t>SWK HOLDINGS CORP</t>
        </is>
      </c>
      <c r="B3605" t="inlineStr">
        <is>
          <t>SWKH</t>
        </is>
      </c>
      <c r="C3605" t="inlineStr">
        <is>
          <t>SWK HOLDINGS CORP</t>
        </is>
      </c>
      <c r="D3605" t="n">
        <v>6159</v>
      </c>
    </row>
    <row r="3606">
      <c r="A3606" t="inlineStr">
        <is>
          <t>SYLVAMO CORP</t>
        </is>
      </c>
      <c r="B3606" t="inlineStr">
        <is>
          <t>SLVM</t>
        </is>
      </c>
      <c r="C3606" t="inlineStr">
        <is>
          <t>SYLVAMO CORP</t>
        </is>
      </c>
      <c r="D3606" t="n">
        <v>2621</v>
      </c>
    </row>
    <row r="3607">
      <c r="A3607" t="inlineStr">
        <is>
          <t>SYNALLOY CORP</t>
        </is>
      </c>
      <c r="B3607" t="inlineStr">
        <is>
          <t>SYNL</t>
        </is>
      </c>
      <c r="C3607" t="inlineStr">
        <is>
          <t>SYNALLOY CORP</t>
        </is>
      </c>
      <c r="D3607" t="n">
        <v>3317</v>
      </c>
    </row>
    <row r="3608">
      <c r="A3608" t="inlineStr">
        <is>
          <t>SYNAPTICS INC</t>
        </is>
      </c>
      <c r="B3608" t="inlineStr">
        <is>
          <t>SYNA</t>
        </is>
      </c>
      <c r="C3608" t="inlineStr">
        <is>
          <t>SYNAPTICS INC</t>
        </is>
      </c>
      <c r="D3608" t="n">
        <v>3674</v>
      </c>
    </row>
    <row r="3609">
      <c r="A3609" t="inlineStr">
        <is>
          <t>SYNCHRONOSS TECHNOLOGIES INC</t>
        </is>
      </c>
      <c r="B3609" t="inlineStr">
        <is>
          <t>SNCR</t>
        </is>
      </c>
      <c r="C3609" t="inlineStr">
        <is>
          <t>SYNCHRONOSS TECHNOLOGIES INC</t>
        </is>
      </c>
      <c r="D3609" t="n">
        <v>7371</v>
      </c>
    </row>
    <row r="3610">
      <c r="A3610" t="inlineStr">
        <is>
          <t>SYNCHRONY FINANCIAL</t>
        </is>
      </c>
      <c r="B3610" t="inlineStr">
        <is>
          <t>SYF</t>
        </is>
      </c>
      <c r="C3610" t="inlineStr">
        <is>
          <t>SYNCHRONY FINANCIAL</t>
        </is>
      </c>
      <c r="D3610" t="n">
        <v>6199</v>
      </c>
    </row>
    <row r="3611">
      <c r="A3611" t="inlineStr">
        <is>
          <t>SYNDAX PHARMACEUTICALS INC</t>
        </is>
      </c>
      <c r="B3611" t="inlineStr">
        <is>
          <t>SNDX</t>
        </is>
      </c>
      <c r="C3611" t="inlineStr">
        <is>
          <t>SYNDAX PHARMACEUTICALS INC</t>
        </is>
      </c>
      <c r="D3611" t="n">
        <v>2834</v>
      </c>
    </row>
    <row r="3612">
      <c r="A3612" t="inlineStr">
        <is>
          <t>SYNEOS HEALTH, INC.</t>
        </is>
      </c>
      <c r="B3612" t="inlineStr">
        <is>
          <t>SYNH</t>
        </is>
      </c>
      <c r="C3612" t="inlineStr">
        <is>
          <t>SYNEOS HEALTH, INC.</t>
        </is>
      </c>
      <c r="D3612" t="n">
        <v>8731</v>
      </c>
    </row>
    <row r="3613">
      <c r="A3613" t="inlineStr">
        <is>
          <t>SYNLOGIC, INC.</t>
        </is>
      </c>
      <c r="B3613" t="inlineStr">
        <is>
          <t>SYBX</t>
        </is>
      </c>
      <c r="C3613" t="inlineStr">
        <is>
          <t>SYNLOGIC, INC.</t>
        </is>
      </c>
      <c r="D3613" t="n">
        <v>2834</v>
      </c>
    </row>
    <row r="3614">
      <c r="A3614" t="inlineStr">
        <is>
          <t>SYNOPSYS INC</t>
        </is>
      </c>
      <c r="B3614" t="inlineStr">
        <is>
          <t>SNPS</t>
        </is>
      </c>
      <c r="C3614" t="inlineStr">
        <is>
          <t>SYNOPSYS INC</t>
        </is>
      </c>
      <c r="D3614" t="n">
        <v>7372</v>
      </c>
    </row>
    <row r="3615">
      <c r="A3615" t="inlineStr">
        <is>
          <t>SYNOVUS FINANCIAL CORP</t>
        </is>
      </c>
      <c r="B3615" t="inlineStr">
        <is>
          <t>SNV</t>
        </is>
      </c>
      <c r="C3615" t="inlineStr">
        <is>
          <t>SYNOVUS FINANCIAL CORP</t>
        </is>
      </c>
      <c r="D3615" t="n">
        <v>6021</v>
      </c>
    </row>
    <row r="3616">
      <c r="A3616" t="inlineStr">
        <is>
          <t>SYPRIS SOLUTIONS INC</t>
        </is>
      </c>
      <c r="B3616" t="inlineStr">
        <is>
          <t>SYPR</t>
        </is>
      </c>
      <c r="C3616" t="inlineStr">
        <is>
          <t>SYPRIS SOLUTIONS INC</t>
        </is>
      </c>
      <c r="D3616" t="n">
        <v>3823</v>
      </c>
    </row>
    <row r="3617">
      <c r="A3617" t="inlineStr">
        <is>
          <t>SYROS PHARMACEUTICALS, INC.</t>
        </is>
      </c>
      <c r="B3617" t="inlineStr">
        <is>
          <t>SYRS</t>
        </is>
      </c>
      <c r="C3617" t="inlineStr">
        <is>
          <t>SYROS PHARMACEUTICALS, INC.</t>
        </is>
      </c>
      <c r="D3617" t="n">
        <v>2834</v>
      </c>
    </row>
    <row r="3618">
      <c r="A3618" t="inlineStr">
        <is>
          <t>SYSCO CORP</t>
        </is>
      </c>
      <c r="B3618" t="inlineStr">
        <is>
          <t>SYY</t>
        </is>
      </c>
      <c r="C3618" t="inlineStr">
        <is>
          <t>SYSCO CORP</t>
        </is>
      </c>
      <c r="D3618" t="n">
        <v>5140</v>
      </c>
    </row>
    <row r="3619">
      <c r="A3619" t="inlineStr">
        <is>
          <t>T-MOBILE US, INC.</t>
        </is>
      </c>
      <c r="B3619" t="inlineStr">
        <is>
          <t>TMUS</t>
        </is>
      </c>
      <c r="C3619" t="inlineStr">
        <is>
          <t>T-MOBILE US, INC.</t>
        </is>
      </c>
      <c r="D3619" t="n">
        <v>4812</v>
      </c>
    </row>
    <row r="3620">
      <c r="A3620" t="inlineStr">
        <is>
          <t>T2 BIOSYSTEMS, INC.</t>
        </is>
      </c>
      <c r="B3620" t="inlineStr">
        <is>
          <t>TTOO</t>
        </is>
      </c>
      <c r="C3620" t="inlineStr">
        <is>
          <t>T2 BIOSYSTEMS, INC.</t>
        </is>
      </c>
      <c r="D3620" t="n">
        <v>3841</v>
      </c>
    </row>
    <row r="3621">
      <c r="A3621" t="inlineStr">
        <is>
          <t>TABOOLA.COM LTD.</t>
        </is>
      </c>
      <c r="B3621" t="inlineStr">
        <is>
          <t>TBLA</t>
        </is>
      </c>
      <c r="C3621" t="inlineStr">
        <is>
          <t>TABOOLA.COM LTD.</t>
        </is>
      </c>
      <c r="D3621" t="n">
        <v>7370</v>
      </c>
    </row>
    <row r="3622">
      <c r="A3622" t="inlineStr">
        <is>
          <t>TABULA RASA HEALTHCARE, INC.</t>
        </is>
      </c>
      <c r="B3622" t="inlineStr">
        <is>
          <t>TRHC</t>
        </is>
      </c>
      <c r="C3622" t="inlineStr">
        <is>
          <t>TABULA RASA HEALTHCARE, INC.</t>
        </is>
      </c>
      <c r="D3622" t="n">
        <v>7389</v>
      </c>
    </row>
    <row r="3623">
      <c r="A3623" t="inlineStr">
        <is>
          <t>TACTILE SYSTEMS TECHNOLOGY INC</t>
        </is>
      </c>
      <c r="B3623" t="inlineStr">
        <is>
          <t>TCMD</t>
        </is>
      </c>
      <c r="C3623" t="inlineStr">
        <is>
          <t>TACTILE SYSTEMS TECHNOLOGY INC</t>
        </is>
      </c>
      <c r="D3623" t="n">
        <v>3841</v>
      </c>
    </row>
    <row r="3624">
      <c r="A3624" t="inlineStr">
        <is>
          <t>TAITRON COMPONENTS INC</t>
        </is>
      </c>
      <c r="B3624" t="inlineStr">
        <is>
          <t>TAIT</t>
        </is>
      </c>
      <c r="C3624" t="inlineStr">
        <is>
          <t>TAITRON COMPONENTS INC</t>
        </is>
      </c>
      <c r="D3624" t="n">
        <v>5065</v>
      </c>
    </row>
    <row r="3625">
      <c r="A3625" t="inlineStr">
        <is>
          <t>TAKE TWO INTERACTIVE SOFTWARE INC</t>
        </is>
      </c>
      <c r="B3625" t="inlineStr">
        <is>
          <t>TTWO</t>
        </is>
      </c>
      <c r="C3625" t="inlineStr">
        <is>
          <t>TAKE TWO INTERACTIVE SOFTWARE INC</t>
        </is>
      </c>
      <c r="D3625" t="n">
        <v>7372</v>
      </c>
    </row>
    <row r="3626">
      <c r="A3626" t="inlineStr">
        <is>
          <t>TAKUNG ART CO., LTD</t>
        </is>
      </c>
      <c r="B3626" t="inlineStr">
        <is>
          <t>TKAT</t>
        </is>
      </c>
      <c r="C3626" t="inlineStr">
        <is>
          <t>TAKUNG ART CO., LTD</t>
        </is>
      </c>
      <c r="D3626" t="n">
        <v>5990</v>
      </c>
    </row>
    <row r="3627">
      <c r="A3627" t="inlineStr">
        <is>
          <t>TAL EDUCATION GROUP</t>
        </is>
      </c>
      <c r="B3627" t="inlineStr">
        <is>
          <t>TAL</t>
        </is>
      </c>
      <c r="C3627" t="inlineStr">
        <is>
          <t>TAL EDUCATION GROUP</t>
        </is>
      </c>
      <c r="D3627" t="n">
        <v>8200</v>
      </c>
    </row>
    <row r="3628">
      <c r="A3628" t="inlineStr">
        <is>
          <t>TALKSPACE, INC.</t>
        </is>
      </c>
      <c r="B3628" t="inlineStr">
        <is>
          <t>TALK</t>
        </is>
      </c>
      <c r="C3628" t="inlineStr">
        <is>
          <t>TALKSPACE, INC.</t>
        </is>
      </c>
      <c r="D3628" t="n">
        <v>8000</v>
      </c>
    </row>
    <row r="3629">
      <c r="A3629" t="inlineStr">
        <is>
          <t>TALOS ENERGY INC.</t>
        </is>
      </c>
      <c r="B3629" t="inlineStr">
        <is>
          <t>TALO</t>
        </is>
      </c>
      <c r="C3629" t="inlineStr">
        <is>
          <t>TALOS ENERGY INC.</t>
        </is>
      </c>
      <c r="D3629" t="n">
        <v>1311</v>
      </c>
    </row>
    <row r="3630">
      <c r="A3630" t="inlineStr">
        <is>
          <t>TANDEM DIABETES CARE INC</t>
        </is>
      </c>
      <c r="B3630" t="inlineStr">
        <is>
          <t>TNDM</t>
        </is>
      </c>
      <c r="C3630" t="inlineStr">
        <is>
          <t>TANDEM DIABETES CARE INC</t>
        </is>
      </c>
      <c r="D3630" t="n">
        <v>3841</v>
      </c>
    </row>
    <row r="3631">
      <c r="A3631" t="inlineStr">
        <is>
          <t>TANDY LEATHER FACTORY INC</t>
        </is>
      </c>
      <c r="B3631" t="inlineStr">
        <is>
          <t>TLFA</t>
        </is>
      </c>
      <c r="C3631" t="inlineStr">
        <is>
          <t>TANDY LEATHER FACTORY INC</t>
        </is>
      </c>
      <c r="D3631" t="n">
        <v>3100</v>
      </c>
    </row>
    <row r="3632">
      <c r="A3632" t="inlineStr">
        <is>
          <t>TANGO THERAPEUTICS, INC.</t>
        </is>
      </c>
      <c r="B3632" t="inlineStr">
        <is>
          <t>TNGX</t>
        </is>
      </c>
      <c r="C3632" t="inlineStr">
        <is>
          <t>TANGO THERAPEUTICS, INC.</t>
        </is>
      </c>
      <c r="D3632" t="n">
        <v>2834</v>
      </c>
    </row>
    <row r="3633">
      <c r="A3633" t="inlineStr">
        <is>
          <t>TANTECH HOLDINGS LTD</t>
        </is>
      </c>
      <c r="B3633" t="inlineStr">
        <is>
          <t>TANH</t>
        </is>
      </c>
      <c r="C3633" t="inlineStr">
        <is>
          <t>TANTECH HOLDINGS LTD</t>
        </is>
      </c>
      <c r="D3633" t="n">
        <v>2860</v>
      </c>
    </row>
    <row r="3634">
      <c r="A3634" t="inlineStr">
        <is>
          <t>TAOPING INC.</t>
        </is>
      </c>
      <c r="B3634" t="inlineStr">
        <is>
          <t>TAOP</t>
        </is>
      </c>
      <c r="C3634" t="inlineStr">
        <is>
          <t>TAOPING INC.</t>
        </is>
      </c>
      <c r="D3634" t="n">
        <v>7372</v>
      </c>
    </row>
    <row r="3635">
      <c r="A3635" t="inlineStr">
        <is>
          <t>TAPESTRY, INC.</t>
        </is>
      </c>
      <c r="B3635" t="inlineStr">
        <is>
          <t>TPR</t>
        </is>
      </c>
      <c r="C3635" t="inlineStr">
        <is>
          <t>TAPESTRY, INC.</t>
        </is>
      </c>
      <c r="D3635" t="n">
        <v>3100</v>
      </c>
    </row>
    <row r="3636">
      <c r="A3636" t="inlineStr">
        <is>
          <t>TARENA INTERNATIONAL, INC.</t>
        </is>
      </c>
      <c r="B3636" t="inlineStr">
        <is>
          <t>TEDU</t>
        </is>
      </c>
      <c r="C3636" t="inlineStr">
        <is>
          <t>TARENA INTERNATIONAL, INC.</t>
        </is>
      </c>
      <c r="D3636" t="n">
        <v>8200</v>
      </c>
    </row>
    <row r="3637">
      <c r="A3637" t="inlineStr">
        <is>
          <t>TARGA RESOURCES CORP.</t>
        </is>
      </c>
      <c r="B3637" t="inlineStr">
        <is>
          <t>TRGP</t>
        </is>
      </c>
      <c r="C3637" t="inlineStr">
        <is>
          <t>TARGA RESOURCES CORP.</t>
        </is>
      </c>
      <c r="D3637" t="n">
        <v>4922</v>
      </c>
    </row>
    <row r="3638">
      <c r="A3638" t="inlineStr">
        <is>
          <t>TARGET CORP</t>
        </is>
      </c>
      <c r="B3638" t="inlineStr">
        <is>
          <t>TGT</t>
        </is>
      </c>
      <c r="C3638" t="inlineStr">
        <is>
          <t>TARGET CORP</t>
        </is>
      </c>
      <c r="D3638" t="n">
        <v>5331</v>
      </c>
    </row>
    <row r="3639">
      <c r="A3639" t="inlineStr">
        <is>
          <t>TARGET HOSPITALITY CORP.</t>
        </is>
      </c>
      <c r="B3639" t="inlineStr">
        <is>
          <t>TH</t>
        </is>
      </c>
      <c r="C3639" t="inlineStr">
        <is>
          <t>TARGET HOSPITALITY CORP.</t>
        </is>
      </c>
      <c r="D3639" t="n">
        <v>7000</v>
      </c>
    </row>
    <row r="3640">
      <c r="A3640" t="inlineStr">
        <is>
          <t>TARO PHARMACEUTICAL INDUSTRIES LTD</t>
        </is>
      </c>
      <c r="B3640" t="inlineStr">
        <is>
          <t>TARO</t>
        </is>
      </c>
      <c r="C3640" t="inlineStr">
        <is>
          <t>TARO PHARMACEUTICAL INDUSTRIES LTD</t>
        </is>
      </c>
      <c r="D3640" t="n">
        <v>2834</v>
      </c>
    </row>
    <row r="3641">
      <c r="A3641" t="inlineStr">
        <is>
          <t>TASKUS, INC.</t>
        </is>
      </c>
      <c r="B3641" t="inlineStr">
        <is>
          <t>TASK</t>
        </is>
      </c>
      <c r="C3641" t="inlineStr">
        <is>
          <t>TASKUS, INC.</t>
        </is>
      </c>
      <c r="D3641" t="n">
        <v>7374</v>
      </c>
    </row>
    <row r="3642">
      <c r="A3642" t="inlineStr">
        <is>
          <t>TAT TECHNOLOGIES LTD</t>
        </is>
      </c>
      <c r="B3642" t="inlineStr">
        <is>
          <t>TATT</t>
        </is>
      </c>
      <c r="C3642" t="inlineStr">
        <is>
          <t>TAT TECHNOLOGIES LTD</t>
        </is>
      </c>
      <c r="D3642" t="n">
        <v>3724</v>
      </c>
    </row>
    <row r="3643">
      <c r="A3643" t="inlineStr">
        <is>
          <t>TATTOOED CHEF, INC.</t>
        </is>
      </c>
      <c r="B3643" t="inlineStr">
        <is>
          <t>TTCF</t>
        </is>
      </c>
      <c r="C3643" t="inlineStr">
        <is>
          <t>TATTOOED CHEF, INC.</t>
        </is>
      </c>
      <c r="D3643" t="n">
        <v>2090</v>
      </c>
    </row>
    <row r="3644">
      <c r="A3644" t="inlineStr">
        <is>
          <t>TAYLOR DEVICES INC</t>
        </is>
      </c>
      <c r="B3644" t="inlineStr">
        <is>
          <t>TAYD</t>
        </is>
      </c>
      <c r="C3644" t="inlineStr">
        <is>
          <t>TAYLOR DEVICES INC</t>
        </is>
      </c>
      <c r="D3644" t="n">
        <v>3569</v>
      </c>
    </row>
    <row r="3645">
      <c r="A3645" t="inlineStr">
        <is>
          <t>TAYLOR MORRISON HOME CORP</t>
        </is>
      </c>
      <c r="B3645" t="inlineStr">
        <is>
          <t>TMHC</t>
        </is>
      </c>
      <c r="C3645" t="inlineStr">
        <is>
          <t>TAYLOR MORRISON HOME CORP</t>
        </is>
      </c>
      <c r="D3645" t="n">
        <v>1531</v>
      </c>
    </row>
    <row r="3646">
      <c r="A3646" t="inlineStr">
        <is>
          <t>TC BANCSHARES, INC.</t>
        </is>
      </c>
      <c r="B3646" t="inlineStr">
        <is>
          <t>TCBC</t>
        </is>
      </c>
      <c r="C3646" t="inlineStr">
        <is>
          <t>TC BANCSHARES, INC.</t>
        </is>
      </c>
      <c r="D3646" t="n">
        <v>6035</v>
      </c>
    </row>
    <row r="3647">
      <c r="A3647" t="inlineStr">
        <is>
          <t>TD HOLDINGS, INC.</t>
        </is>
      </c>
      <c r="B3647" t="inlineStr">
        <is>
          <t>GLG</t>
        </is>
      </c>
      <c r="C3647" t="inlineStr">
        <is>
          <t>TD HOLDINGS, INC.</t>
        </is>
      </c>
      <c r="D3647" t="n">
        <v>6021</v>
      </c>
    </row>
    <row r="3648">
      <c r="A3648" t="inlineStr">
        <is>
          <t>TD SYNNEX CORP</t>
        </is>
      </c>
      <c r="B3648" t="inlineStr">
        <is>
          <t>SNX</t>
        </is>
      </c>
      <c r="C3648" t="inlineStr">
        <is>
          <t>TD SYNNEX CORP</t>
        </is>
      </c>
      <c r="D3648" t="n">
        <v>5045</v>
      </c>
    </row>
    <row r="3649">
      <c r="A3649" t="inlineStr">
        <is>
          <t>TDH HOLDINGS, INC.</t>
        </is>
      </c>
      <c r="B3649" t="inlineStr">
        <is>
          <t>PETZ</t>
        </is>
      </c>
      <c r="C3649" t="inlineStr">
        <is>
          <t>TDH HOLDINGS, INC.</t>
        </is>
      </c>
      <c r="D3649" t="n">
        <v>2000</v>
      </c>
    </row>
    <row r="3650">
      <c r="A3650" t="inlineStr">
        <is>
          <t>TE CONNECTIVITY LTD.</t>
        </is>
      </c>
      <c r="B3650" t="inlineStr">
        <is>
          <t>TEL</t>
        </is>
      </c>
      <c r="C3650" t="inlineStr">
        <is>
          <t>TE CONNECTIVITY LTD.</t>
        </is>
      </c>
      <c r="D3650" t="n">
        <v>5065</v>
      </c>
    </row>
    <row r="3651">
      <c r="A3651" t="inlineStr">
        <is>
          <t>TEAM INC</t>
        </is>
      </c>
      <c r="B3651" t="inlineStr">
        <is>
          <t>TISI</t>
        </is>
      </c>
      <c r="C3651" t="inlineStr">
        <is>
          <t>TEAM INC</t>
        </is>
      </c>
      <c r="D3651" t="n">
        <v>7600</v>
      </c>
    </row>
    <row r="3652">
      <c r="A3652" t="inlineStr">
        <is>
          <t>TECH &amp; ENERGY TRANSITION CORP</t>
        </is>
      </c>
      <c r="B3652" t="inlineStr">
        <is>
          <t>TETC</t>
        </is>
      </c>
      <c r="C3652" t="inlineStr">
        <is>
          <t>TECH &amp; ENERGY TRANSITION CORP</t>
        </is>
      </c>
      <c r="D3652" t="n">
        <v>6770</v>
      </c>
    </row>
    <row r="3653">
      <c r="A3653" t="inlineStr">
        <is>
          <t>TECHNIPFMC PLC</t>
        </is>
      </c>
      <c r="B3653" t="inlineStr">
        <is>
          <t>FTI</t>
        </is>
      </c>
      <c r="C3653" t="inlineStr">
        <is>
          <t>TECHNIPFMC PLC</t>
        </is>
      </c>
      <c r="D3653" t="n">
        <v>3533</v>
      </c>
    </row>
    <row r="3654">
      <c r="A3654" t="inlineStr">
        <is>
          <t>TECHPRECISION CORP</t>
        </is>
      </c>
      <c r="B3654" t="inlineStr">
        <is>
          <t>TPCS</t>
        </is>
      </c>
      <c r="C3654" t="inlineStr">
        <is>
          <t>TECHPRECISION CORP</t>
        </is>
      </c>
      <c r="D3654" t="n">
        <v>3440</v>
      </c>
    </row>
    <row r="3655">
      <c r="A3655" t="inlineStr">
        <is>
          <t>TECHTARGET INC</t>
        </is>
      </c>
      <c r="B3655" t="inlineStr">
        <is>
          <t>TTGT</t>
        </is>
      </c>
      <c r="C3655" t="inlineStr">
        <is>
          <t>TECHTARGET INC</t>
        </is>
      </c>
      <c r="D3655" t="n">
        <v>7389</v>
      </c>
    </row>
    <row r="3656">
      <c r="A3656" t="inlineStr">
        <is>
          <t>TECNOGLASS INC.</t>
        </is>
      </c>
      <c r="B3656" t="inlineStr">
        <is>
          <t>TGLS</t>
        </is>
      </c>
      <c r="C3656" t="inlineStr">
        <is>
          <t>TECNOGLASS INC.</t>
        </is>
      </c>
      <c r="D3656" t="n">
        <v>3211</v>
      </c>
    </row>
    <row r="3657">
      <c r="A3657" t="inlineStr">
        <is>
          <t>TECOGEN INC.</t>
        </is>
      </c>
      <c r="B3657" t="inlineStr">
        <is>
          <t>TGEN</t>
        </is>
      </c>
      <c r="C3657" t="inlineStr">
        <is>
          <t>TECOGEN INC.</t>
        </is>
      </c>
      <c r="D3657" t="n">
        <v>3585</v>
      </c>
    </row>
    <row r="3658">
      <c r="A3658" t="inlineStr">
        <is>
          <t>TECTONIC FINANCIAL, INC.</t>
        </is>
      </c>
      <c r="B3658" t="inlineStr">
        <is>
          <t>TECTP</t>
        </is>
      </c>
      <c r="C3658" t="inlineStr">
        <is>
          <t>TECTONIC FINANCIAL, INC.</t>
        </is>
      </c>
      <c r="D3658" t="n">
        <v>6022</v>
      </c>
    </row>
    <row r="3659">
      <c r="A3659" t="inlineStr">
        <is>
          <t>TEEKAY CORP</t>
        </is>
      </c>
      <c r="B3659" t="inlineStr">
        <is>
          <t>TK</t>
        </is>
      </c>
      <c r="C3659" t="inlineStr">
        <is>
          <t>TEEKAY CORP</t>
        </is>
      </c>
      <c r="D3659" t="n">
        <v>4412</v>
      </c>
    </row>
    <row r="3660">
      <c r="A3660" t="inlineStr">
        <is>
          <t>TEEKAY TANKERS LTD.</t>
        </is>
      </c>
      <c r="B3660" t="inlineStr">
        <is>
          <t>TNK</t>
        </is>
      </c>
      <c r="C3660" t="inlineStr">
        <is>
          <t>TEEKAY TANKERS LTD.</t>
        </is>
      </c>
      <c r="D3660" t="n">
        <v>4400</v>
      </c>
    </row>
    <row r="3661">
      <c r="A3661" t="inlineStr">
        <is>
          <t>TEGNA INC</t>
        </is>
      </c>
      <c r="B3661" t="inlineStr">
        <is>
          <t>TGNA</t>
        </is>
      </c>
      <c r="C3661" t="inlineStr">
        <is>
          <t>TEGNA INC</t>
        </is>
      </c>
      <c r="D3661" t="n">
        <v>4833</v>
      </c>
    </row>
    <row r="3662">
      <c r="A3662" t="inlineStr">
        <is>
          <t>TEJON RANCH CO</t>
        </is>
      </c>
      <c r="B3662" t="inlineStr">
        <is>
          <t>TRC</t>
        </is>
      </c>
      <c r="C3662" t="inlineStr">
        <is>
          <t>TEJON RANCH CO</t>
        </is>
      </c>
      <c r="D3662" t="n">
        <v>6500</v>
      </c>
    </row>
    <row r="3663">
      <c r="A3663" t="inlineStr">
        <is>
          <t>TELA BIO, INC.</t>
        </is>
      </c>
      <c r="B3663" t="inlineStr">
        <is>
          <t>TELA</t>
        </is>
      </c>
      <c r="C3663" t="inlineStr">
        <is>
          <t>TELA BIO, INC.</t>
        </is>
      </c>
      <c r="D3663" t="n">
        <v>3841</v>
      </c>
    </row>
    <row r="3664">
      <c r="A3664" t="inlineStr">
        <is>
          <t>TELADOC HEALTH, INC.</t>
        </is>
      </c>
      <c r="B3664" t="inlineStr">
        <is>
          <t>TDOC</t>
        </is>
      </c>
      <c r="C3664" t="inlineStr">
        <is>
          <t>TELADOC HEALTH, INC.</t>
        </is>
      </c>
      <c r="D3664" t="n">
        <v>8011</v>
      </c>
    </row>
    <row r="3665">
      <c r="A3665" t="inlineStr">
        <is>
          <t>TELEDYNE TECHNOLOGIES INC</t>
        </is>
      </c>
      <c r="B3665" t="inlineStr">
        <is>
          <t>TDY</t>
        </is>
      </c>
      <c r="C3665" t="inlineStr">
        <is>
          <t>TELEDYNE TECHNOLOGIES INC</t>
        </is>
      </c>
      <c r="D3665" t="n">
        <v>3812</v>
      </c>
    </row>
    <row r="3666">
      <c r="A3666" t="inlineStr">
        <is>
          <t>TELEFLEX INC</t>
        </is>
      </c>
      <c r="B3666" t="inlineStr">
        <is>
          <t>TFX</t>
        </is>
      </c>
      <c r="C3666" t="inlineStr">
        <is>
          <t>TELEFLEX INC</t>
        </is>
      </c>
      <c r="D3666" t="n">
        <v>3841</v>
      </c>
    </row>
    <row r="3667">
      <c r="A3667" t="inlineStr">
        <is>
          <t>TELEPHONE &amp; DATA SYSTEMS INC /DE/</t>
        </is>
      </c>
      <c r="B3667" t="inlineStr">
        <is>
          <t>TDS</t>
        </is>
      </c>
      <c r="C3667" t="inlineStr">
        <is>
          <t>TELEPHONE &amp; DATA SYSTEMS INC /DE/</t>
        </is>
      </c>
      <c r="D3667" t="n">
        <v>4813</v>
      </c>
    </row>
    <row r="3668">
      <c r="A3668" t="inlineStr">
        <is>
          <t>TELLURIAN INC. /DE/</t>
        </is>
      </c>
      <c r="B3668" t="inlineStr">
        <is>
          <t>TELL</t>
        </is>
      </c>
      <c r="C3668" t="inlineStr">
        <is>
          <t>TELLURIAN INC. /DE/</t>
        </is>
      </c>
      <c r="D3668" t="n">
        <v>1311</v>
      </c>
    </row>
    <row r="3669">
      <c r="A3669" t="inlineStr">
        <is>
          <t>TELOS CORP</t>
        </is>
      </c>
      <c r="B3669" t="inlineStr">
        <is>
          <t>TLS</t>
        </is>
      </c>
      <c r="C3669" t="inlineStr">
        <is>
          <t>TELOS CORP</t>
        </is>
      </c>
      <c r="D3669" t="n">
        <v>7373</v>
      </c>
    </row>
    <row r="3670">
      <c r="A3670" t="inlineStr">
        <is>
          <t>TEMPUR SEALY INTERNATIONAL, INC.</t>
        </is>
      </c>
      <c r="B3670" t="inlineStr">
        <is>
          <t>TPX</t>
        </is>
      </c>
      <c r="C3670" t="inlineStr">
        <is>
          <t>TEMPUR SEALY INTERNATIONAL, INC.</t>
        </is>
      </c>
      <c r="D3670" t="n">
        <v>2510</v>
      </c>
    </row>
    <row r="3671">
      <c r="A3671" t="inlineStr">
        <is>
          <t>TENABLE HOLDINGS, INC.</t>
        </is>
      </c>
      <c r="B3671" t="inlineStr">
        <is>
          <t>TENB</t>
        </is>
      </c>
      <c r="C3671" t="inlineStr">
        <is>
          <t>TENABLE HOLDINGS, INC.</t>
        </is>
      </c>
      <c r="D3671" t="n">
        <v>7372</v>
      </c>
    </row>
    <row r="3672">
      <c r="A3672" t="inlineStr">
        <is>
          <t>TENET HEALTHCARE CORP</t>
        </is>
      </c>
      <c r="B3672" t="inlineStr">
        <is>
          <t>THC</t>
        </is>
      </c>
      <c r="C3672" t="inlineStr">
        <is>
          <t>TENET HEALTHCARE CORP</t>
        </is>
      </c>
      <c r="D3672" t="n">
        <v>8062</v>
      </c>
    </row>
    <row r="3673">
      <c r="A3673" t="inlineStr">
        <is>
          <t>TENNANT CO</t>
        </is>
      </c>
      <c r="B3673" t="inlineStr">
        <is>
          <t>TNC</t>
        </is>
      </c>
      <c r="C3673" t="inlineStr">
        <is>
          <t>TENNANT CO</t>
        </is>
      </c>
      <c r="D3673" t="n">
        <v>3580</v>
      </c>
    </row>
    <row r="3674">
      <c r="A3674" t="inlineStr">
        <is>
          <t>TENNECO INC</t>
        </is>
      </c>
      <c r="B3674" t="inlineStr">
        <is>
          <t>TEN</t>
        </is>
      </c>
      <c r="C3674" t="inlineStr">
        <is>
          <t>TENNECO INC</t>
        </is>
      </c>
      <c r="D3674" t="n">
        <v>3714</v>
      </c>
    </row>
    <row r="3675">
      <c r="A3675" t="inlineStr">
        <is>
          <t>TENZING ACQUISITION CORP.</t>
        </is>
      </c>
      <c r="B3675" t="inlineStr">
        <is>
          <t>RVPH</t>
        </is>
      </c>
      <c r="C3675" t="inlineStr">
        <is>
          <t>TENZING ACQUISITION CORP.</t>
        </is>
      </c>
      <c r="D3675" t="n">
        <v>6770</v>
      </c>
    </row>
    <row r="3676">
      <c r="A3676" t="inlineStr">
        <is>
          <t>TERADATA CORP /DE/</t>
        </is>
      </c>
      <c r="B3676" t="inlineStr">
        <is>
          <t>TDC</t>
        </is>
      </c>
      <c r="C3676" t="inlineStr">
        <is>
          <t>TERADATA CORP /DE/</t>
        </is>
      </c>
      <c r="D3676" t="n">
        <v>7372</v>
      </c>
    </row>
    <row r="3677">
      <c r="A3677" t="inlineStr">
        <is>
          <t>TERADYNE, INC</t>
        </is>
      </c>
      <c r="B3677" t="inlineStr">
        <is>
          <t>TER</t>
        </is>
      </c>
      <c r="C3677" t="inlineStr">
        <is>
          <t>TERADYNE, INC</t>
        </is>
      </c>
      <c r="D3677" t="n">
        <v>3825</v>
      </c>
    </row>
    <row r="3678">
      <c r="A3678" t="inlineStr">
        <is>
          <t>TEREX CORP</t>
        </is>
      </c>
      <c r="B3678" t="inlineStr">
        <is>
          <t>TEX</t>
        </is>
      </c>
      <c r="C3678" t="inlineStr">
        <is>
          <t>TEREX CORP</t>
        </is>
      </c>
      <c r="D3678" t="n">
        <v>3537</v>
      </c>
    </row>
    <row r="3679">
      <c r="A3679" t="inlineStr">
        <is>
          <t>TERMINIX GLOBAL HOLDINGS INC</t>
        </is>
      </c>
      <c r="B3679" t="inlineStr">
        <is>
          <t>TMX</t>
        </is>
      </c>
      <c r="C3679" t="inlineStr">
        <is>
          <t>TERMINIX GLOBAL HOLDINGS INC</t>
        </is>
      </c>
      <c r="D3679" t="n">
        <v>8741</v>
      </c>
    </row>
    <row r="3680">
      <c r="A3680" t="inlineStr">
        <is>
          <t>TERRENO REALTY CORP</t>
        </is>
      </c>
      <c r="B3680" t="inlineStr">
        <is>
          <t>TRNO</t>
        </is>
      </c>
      <c r="C3680" t="inlineStr">
        <is>
          <t>TERRENO REALTY CORP</t>
        </is>
      </c>
      <c r="D3680" t="n">
        <v>6500</v>
      </c>
    </row>
    <row r="3681">
      <c r="A3681" t="inlineStr">
        <is>
          <t>TERRITORIAL BANCORP INC.</t>
        </is>
      </c>
      <c r="B3681" t="inlineStr">
        <is>
          <t>TBNK</t>
        </is>
      </c>
      <c r="C3681" t="inlineStr">
        <is>
          <t>TERRITORIAL BANCORP INC.</t>
        </is>
      </c>
      <c r="D3681" t="n">
        <v>6035</v>
      </c>
    </row>
    <row r="3682">
      <c r="A3682" t="inlineStr">
        <is>
          <t>TESLA, INC.</t>
        </is>
      </c>
      <c r="B3682" t="inlineStr">
        <is>
          <t>TSLA</t>
        </is>
      </c>
      <c r="C3682" t="inlineStr">
        <is>
          <t>TESLA, INC.</t>
        </is>
      </c>
      <c r="D3682" t="n">
        <v>3711</v>
      </c>
    </row>
    <row r="3683">
      <c r="A3683" t="inlineStr">
        <is>
          <t>TESSCO TECHNOLOGIES INC</t>
        </is>
      </c>
      <c r="B3683" t="inlineStr">
        <is>
          <t>TESS</t>
        </is>
      </c>
      <c r="C3683" t="inlineStr">
        <is>
          <t>TESSCO TECHNOLOGIES INC</t>
        </is>
      </c>
      <c r="D3683" t="n">
        <v>5065</v>
      </c>
    </row>
    <row r="3684">
      <c r="A3684" t="inlineStr">
        <is>
          <t>TETRA TECH INC</t>
        </is>
      </c>
      <c r="B3684" t="inlineStr">
        <is>
          <t>TTEK</t>
        </is>
      </c>
      <c r="C3684" t="inlineStr">
        <is>
          <t>TETRA TECH INC</t>
        </is>
      </c>
      <c r="D3684" t="n">
        <v>8711</v>
      </c>
    </row>
    <row r="3685">
      <c r="A3685" t="inlineStr">
        <is>
          <t>TETRA TECHNOLOGIES INC</t>
        </is>
      </c>
      <c r="B3685" t="inlineStr">
        <is>
          <t>TTI</t>
        </is>
      </c>
      <c r="C3685" t="inlineStr">
        <is>
          <t>TETRA TECHNOLOGIES INC</t>
        </is>
      </c>
      <c r="D3685" t="n">
        <v>1311</v>
      </c>
    </row>
    <row r="3686">
      <c r="A3686" t="inlineStr">
        <is>
          <t>TEVA PHARMACEUTICAL INDUSTRIES LTD</t>
        </is>
      </c>
      <c r="B3686" t="inlineStr">
        <is>
          <t>TEVA</t>
        </is>
      </c>
      <c r="C3686" t="inlineStr">
        <is>
          <t>TEVA PHARMACEUTICAL INDUSTRIES LTD</t>
        </is>
      </c>
      <c r="D3686" t="n">
        <v>2834</v>
      </c>
    </row>
    <row r="3687">
      <c r="A3687" t="inlineStr">
        <is>
          <t>TEXAS CAPITAL BANCSHARES INC/TX</t>
        </is>
      </c>
      <c r="B3687" t="inlineStr">
        <is>
          <t>TCBI</t>
        </is>
      </c>
      <c r="C3687" t="inlineStr">
        <is>
          <t>TEXAS CAPITAL BANCSHARES INC/TX</t>
        </is>
      </c>
      <c r="D3687" t="n">
        <v>6022</v>
      </c>
    </row>
    <row r="3688">
      <c r="A3688" t="inlineStr">
        <is>
          <t>TEXAS COMMUNITY BANCSHARES, INC.</t>
        </is>
      </c>
      <c r="B3688" t="inlineStr">
        <is>
          <t>TCBS</t>
        </is>
      </c>
      <c r="C3688" t="inlineStr">
        <is>
          <t>TEXAS COMMUNITY BANCSHARES, INC.</t>
        </is>
      </c>
      <c r="D3688" t="n">
        <v>6036</v>
      </c>
    </row>
    <row r="3689">
      <c r="A3689" t="inlineStr">
        <is>
          <t>TEXAS INSTRUMENTS INC</t>
        </is>
      </c>
      <c r="B3689" t="inlineStr">
        <is>
          <t>TXN</t>
        </is>
      </c>
      <c r="C3689" t="inlineStr">
        <is>
          <t>TEXAS INSTRUMENTS INC</t>
        </is>
      </c>
      <c r="D3689" t="n">
        <v>3674</v>
      </c>
    </row>
    <row r="3690">
      <c r="A3690" t="inlineStr">
        <is>
          <t>TEXAS PACIFIC LAND CORP</t>
        </is>
      </c>
      <c r="B3690" t="inlineStr">
        <is>
          <t>TPL</t>
        </is>
      </c>
      <c r="C3690" t="inlineStr">
        <is>
          <t>TEXAS PACIFIC LAND CORP</t>
        </is>
      </c>
      <c r="D3690" t="n">
        <v>6792</v>
      </c>
    </row>
    <row r="3691">
      <c r="A3691" t="inlineStr">
        <is>
          <t>TEXAS ROADHOUSE, INC.</t>
        </is>
      </c>
      <c r="B3691" t="inlineStr">
        <is>
          <t>TXRH</t>
        </is>
      </c>
      <c r="C3691" t="inlineStr">
        <is>
          <t>TEXAS ROADHOUSE, INC.</t>
        </is>
      </c>
      <c r="D3691" t="n">
        <v>5812</v>
      </c>
    </row>
    <row r="3692">
      <c r="A3692" t="inlineStr">
        <is>
          <t>TEXTRON INC</t>
        </is>
      </c>
      <c r="B3692" t="inlineStr">
        <is>
          <t>TXT</t>
        </is>
      </c>
      <c r="C3692" t="inlineStr">
        <is>
          <t>TEXTRON INC</t>
        </is>
      </c>
      <c r="D3692" t="n">
        <v>3720</v>
      </c>
    </row>
    <row r="3693">
      <c r="A3693" t="inlineStr">
        <is>
          <t>TFF PHARMACEUTICALS, INC.</t>
        </is>
      </c>
      <c r="B3693" t="inlineStr">
        <is>
          <t>TFFP</t>
        </is>
      </c>
      <c r="C3693" t="inlineStr">
        <is>
          <t>TFF PHARMACEUTICALS, INC.</t>
        </is>
      </c>
      <c r="D3693" t="n">
        <v>2834</v>
      </c>
    </row>
    <row r="3694">
      <c r="A3694" t="inlineStr">
        <is>
          <t>TFS FINANCIAL CORP</t>
        </is>
      </c>
      <c r="B3694" t="inlineStr">
        <is>
          <t>TFSL</t>
        </is>
      </c>
      <c r="C3694" t="inlineStr">
        <is>
          <t>TFS FINANCIAL CORP</t>
        </is>
      </c>
      <c r="D3694" t="n">
        <v>6035</v>
      </c>
    </row>
    <row r="3695">
      <c r="A3695" t="inlineStr">
        <is>
          <t>TG THERAPEUTICS, INC.</t>
        </is>
      </c>
      <c r="B3695" t="inlineStr">
        <is>
          <t>TGTX</t>
        </is>
      </c>
      <c r="C3695" t="inlineStr">
        <is>
          <t>TG THERAPEUTICS, INC.</t>
        </is>
      </c>
      <c r="D3695" t="n">
        <v>2834</v>
      </c>
    </row>
    <row r="3696">
      <c r="A3696" t="inlineStr">
        <is>
          <t>THERAPEUTICSMD, INC.</t>
        </is>
      </c>
      <c r="B3696" t="inlineStr">
        <is>
          <t>TXMD</t>
        </is>
      </c>
      <c r="C3696" t="inlineStr">
        <is>
          <t>THERAPEUTICSMD, INC.</t>
        </is>
      </c>
      <c r="D3696" t="n">
        <v>2834</v>
      </c>
    </row>
    <row r="3697">
      <c r="A3697" t="inlineStr">
        <is>
          <t>THERAVANCE BIOPHARMA, INC.</t>
        </is>
      </c>
      <c r="B3697" t="inlineStr">
        <is>
          <t>TBPH</t>
        </is>
      </c>
      <c r="C3697" t="inlineStr">
        <is>
          <t>THERAVANCE BIOPHARMA, INC.</t>
        </is>
      </c>
      <c r="D3697" t="n">
        <v>2834</v>
      </c>
    </row>
    <row r="3698">
      <c r="A3698" t="inlineStr">
        <is>
          <t>THEREALREAL, INC.</t>
        </is>
      </c>
      <c r="B3698" t="inlineStr">
        <is>
          <t>REAL</t>
        </is>
      </c>
      <c r="C3698" t="inlineStr">
        <is>
          <t>THEREALREAL, INC.</t>
        </is>
      </c>
      <c r="D3698" t="n">
        <v>5900</v>
      </c>
    </row>
    <row r="3699">
      <c r="A3699" t="inlineStr">
        <is>
          <t>THERMO FISHER SCIENTIFIC INC.</t>
        </is>
      </c>
      <c r="B3699" t="inlineStr">
        <is>
          <t>TMO</t>
        </is>
      </c>
      <c r="C3699" t="inlineStr">
        <is>
          <t>THERMO FISHER SCIENTIFIC INC.</t>
        </is>
      </c>
      <c r="D3699" t="n">
        <v>3829</v>
      </c>
    </row>
    <row r="3700">
      <c r="A3700" t="inlineStr">
        <is>
          <t>THERMON GROUP HOLDINGS, INC.</t>
        </is>
      </c>
      <c r="B3700" t="inlineStr">
        <is>
          <t>THR</t>
        </is>
      </c>
      <c r="C3700" t="inlineStr">
        <is>
          <t>THERMON GROUP HOLDINGS, INC.</t>
        </is>
      </c>
      <c r="D3700" t="n">
        <v>3620</v>
      </c>
    </row>
    <row r="3701">
      <c r="A3701" t="inlineStr">
        <is>
          <t>THIRD COAST BANCSHARES, INC.</t>
        </is>
      </c>
      <c r="B3701" t="inlineStr">
        <is>
          <t>TCBX</t>
        </is>
      </c>
      <c r="C3701" t="inlineStr">
        <is>
          <t>THIRD COAST BANCSHARES, INC.</t>
        </is>
      </c>
      <c r="D3701" t="n">
        <v>6036</v>
      </c>
    </row>
    <row r="3702">
      <c r="A3702" t="inlineStr">
        <is>
          <t>THOR INDUSTRIES INC</t>
        </is>
      </c>
      <c r="B3702" t="inlineStr">
        <is>
          <t>THO</t>
        </is>
      </c>
      <c r="C3702" t="inlineStr">
        <is>
          <t>THOR INDUSTRIES INC</t>
        </is>
      </c>
      <c r="D3702" t="n">
        <v>3716</v>
      </c>
    </row>
    <row r="3703">
      <c r="A3703" t="inlineStr">
        <is>
          <t>THORNE HEALTHTECH, INC.</t>
        </is>
      </c>
      <c r="B3703" t="inlineStr">
        <is>
          <t>THRN</t>
        </is>
      </c>
      <c r="C3703" t="inlineStr">
        <is>
          <t>THORNE HEALTHTECH, INC.</t>
        </is>
      </c>
      <c r="D3703" t="n">
        <v>2834</v>
      </c>
    </row>
    <row r="3704">
      <c r="A3704" t="inlineStr">
        <is>
          <t>THOUGHTWORKS HOLDING, INC.</t>
        </is>
      </c>
      <c r="B3704" t="inlineStr">
        <is>
          <t>TWKS</t>
        </is>
      </c>
      <c r="C3704" t="inlineStr">
        <is>
          <t>THOUGHTWORKS HOLDING, INC.</t>
        </is>
      </c>
      <c r="D3704" t="n">
        <v>7371</v>
      </c>
    </row>
    <row r="3705">
      <c r="A3705" t="inlineStr">
        <is>
          <t>THREDUP INC.</t>
        </is>
      </c>
      <c r="B3705" t="inlineStr">
        <is>
          <t>TDUP</t>
        </is>
      </c>
      <c r="C3705" t="inlineStr">
        <is>
          <t>THREDUP INC.</t>
        </is>
      </c>
      <c r="D3705" t="n">
        <v>5961</v>
      </c>
    </row>
    <row r="3706">
      <c r="A3706" t="inlineStr">
        <is>
          <t>THRYV HOLDINGS, INC.</t>
        </is>
      </c>
      <c r="B3706" t="inlineStr">
        <is>
          <t>THRY</t>
        </is>
      </c>
      <c r="C3706" t="inlineStr">
        <is>
          <t>THRYV HOLDINGS, INC.</t>
        </is>
      </c>
      <c r="D3706" t="n">
        <v>7310</v>
      </c>
    </row>
    <row r="3707">
      <c r="A3707" t="inlineStr">
        <is>
          <t>TIDEWATER INC</t>
        </is>
      </c>
      <c r="B3707" t="inlineStr">
        <is>
          <t>TDW</t>
        </is>
      </c>
      <c r="C3707" t="inlineStr">
        <is>
          <t>TIDEWATER INC</t>
        </is>
      </c>
      <c r="D3707" t="n">
        <v>4400</v>
      </c>
    </row>
    <row r="3708">
      <c r="A3708" t="inlineStr">
        <is>
          <t>TILE SHOP HOLDINGS, INC.</t>
        </is>
      </c>
      <c r="B3708" t="inlineStr">
        <is>
          <t>TTSH</t>
        </is>
      </c>
      <c r="C3708" t="inlineStr">
        <is>
          <t>TILE SHOP HOLDINGS, INC.</t>
        </is>
      </c>
      <c r="D3708" t="n">
        <v>5700</v>
      </c>
    </row>
    <row r="3709">
      <c r="A3709" t="inlineStr">
        <is>
          <t>TILLY'S, INC.</t>
        </is>
      </c>
      <c r="B3709" t="inlineStr">
        <is>
          <t>TLYS</t>
        </is>
      </c>
      <c r="C3709" t="inlineStr">
        <is>
          <t>TILLY'S, INC.</t>
        </is>
      </c>
      <c r="D3709" t="n">
        <v>5600</v>
      </c>
    </row>
    <row r="3710">
      <c r="A3710" t="inlineStr">
        <is>
          <t>TILRAY, INC.</t>
        </is>
      </c>
      <c r="B3710" t="inlineStr">
        <is>
          <t>TLRY</t>
        </is>
      </c>
      <c r="C3710" t="inlineStr">
        <is>
          <t>TILRAY, INC.</t>
        </is>
      </c>
      <c r="D3710" t="n">
        <v>2833</v>
      </c>
    </row>
    <row r="3711">
      <c r="A3711" t="inlineStr">
        <is>
          <t>TIMBER PHARMACEUTICALS, INC.</t>
        </is>
      </c>
      <c r="B3711" t="inlineStr">
        <is>
          <t>TMBR</t>
        </is>
      </c>
      <c r="C3711" t="inlineStr">
        <is>
          <t>TIMBER PHARMACEUTICALS, INC.</t>
        </is>
      </c>
      <c r="D3711" t="n">
        <v>2834</v>
      </c>
    </row>
    <row r="3712">
      <c r="A3712" t="inlineStr">
        <is>
          <t>TIMBERLAND BANCORP INC</t>
        </is>
      </c>
      <c r="B3712" t="inlineStr">
        <is>
          <t>TSBK</t>
        </is>
      </c>
      <c r="C3712" t="inlineStr">
        <is>
          <t>TIMBERLAND BANCORP INC</t>
        </is>
      </c>
      <c r="D3712" t="n">
        <v>6036</v>
      </c>
    </row>
    <row r="3713">
      <c r="A3713" t="inlineStr">
        <is>
          <t>TIMKEN CO</t>
        </is>
      </c>
      <c r="B3713" t="inlineStr">
        <is>
          <t>TKR</t>
        </is>
      </c>
      <c r="C3713" t="inlineStr">
        <is>
          <t>TIMKEN CO</t>
        </is>
      </c>
      <c r="D3713" t="n">
        <v>3562</v>
      </c>
    </row>
    <row r="3714">
      <c r="A3714" t="inlineStr">
        <is>
          <t>TIMKENSTEEL CORP</t>
        </is>
      </c>
      <c r="B3714" t="inlineStr">
        <is>
          <t>TMST</t>
        </is>
      </c>
      <c r="C3714" t="inlineStr">
        <is>
          <t>TIMKENSTEEL CORP</t>
        </is>
      </c>
      <c r="D3714" t="n">
        <v>3312</v>
      </c>
    </row>
    <row r="3715">
      <c r="A3715" t="inlineStr">
        <is>
          <t>TIPTREE INC.</t>
        </is>
      </c>
      <c r="B3715" t="inlineStr">
        <is>
          <t>TIPT</t>
        </is>
      </c>
      <c r="C3715" t="inlineStr">
        <is>
          <t>TIPTREE INC.</t>
        </is>
      </c>
      <c r="D3715" t="n">
        <v>6331</v>
      </c>
    </row>
    <row r="3716">
      <c r="A3716" t="inlineStr">
        <is>
          <t>TITAN INTERNATIONAL INC</t>
        </is>
      </c>
      <c r="B3716" t="inlineStr">
        <is>
          <t>TWI</t>
        </is>
      </c>
      <c r="C3716" t="inlineStr">
        <is>
          <t>TITAN INTERNATIONAL INC</t>
        </is>
      </c>
      <c r="D3716" t="n">
        <v>3312</v>
      </c>
    </row>
    <row r="3717">
      <c r="A3717" t="inlineStr">
        <is>
          <t>TITAN MACHINERY INC.</t>
        </is>
      </c>
      <c r="B3717" t="inlineStr">
        <is>
          <t>TITN</t>
        </is>
      </c>
      <c r="C3717" t="inlineStr">
        <is>
          <t>TITAN MACHINERY INC.</t>
        </is>
      </c>
      <c r="D3717" t="n">
        <v>5990</v>
      </c>
    </row>
    <row r="3718">
      <c r="A3718" t="inlineStr">
        <is>
          <t>TJX COMPANIES INC /DE/</t>
        </is>
      </c>
      <c r="B3718" t="inlineStr">
        <is>
          <t>TJX</t>
        </is>
      </c>
      <c r="C3718" t="inlineStr">
        <is>
          <t>TJX COMPANIES INC /DE/</t>
        </is>
      </c>
      <c r="D3718" t="n">
        <v>5651</v>
      </c>
    </row>
    <row r="3719">
      <c r="A3719" t="inlineStr">
        <is>
          <t>TOAST, INC.</t>
        </is>
      </c>
      <c r="B3719" t="inlineStr">
        <is>
          <t>TOST</t>
        </is>
      </c>
      <c r="C3719" t="inlineStr">
        <is>
          <t>TOAST, INC.</t>
        </is>
      </c>
      <c r="D3719" t="n">
        <v>7374</v>
      </c>
    </row>
    <row r="3720">
      <c r="A3720" t="inlineStr">
        <is>
          <t>TOLL BROTHERS, INC.</t>
        </is>
      </c>
      <c r="B3720" t="inlineStr">
        <is>
          <t>TOL</t>
        </is>
      </c>
      <c r="C3720" t="inlineStr">
        <is>
          <t>TOLL BROTHERS, INC.</t>
        </is>
      </c>
      <c r="D3720" t="n">
        <v>1531</v>
      </c>
    </row>
    <row r="3721">
      <c r="A3721" t="inlineStr">
        <is>
          <t>TOMI ENVIRONMENTAL SOLUTIONS, INC.</t>
        </is>
      </c>
      <c r="B3721" t="inlineStr">
        <is>
          <t>TOMZ</t>
        </is>
      </c>
      <c r="C3721" t="inlineStr">
        <is>
          <t>TOMI ENVIRONMENTAL SOLUTIONS, INC.</t>
        </is>
      </c>
      <c r="D3721" t="n">
        <v>2860</v>
      </c>
    </row>
    <row r="3722">
      <c r="A3722" t="inlineStr">
        <is>
          <t>TOMPKINS FINANCIAL CORP</t>
        </is>
      </c>
      <c r="B3722" t="inlineStr">
        <is>
          <t>TMP</t>
        </is>
      </c>
      <c r="C3722" t="inlineStr">
        <is>
          <t>TOMPKINS FINANCIAL CORP</t>
        </is>
      </c>
      <c r="D3722" t="n">
        <v>6022</v>
      </c>
    </row>
    <row r="3723">
      <c r="A3723" t="inlineStr">
        <is>
          <t>TOOTSIE ROLL INDUSTRIES INC</t>
        </is>
      </c>
      <c r="B3723" t="inlineStr">
        <is>
          <t>TR</t>
        </is>
      </c>
      <c r="C3723" t="inlineStr">
        <is>
          <t>TOOTSIE ROLL INDUSTRIES INC</t>
        </is>
      </c>
      <c r="D3723" t="n">
        <v>2060</v>
      </c>
    </row>
    <row r="3724">
      <c r="A3724" t="inlineStr">
        <is>
          <t>TOP SHIPS INC.</t>
        </is>
      </c>
      <c r="B3724" t="inlineStr">
        <is>
          <t>TOPS</t>
        </is>
      </c>
      <c r="C3724" t="inlineStr">
        <is>
          <t>TOP SHIPS INC.</t>
        </is>
      </c>
      <c r="D3724" t="n">
        <v>4412</v>
      </c>
    </row>
    <row r="3725">
      <c r="A3725" t="inlineStr">
        <is>
          <t>TOPBUILD CORP</t>
        </is>
      </c>
      <c r="B3725" t="inlineStr">
        <is>
          <t>BLD</t>
        </is>
      </c>
      <c r="C3725" t="inlineStr">
        <is>
          <t>TOPBUILD CORP</t>
        </is>
      </c>
      <c r="D3725" t="n">
        <v>1700</v>
      </c>
    </row>
    <row r="3726">
      <c r="A3726" t="inlineStr">
        <is>
          <t>TORO CO</t>
        </is>
      </c>
      <c r="B3726" t="inlineStr">
        <is>
          <t>TTC</t>
        </is>
      </c>
      <c r="C3726" t="inlineStr">
        <is>
          <t>TORO CO</t>
        </is>
      </c>
      <c r="D3726" t="n">
        <v>3524</v>
      </c>
    </row>
    <row r="3727">
      <c r="A3727" t="inlineStr">
        <is>
          <t>TORRID HOLDINGS INC.</t>
        </is>
      </c>
      <c r="B3727" t="inlineStr">
        <is>
          <t>CURV</t>
        </is>
      </c>
      <c r="C3727" t="inlineStr">
        <is>
          <t>TORRID HOLDINGS INC.</t>
        </is>
      </c>
      <c r="D3727" t="n">
        <v>5600</v>
      </c>
    </row>
    <row r="3728">
      <c r="A3728" t="inlineStr">
        <is>
          <t>TOUGHBUILT INDUSTRIES, INC</t>
        </is>
      </c>
      <c r="B3728" t="inlineStr">
        <is>
          <t>TBLT</t>
        </is>
      </c>
      <c r="C3728" t="inlineStr">
        <is>
          <t>TOUGHBUILT INDUSTRIES, INC</t>
        </is>
      </c>
      <c r="D3728" t="n">
        <v>3420</v>
      </c>
    </row>
    <row r="3729">
      <c r="A3729" t="inlineStr">
        <is>
          <t>TOWER SEMICONDUCTOR LTD</t>
        </is>
      </c>
      <c r="B3729" t="inlineStr">
        <is>
          <t>TSEM</t>
        </is>
      </c>
      <c r="C3729" t="inlineStr">
        <is>
          <t>TOWER SEMICONDUCTOR LTD</t>
        </is>
      </c>
      <c r="D3729" t="n">
        <v>3674</v>
      </c>
    </row>
    <row r="3730">
      <c r="A3730" t="inlineStr">
        <is>
          <t>TOWNSQUARE MEDIA, INC.</t>
        </is>
      </c>
      <c r="B3730" t="inlineStr">
        <is>
          <t>TSQ</t>
        </is>
      </c>
      <c r="C3730" t="inlineStr">
        <is>
          <t>TOWNSQUARE MEDIA, INC.</t>
        </is>
      </c>
      <c r="D3730" t="n">
        <v>4832</v>
      </c>
    </row>
    <row r="3731">
      <c r="A3731" t="inlineStr">
        <is>
          <t>TPG RE FINANCE TRUST, INC.</t>
        </is>
      </c>
      <c r="B3731" t="inlineStr">
        <is>
          <t>TRTX</t>
        </is>
      </c>
      <c r="C3731" t="inlineStr">
        <is>
          <t>TPG RE FINANCE TRUST, INC.</t>
        </is>
      </c>
      <c r="D3731" t="n">
        <v>6798</v>
      </c>
    </row>
    <row r="3732">
      <c r="A3732" t="inlineStr">
        <is>
          <t>TPI COMPOSITES, INC</t>
        </is>
      </c>
      <c r="B3732" t="inlineStr">
        <is>
          <t>TPIC</t>
        </is>
      </c>
      <c r="C3732" t="inlineStr">
        <is>
          <t>TPI COMPOSITES, INC</t>
        </is>
      </c>
      <c r="D3732" t="n">
        <v>3510</v>
      </c>
    </row>
    <row r="3733">
      <c r="A3733" t="inlineStr">
        <is>
          <t>TRACTOR SUPPLY CO /DE/</t>
        </is>
      </c>
      <c r="B3733" t="inlineStr">
        <is>
          <t>TSCO</t>
        </is>
      </c>
      <c r="C3733" t="inlineStr">
        <is>
          <t>TRACTOR SUPPLY CO /DE/</t>
        </is>
      </c>
      <c r="D3733" t="n">
        <v>5200</v>
      </c>
    </row>
    <row r="3734">
      <c r="A3734" t="inlineStr">
        <is>
          <t>TRADE DESK, INC.</t>
        </is>
      </c>
      <c r="B3734" t="inlineStr">
        <is>
          <t>TTD</t>
        </is>
      </c>
      <c r="C3734" t="inlineStr">
        <is>
          <t>TRADE DESK, INC.</t>
        </is>
      </c>
      <c r="D3734" t="n">
        <v>7370</v>
      </c>
    </row>
    <row r="3735">
      <c r="A3735" t="inlineStr">
        <is>
          <t>TRADEWEB MARKETS INC.</t>
        </is>
      </c>
      <c r="B3735" t="inlineStr">
        <is>
          <t>TW</t>
        </is>
      </c>
      <c r="C3735" t="inlineStr">
        <is>
          <t>TRADEWEB MARKETS INC.</t>
        </is>
      </c>
      <c r="D3735" t="n">
        <v>6200</v>
      </c>
    </row>
    <row r="3736">
      <c r="A3736" t="inlineStr">
        <is>
          <t>TRAEGER, INC.</t>
        </is>
      </c>
      <c r="B3736" t="inlineStr">
        <is>
          <t>COOK</t>
        </is>
      </c>
      <c r="C3736" t="inlineStr">
        <is>
          <t>TRAEGER, INC.</t>
        </is>
      </c>
      <c r="D3736" t="n">
        <v>3630</v>
      </c>
    </row>
    <row r="3737">
      <c r="A3737" t="inlineStr">
        <is>
          <t>TRANE TECHNOLOGIES PLC</t>
        </is>
      </c>
      <c r="B3737" t="inlineStr">
        <is>
          <t>TT</t>
        </is>
      </c>
      <c r="C3737" t="inlineStr">
        <is>
          <t>TRANE TECHNOLOGIES PLC</t>
        </is>
      </c>
      <c r="D3737" t="n">
        <v>3822</v>
      </c>
    </row>
    <row r="3738">
      <c r="A3738" t="inlineStr">
        <is>
          <t>TRANSACT TECHNOLOGIES INC</t>
        </is>
      </c>
      <c r="B3738" t="inlineStr">
        <is>
          <t>TACT</t>
        </is>
      </c>
      <c r="C3738" t="inlineStr">
        <is>
          <t>TRANSACT TECHNOLOGIES INC</t>
        </is>
      </c>
      <c r="D3738" t="n">
        <v>3577</v>
      </c>
    </row>
    <row r="3739">
      <c r="A3739" t="inlineStr">
        <is>
          <t>TRANSCAT INC</t>
        </is>
      </c>
      <c r="B3739" t="inlineStr">
        <is>
          <t>TRNS</t>
        </is>
      </c>
      <c r="C3739" t="inlineStr">
        <is>
          <t>TRANSCAT INC</t>
        </is>
      </c>
      <c r="D3739" t="n">
        <v>3825</v>
      </c>
    </row>
    <row r="3740">
      <c r="A3740" t="inlineStr">
        <is>
          <t>TRANSCONTINENTAL REALTY INVESTORS INC</t>
        </is>
      </c>
      <c r="B3740" t="inlineStr">
        <is>
          <t>TCI</t>
        </is>
      </c>
      <c r="C3740" t="inlineStr">
        <is>
          <t>TRANSCONTINENTAL REALTY INVESTORS INC</t>
        </is>
      </c>
      <c r="D3740" t="n">
        <v>6798</v>
      </c>
    </row>
    <row r="3741">
      <c r="A3741" t="inlineStr">
        <is>
          <t>TRANSDIGM GROUP INC</t>
        </is>
      </c>
      <c r="B3741" t="inlineStr">
        <is>
          <t>TDG</t>
        </is>
      </c>
      <c r="C3741" t="inlineStr">
        <is>
          <t>TRANSDIGM GROUP INC</t>
        </is>
      </c>
      <c r="D3741" t="n">
        <v>3728</v>
      </c>
    </row>
    <row r="3742">
      <c r="A3742" t="inlineStr">
        <is>
          <t>TRANSMEDICS GROUP, INC.</t>
        </is>
      </c>
      <c r="B3742" t="inlineStr">
        <is>
          <t>TMDX</t>
        </is>
      </c>
      <c r="C3742" t="inlineStr">
        <is>
          <t>TRANSMEDICS GROUP, INC.</t>
        </is>
      </c>
      <c r="D3742" t="n">
        <v>3845</v>
      </c>
    </row>
    <row r="3743">
      <c r="A3743" t="inlineStr">
        <is>
          <t>TRANSOCEAN LTD.</t>
        </is>
      </c>
      <c r="B3743" t="inlineStr">
        <is>
          <t>RIG</t>
        </is>
      </c>
      <c r="C3743" t="inlineStr">
        <is>
          <t>TRANSOCEAN LTD.</t>
        </is>
      </c>
      <c r="D3743" t="n">
        <v>1381</v>
      </c>
    </row>
    <row r="3744">
      <c r="A3744" t="inlineStr">
        <is>
          <t>TRANSUNION</t>
        </is>
      </c>
      <c r="B3744" t="inlineStr">
        <is>
          <t>TRU</t>
        </is>
      </c>
      <c r="C3744" t="inlineStr">
        <is>
          <t>TRANSUNION</t>
        </is>
      </c>
      <c r="D3744" t="n">
        <v>7320</v>
      </c>
    </row>
    <row r="3745">
      <c r="A3745" t="inlineStr">
        <is>
          <t>TRAVEL &amp; LEISURE CO.</t>
        </is>
      </c>
      <c r="B3745" t="inlineStr">
        <is>
          <t>TNL</t>
        </is>
      </c>
      <c r="C3745" t="inlineStr">
        <is>
          <t>TRAVEL &amp; LEISURE CO.</t>
        </is>
      </c>
      <c r="D3745" t="n">
        <v>7011</v>
      </c>
    </row>
    <row r="3746">
      <c r="A3746" t="inlineStr">
        <is>
          <t>TRAVELCENTERS OF AMERICA INC. /MD/</t>
        </is>
      </c>
      <c r="B3746" t="inlineStr">
        <is>
          <t>TA</t>
        </is>
      </c>
      <c r="C3746" t="inlineStr">
        <is>
          <t>TRAVELCENTERS OF AMERICA INC. /MD/</t>
        </is>
      </c>
      <c r="D3746" t="n">
        <v>5500</v>
      </c>
    </row>
    <row r="3747">
      <c r="A3747" t="inlineStr">
        <is>
          <t>TRAVELERS COMPANIES, INC.</t>
        </is>
      </c>
      <c r="B3747" t="inlineStr">
        <is>
          <t>TRV</t>
        </is>
      </c>
      <c r="C3747" t="inlineStr">
        <is>
          <t>TRAVELERS COMPANIES, INC.</t>
        </is>
      </c>
      <c r="D3747" t="n">
        <v>6331</v>
      </c>
    </row>
    <row r="3748">
      <c r="A3748" t="inlineStr">
        <is>
          <t>TRAVELZOO</t>
        </is>
      </c>
      <c r="B3748" t="inlineStr">
        <is>
          <t>TZOO</t>
        </is>
      </c>
      <c r="C3748" t="inlineStr">
        <is>
          <t>TRAVELZOO</t>
        </is>
      </c>
      <c r="D3748" t="n">
        <v>7310</v>
      </c>
    </row>
    <row r="3749">
      <c r="A3749" t="inlineStr">
        <is>
          <t>TRAVERE THERAPEUTICS, INC.</t>
        </is>
      </c>
      <c r="B3749" t="inlineStr">
        <is>
          <t>TVTX</t>
        </is>
      </c>
      <c r="C3749" t="inlineStr">
        <is>
          <t>TRAVERE THERAPEUTICS, INC.</t>
        </is>
      </c>
      <c r="D3749" t="n">
        <v>2834</v>
      </c>
    </row>
    <row r="3750">
      <c r="A3750" t="inlineStr">
        <is>
          <t>TREACE MEDICAL CONCEPTS, INC.</t>
        </is>
      </c>
      <c r="B3750" t="inlineStr">
        <is>
          <t>TMCI</t>
        </is>
      </c>
      <c r="C3750" t="inlineStr">
        <is>
          <t>TREACE MEDICAL CONCEPTS, INC.</t>
        </is>
      </c>
      <c r="D3750" t="n">
        <v>3841</v>
      </c>
    </row>
    <row r="3751">
      <c r="A3751" t="inlineStr">
        <is>
          <t>TREAN INSURANCE GROUP, INC.</t>
        </is>
      </c>
      <c r="B3751" t="inlineStr">
        <is>
          <t>TIG</t>
        </is>
      </c>
      <c r="C3751" t="inlineStr">
        <is>
          <t>TREAN INSURANCE GROUP, INC.</t>
        </is>
      </c>
      <c r="D3751" t="n">
        <v>6331</v>
      </c>
    </row>
    <row r="3752">
      <c r="A3752" t="inlineStr">
        <is>
          <t>TREEHOUSE FOODS, INC.</t>
        </is>
      </c>
      <c r="B3752" t="inlineStr">
        <is>
          <t>THS</t>
        </is>
      </c>
      <c r="C3752" t="inlineStr">
        <is>
          <t>TREEHOUSE FOODS, INC.</t>
        </is>
      </c>
      <c r="D3752" t="n">
        <v>2030</v>
      </c>
    </row>
    <row r="3753">
      <c r="A3753" t="inlineStr">
        <is>
          <t>TREVENA INC</t>
        </is>
      </c>
      <c r="B3753" t="inlineStr">
        <is>
          <t>TRVN</t>
        </is>
      </c>
      <c r="C3753" t="inlineStr">
        <is>
          <t>TREVENA INC</t>
        </is>
      </c>
      <c r="D3753" t="n">
        <v>2834</v>
      </c>
    </row>
    <row r="3754">
      <c r="A3754" t="inlineStr">
        <is>
          <t>TREX CO INC</t>
        </is>
      </c>
      <c r="B3754" t="inlineStr">
        <is>
          <t>TREX</t>
        </is>
      </c>
      <c r="C3754" t="inlineStr">
        <is>
          <t>TREX CO INC</t>
        </is>
      </c>
      <c r="D3754" t="n">
        <v>2400</v>
      </c>
    </row>
    <row r="3755">
      <c r="A3755" t="inlineStr">
        <is>
          <t>TRI POINTE HOMES, INC.</t>
        </is>
      </c>
      <c r="B3755" t="inlineStr">
        <is>
          <t>TPH</t>
        </is>
      </c>
      <c r="C3755" t="inlineStr">
        <is>
          <t>TRI POINTE HOMES, INC.</t>
        </is>
      </c>
      <c r="D3755" t="n">
        <v>1531</v>
      </c>
    </row>
    <row r="3756">
      <c r="A3756" t="inlineStr">
        <is>
          <t>TRICO BANCSHARES /</t>
        </is>
      </c>
      <c r="B3756" t="inlineStr">
        <is>
          <t>TCBK</t>
        </is>
      </c>
      <c r="C3756" t="inlineStr">
        <is>
          <t>TRICO BANCSHARES /</t>
        </is>
      </c>
      <c r="D3756" t="n">
        <v>6022</v>
      </c>
    </row>
    <row r="3757">
      <c r="A3757" t="inlineStr">
        <is>
          <t>TRILOGY INTERNATIONAL PARTNERS INC.</t>
        </is>
      </c>
      <c r="B3757" t="inlineStr">
        <is>
          <t>TLLYF</t>
        </is>
      </c>
      <c r="C3757" t="inlineStr">
        <is>
          <t>TRILOGY INTERNATIONAL PARTNERS INC.</t>
        </is>
      </c>
      <c r="D3757" t="n">
        <v>4812</v>
      </c>
    </row>
    <row r="3758">
      <c r="A3758" t="inlineStr">
        <is>
          <t>TRIMAS CORP</t>
        </is>
      </c>
      <c r="B3758" t="inlineStr">
        <is>
          <t>TRS</t>
        </is>
      </c>
      <c r="C3758" t="inlineStr">
        <is>
          <t>TRIMAS CORP</t>
        </is>
      </c>
      <c r="D3758" t="n">
        <v>3460</v>
      </c>
    </row>
    <row r="3759">
      <c r="A3759" t="inlineStr">
        <is>
          <t>TRIMBLE INC.</t>
        </is>
      </c>
      <c r="B3759" t="inlineStr">
        <is>
          <t>TRMB</t>
        </is>
      </c>
      <c r="C3759" t="inlineStr">
        <is>
          <t>TRIMBLE INC.</t>
        </is>
      </c>
      <c r="D3759" t="n">
        <v>3829</v>
      </c>
    </row>
    <row r="3760">
      <c r="A3760" t="inlineStr">
        <is>
          <t>TRINET GROUP, INC.</t>
        </is>
      </c>
      <c r="B3760" t="inlineStr">
        <is>
          <t>TNET</t>
        </is>
      </c>
      <c r="C3760" t="inlineStr">
        <is>
          <t>TRINET GROUP, INC.</t>
        </is>
      </c>
      <c r="D3760" t="n">
        <v>7389</v>
      </c>
    </row>
    <row r="3761">
      <c r="A3761" t="inlineStr">
        <is>
          <t>TRINITY INDUSTRIES INC</t>
        </is>
      </c>
      <c r="B3761" t="inlineStr">
        <is>
          <t>TRN</t>
        </is>
      </c>
      <c r="C3761" t="inlineStr">
        <is>
          <t>TRINITY INDUSTRIES INC</t>
        </is>
      </c>
      <c r="D3761" t="n">
        <v>3743</v>
      </c>
    </row>
    <row r="3762">
      <c r="A3762" t="inlineStr">
        <is>
          <t>TRINITY PLACE HOLDINGS INC.</t>
        </is>
      </c>
      <c r="B3762" t="inlineStr">
        <is>
          <t>TPHS</t>
        </is>
      </c>
      <c r="C3762" t="inlineStr">
        <is>
          <t>TRINITY PLACE HOLDINGS INC.</t>
        </is>
      </c>
      <c r="D3762" t="n">
        <v>6512</v>
      </c>
    </row>
    <row r="3763">
      <c r="A3763" t="inlineStr">
        <is>
          <t>TRINSEO PLC</t>
        </is>
      </c>
      <c r="B3763" t="inlineStr">
        <is>
          <t>TSE</t>
        </is>
      </c>
      <c r="C3763" t="inlineStr">
        <is>
          <t>TRINSEO PLC</t>
        </is>
      </c>
      <c r="D3763" t="n">
        <v>2821</v>
      </c>
    </row>
    <row r="3764">
      <c r="A3764" t="inlineStr">
        <is>
          <t>TRIO-TECH INTERNATIONAL</t>
        </is>
      </c>
      <c r="B3764" t="inlineStr">
        <is>
          <t>TRT</t>
        </is>
      </c>
      <c r="C3764" t="inlineStr">
        <is>
          <t>TRIO-TECH INTERNATIONAL</t>
        </is>
      </c>
      <c r="D3764" t="n">
        <v>3559</v>
      </c>
    </row>
    <row r="3765">
      <c r="A3765" t="inlineStr">
        <is>
          <t>TRIP.COM GROUP LTD</t>
        </is>
      </c>
      <c r="B3765" t="inlineStr">
        <is>
          <t>TCOM</t>
        </is>
      </c>
      <c r="C3765" t="inlineStr">
        <is>
          <t>TRIP.COM GROUP LTD</t>
        </is>
      </c>
      <c r="D3765" t="n">
        <v>7389</v>
      </c>
    </row>
    <row r="3766">
      <c r="A3766" t="inlineStr">
        <is>
          <t>TRIPADVISOR, INC.</t>
        </is>
      </c>
      <c r="B3766" t="inlineStr">
        <is>
          <t>TRIP</t>
        </is>
      </c>
      <c r="C3766" t="inlineStr">
        <is>
          <t>TRIPADVISOR, INC.</t>
        </is>
      </c>
      <c r="D3766" t="n">
        <v>7370</v>
      </c>
    </row>
    <row r="3767">
      <c r="A3767" t="inlineStr">
        <is>
          <t>TRITON INTERNATIONAL LTD</t>
        </is>
      </c>
      <c r="B3767" t="inlineStr">
        <is>
          <t>TRTN</t>
        </is>
      </c>
      <c r="C3767" t="inlineStr">
        <is>
          <t>TRITON INTERNATIONAL LTD</t>
        </is>
      </c>
      <c r="D3767" t="n">
        <v>7359</v>
      </c>
    </row>
    <row r="3768">
      <c r="A3768" t="inlineStr">
        <is>
          <t>TRIUMPH BANCORP, INC.</t>
        </is>
      </c>
      <c r="B3768" t="inlineStr">
        <is>
          <t>TBK</t>
        </is>
      </c>
      <c r="C3768" t="inlineStr">
        <is>
          <t>TRIUMPH BANCORP, INC.</t>
        </is>
      </c>
      <c r="D3768" t="n">
        <v>6022</v>
      </c>
    </row>
    <row r="3769">
      <c r="A3769" t="inlineStr">
        <is>
          <t>TRIUMPH GROUP INC</t>
        </is>
      </c>
      <c r="B3769" t="inlineStr">
        <is>
          <t>TGI</t>
        </is>
      </c>
      <c r="C3769" t="inlineStr">
        <is>
          <t>TRIUMPH GROUP INC</t>
        </is>
      </c>
      <c r="D3769" t="n">
        <v>3720</v>
      </c>
    </row>
    <row r="3770">
      <c r="A3770" t="inlineStr">
        <is>
          <t>TROIKA MEDIA GROUP, INC.</t>
        </is>
      </c>
      <c r="B3770" t="inlineStr">
        <is>
          <t>TRKA</t>
        </is>
      </c>
      <c r="C3770" t="inlineStr">
        <is>
          <t>TROIKA MEDIA GROUP, INC.</t>
        </is>
      </c>
      <c r="D3770" t="n">
        <v>4841</v>
      </c>
    </row>
    <row r="3771">
      <c r="A3771" t="inlineStr">
        <is>
          <t>TRONOX HOLDINGS PLC</t>
        </is>
      </c>
      <c r="B3771" t="inlineStr">
        <is>
          <t>TROX</t>
        </is>
      </c>
      <c r="C3771" t="inlineStr">
        <is>
          <t>TRONOX HOLDINGS PLC</t>
        </is>
      </c>
      <c r="D3771" t="n">
        <v>2810</v>
      </c>
    </row>
    <row r="3772">
      <c r="A3772" t="inlineStr">
        <is>
          <t>TROOPS, INC. /CAYMAN ISLANDS/</t>
        </is>
      </c>
      <c r="B3772" t="inlineStr">
        <is>
          <t>TROO</t>
        </is>
      </c>
      <c r="C3772" t="inlineStr">
        <is>
          <t>TROOPS, INC. /CAYMAN ISLANDS/</t>
        </is>
      </c>
      <c r="D3772" t="n">
        <v>3663</v>
      </c>
    </row>
    <row r="3773">
      <c r="A3773" t="inlineStr">
        <is>
          <t>TRUEBLUE, INC.</t>
        </is>
      </c>
      <c r="B3773" t="inlineStr">
        <is>
          <t>TBI</t>
        </is>
      </c>
      <c r="C3773" t="inlineStr">
        <is>
          <t>TRUEBLUE, INC.</t>
        </is>
      </c>
      <c r="D3773" t="n">
        <v>7363</v>
      </c>
    </row>
    <row r="3774">
      <c r="A3774" t="inlineStr">
        <is>
          <t>TRUECAR, INC.</t>
        </is>
      </c>
      <c r="B3774" t="inlineStr">
        <is>
          <t>TRUE</t>
        </is>
      </c>
      <c r="C3774" t="inlineStr">
        <is>
          <t>TRUECAR, INC.</t>
        </is>
      </c>
      <c r="D3774" t="n">
        <v>7370</v>
      </c>
    </row>
    <row r="3775">
      <c r="A3775" t="inlineStr">
        <is>
          <t>TRUIST FINANCIAL CORP</t>
        </is>
      </c>
      <c r="B3775" t="inlineStr">
        <is>
          <t>TFC</t>
        </is>
      </c>
      <c r="C3775" t="inlineStr">
        <is>
          <t>TRUIST FINANCIAL CORP</t>
        </is>
      </c>
      <c r="D3775" t="n">
        <v>6021</v>
      </c>
    </row>
    <row r="3776">
      <c r="A3776" t="inlineStr">
        <is>
          <t>TRULIEVE CANNABIS CORP.</t>
        </is>
      </c>
      <c r="B3776" t="inlineStr">
        <is>
          <t>TCNNF</t>
        </is>
      </c>
      <c r="C3776" t="inlineStr">
        <is>
          <t>TRULIEVE CANNABIS CORP.</t>
        </is>
      </c>
      <c r="D3776" t="n">
        <v>2833</v>
      </c>
    </row>
    <row r="3777">
      <c r="A3777" t="inlineStr">
        <is>
          <t>TRUPANION, INC.</t>
        </is>
      </c>
      <c r="B3777" t="inlineStr">
        <is>
          <t>TRUP</t>
        </is>
      </c>
      <c r="C3777" t="inlineStr">
        <is>
          <t>TRUPANION, INC.</t>
        </is>
      </c>
      <c r="D3777" t="n">
        <v>6324</v>
      </c>
    </row>
    <row r="3778">
      <c r="A3778" t="inlineStr">
        <is>
          <t>TRUSTCO BANK CORP N Y</t>
        </is>
      </c>
      <c r="B3778" t="inlineStr">
        <is>
          <t>TRST</t>
        </is>
      </c>
      <c r="C3778" t="inlineStr">
        <is>
          <t>TRUSTCO BANK CORP N Y</t>
        </is>
      </c>
      <c r="D3778" t="n">
        <v>6022</v>
      </c>
    </row>
    <row r="3779">
      <c r="A3779" t="inlineStr">
        <is>
          <t>TRUSTMARK CORP</t>
        </is>
      </c>
      <c r="B3779" t="inlineStr">
        <is>
          <t>TRMK</t>
        </is>
      </c>
      <c r="C3779" t="inlineStr">
        <is>
          <t>TRUSTMARK CORP</t>
        </is>
      </c>
      <c r="D3779" t="n">
        <v>6021</v>
      </c>
    </row>
    <row r="3780">
      <c r="A3780" t="inlineStr">
        <is>
          <t>TSAKOS ENERGY NAVIGATION LTD</t>
        </is>
      </c>
      <c r="B3780" t="inlineStr">
        <is>
          <t>TNP</t>
        </is>
      </c>
      <c r="C3780" t="inlineStr">
        <is>
          <t>TSAKOS ENERGY NAVIGATION LTD</t>
        </is>
      </c>
      <c r="D3780" t="n">
        <v>4412</v>
      </c>
    </row>
    <row r="3781">
      <c r="A3781" t="inlineStr">
        <is>
          <t>TSCAN THERAPEUTICS, INC.</t>
        </is>
      </c>
      <c r="B3781" t="inlineStr">
        <is>
          <t>TCRX</t>
        </is>
      </c>
      <c r="C3781" t="inlineStr">
        <is>
          <t>TSCAN THERAPEUTICS, INC.</t>
        </is>
      </c>
      <c r="D3781" t="n">
        <v>2836</v>
      </c>
    </row>
    <row r="3782">
      <c r="A3782" t="inlineStr">
        <is>
          <t>TSR INC</t>
        </is>
      </c>
      <c r="B3782" t="inlineStr">
        <is>
          <t>TSRI</t>
        </is>
      </c>
      <c r="C3782" t="inlineStr">
        <is>
          <t>TSR INC</t>
        </is>
      </c>
      <c r="D3782" t="n">
        <v>7371</v>
      </c>
    </row>
    <row r="3783">
      <c r="A3783" t="inlineStr">
        <is>
          <t>TTEC HOLDINGS, INC.</t>
        </is>
      </c>
      <c r="B3783" t="inlineStr">
        <is>
          <t>TTEC</t>
        </is>
      </c>
      <c r="C3783" t="inlineStr">
        <is>
          <t>TTEC HOLDINGS, INC.</t>
        </is>
      </c>
      <c r="D3783" t="n">
        <v>7363</v>
      </c>
    </row>
    <row r="3784">
      <c r="A3784" t="inlineStr">
        <is>
          <t>TTM TECHNOLOGIES INC</t>
        </is>
      </c>
      <c r="B3784" t="inlineStr">
        <is>
          <t>TTMI</t>
        </is>
      </c>
      <c r="C3784" t="inlineStr">
        <is>
          <t>TTM TECHNOLOGIES INC</t>
        </is>
      </c>
      <c r="D3784" t="n">
        <v>3672</v>
      </c>
    </row>
    <row r="3785">
      <c r="A3785" t="inlineStr">
        <is>
          <t>TUANCHE LTD</t>
        </is>
      </c>
      <c r="B3785" t="inlineStr">
        <is>
          <t>TC</t>
        </is>
      </c>
      <c r="C3785" t="inlineStr">
        <is>
          <t>TUANCHE LTD</t>
        </is>
      </c>
      <c r="D3785" t="n">
        <v>7389</v>
      </c>
    </row>
    <row r="3786">
      <c r="A3786" t="inlineStr">
        <is>
          <t>TUCOWS INC /PA/</t>
        </is>
      </c>
      <c r="B3786" t="inlineStr">
        <is>
          <t>TCX</t>
        </is>
      </c>
      <c r="C3786" t="inlineStr">
        <is>
          <t>TUCOWS INC /PA/</t>
        </is>
      </c>
      <c r="D3786" t="n">
        <v>7374</v>
      </c>
    </row>
    <row r="3787">
      <c r="A3787" t="inlineStr">
        <is>
          <t>TUESDAY MORNING CORP/DE</t>
        </is>
      </c>
      <c r="B3787" t="inlineStr">
        <is>
          <t>TUEM</t>
        </is>
      </c>
      <c r="C3787" t="inlineStr">
        <is>
          <t>TUESDAY MORNING CORP/DE</t>
        </is>
      </c>
      <c r="D3787" t="n">
        <v>5331</v>
      </c>
    </row>
    <row r="3788">
      <c r="A3788" t="inlineStr">
        <is>
          <t>TUFIN SOFTWARE TECHNOLOGIES LTD.</t>
        </is>
      </c>
      <c r="B3788" t="inlineStr">
        <is>
          <t>TUFN</t>
        </is>
      </c>
      <c r="C3788" t="inlineStr">
        <is>
          <t>TUFIN SOFTWARE TECHNOLOGIES LTD.</t>
        </is>
      </c>
      <c r="D3788" t="n">
        <v>7373</v>
      </c>
    </row>
    <row r="3789">
      <c r="A3789" t="inlineStr">
        <is>
          <t>TUNIU CORP</t>
        </is>
      </c>
      <c r="B3789" t="inlineStr">
        <is>
          <t>TOUR</t>
        </is>
      </c>
      <c r="C3789" t="inlineStr">
        <is>
          <t>TUNIU CORP</t>
        </is>
      </c>
      <c r="D3789" t="n">
        <v>4700</v>
      </c>
    </row>
    <row r="3790">
      <c r="A3790" t="inlineStr">
        <is>
          <t>TUPPERWARE BRANDS CORP</t>
        </is>
      </c>
      <c r="B3790" t="inlineStr">
        <is>
          <t>TUP</t>
        </is>
      </c>
      <c r="C3790" t="inlineStr">
        <is>
          <t>TUPPERWARE BRANDS CORP</t>
        </is>
      </c>
      <c r="D3790" t="n">
        <v>3089</v>
      </c>
    </row>
    <row r="3791">
      <c r="A3791" t="inlineStr">
        <is>
          <t>TURNING POINT BRANDS, INC.</t>
        </is>
      </c>
      <c r="B3791" t="inlineStr">
        <is>
          <t>TPB</t>
        </is>
      </c>
      <c r="C3791" t="inlineStr">
        <is>
          <t>TURNING POINT BRANDS, INC.</t>
        </is>
      </c>
      <c r="D3791" t="n">
        <v>2100</v>
      </c>
    </row>
    <row r="3792">
      <c r="A3792" t="inlineStr">
        <is>
          <t>TURNING POINT THERAPEUTICS, INC.</t>
        </is>
      </c>
      <c r="B3792" t="inlineStr">
        <is>
          <t>TPTX</t>
        </is>
      </c>
      <c r="C3792" t="inlineStr">
        <is>
          <t>TURNING POINT THERAPEUTICS, INC.</t>
        </is>
      </c>
      <c r="D3792" t="n">
        <v>2834</v>
      </c>
    </row>
    <row r="3793">
      <c r="A3793" t="inlineStr">
        <is>
          <t>TURTLE BEACH CORP</t>
        </is>
      </c>
      <c r="B3793" t="inlineStr">
        <is>
          <t>HEAR</t>
        </is>
      </c>
      <c r="C3793" t="inlineStr">
        <is>
          <t>TURTLE BEACH CORP</t>
        </is>
      </c>
      <c r="D3793" t="n">
        <v>3669</v>
      </c>
    </row>
    <row r="3794">
      <c r="A3794" t="inlineStr">
        <is>
          <t>TUSIMPLE HOLDINGS INC.</t>
        </is>
      </c>
      <c r="B3794" t="inlineStr">
        <is>
          <t>TSP</t>
        </is>
      </c>
      <c r="C3794" t="inlineStr">
        <is>
          <t>TUSIMPLE HOLDINGS INC.</t>
        </is>
      </c>
      <c r="D3794" t="n">
        <v>7373</v>
      </c>
    </row>
    <row r="3795">
      <c r="A3795" t="inlineStr">
        <is>
          <t>TUTOR PERINI CORP</t>
        </is>
      </c>
      <c r="B3795" t="inlineStr">
        <is>
          <t>TPC</t>
        </is>
      </c>
      <c r="C3795" t="inlineStr">
        <is>
          <t>TUTOR PERINI CORP</t>
        </is>
      </c>
      <c r="D3795" t="n">
        <v>1540</v>
      </c>
    </row>
    <row r="3796">
      <c r="A3796" t="inlineStr">
        <is>
          <t>TUYA INC.</t>
        </is>
      </c>
      <c r="B3796" t="inlineStr">
        <is>
          <t>TUYA</t>
        </is>
      </c>
      <c r="C3796" t="inlineStr">
        <is>
          <t>TUYA INC.</t>
        </is>
      </c>
      <c r="D3796" t="n">
        <v>7372</v>
      </c>
    </row>
    <row r="3797">
      <c r="A3797" t="inlineStr">
        <is>
          <t>TWILIO INC</t>
        </is>
      </c>
      <c r="B3797" t="inlineStr">
        <is>
          <t>TWLO</t>
        </is>
      </c>
      <c r="C3797" t="inlineStr">
        <is>
          <t>TWILIO INC</t>
        </is>
      </c>
      <c r="D3797" t="n">
        <v>7372</v>
      </c>
    </row>
    <row r="3798">
      <c r="A3798" t="inlineStr">
        <is>
          <t>TWIN DISC INC</t>
        </is>
      </c>
      <c r="B3798" t="inlineStr">
        <is>
          <t>TWIN</t>
        </is>
      </c>
      <c r="C3798" t="inlineStr">
        <is>
          <t>TWIN DISC INC</t>
        </is>
      </c>
      <c r="D3798" t="n">
        <v>3560</v>
      </c>
    </row>
    <row r="3799">
      <c r="A3799" t="inlineStr">
        <is>
          <t>TWINLAB CONSOLIDATED HOLDINGS, INC.</t>
        </is>
      </c>
      <c r="B3799" t="inlineStr">
        <is>
          <t>TLCC</t>
        </is>
      </c>
      <c r="C3799" t="inlineStr">
        <is>
          <t>TWINLAB CONSOLIDATED HOLDINGS, INC.</t>
        </is>
      </c>
      <c r="D3799" t="n">
        <v>2833</v>
      </c>
    </row>
    <row r="3800">
      <c r="A3800" t="inlineStr">
        <is>
          <t>TWIST BIOSCIENCE CORP</t>
        </is>
      </c>
      <c r="B3800" t="inlineStr">
        <is>
          <t>TWST</t>
        </is>
      </c>
      <c r="C3800" t="inlineStr">
        <is>
          <t>TWIST BIOSCIENCE CORP</t>
        </is>
      </c>
      <c r="D3800" t="n">
        <v>2836</v>
      </c>
    </row>
    <row r="3801">
      <c r="A3801" t="inlineStr">
        <is>
          <t>TWITTER, INC.</t>
        </is>
      </c>
      <c r="B3801" t="inlineStr">
        <is>
          <t>TWTR</t>
        </is>
      </c>
      <c r="C3801" t="inlineStr">
        <is>
          <t>TWITTER, INC.</t>
        </is>
      </c>
      <c r="D3801" t="n">
        <v>7370</v>
      </c>
    </row>
    <row r="3802">
      <c r="A3802" t="inlineStr">
        <is>
          <t>TWO HARBORS INVESTMENT CORP.</t>
        </is>
      </c>
      <c r="B3802" t="inlineStr">
        <is>
          <t>TWO</t>
        </is>
      </c>
      <c r="C3802" t="inlineStr">
        <is>
          <t>TWO HARBORS INVESTMENT CORP.</t>
        </is>
      </c>
      <c r="D3802" t="n">
        <v>6798</v>
      </c>
    </row>
    <row r="3803">
      <c r="A3803" t="inlineStr">
        <is>
          <t>TYLER TECHNOLOGIES INC</t>
        </is>
      </c>
      <c r="B3803" t="inlineStr">
        <is>
          <t>TYL</t>
        </is>
      </c>
      <c r="C3803" t="inlineStr">
        <is>
          <t>TYLER TECHNOLOGIES INC</t>
        </is>
      </c>
      <c r="D3803" t="n">
        <v>7372</v>
      </c>
    </row>
    <row r="3804">
      <c r="A3804" t="inlineStr">
        <is>
          <t>TYSON FOODS, INC.</t>
        </is>
      </c>
      <c r="B3804" t="inlineStr">
        <is>
          <t>TSN</t>
        </is>
      </c>
      <c r="C3804" t="inlineStr">
        <is>
          <t>TYSON FOODS, INC.</t>
        </is>
      </c>
      <c r="D3804" t="n">
        <v>2015</v>
      </c>
    </row>
    <row r="3805">
      <c r="A3805" t="inlineStr">
        <is>
          <t>U S GLOBAL INVESTORS INC</t>
        </is>
      </c>
      <c r="B3805" t="inlineStr">
        <is>
          <t>GROW</t>
        </is>
      </c>
      <c r="C3805" t="inlineStr">
        <is>
          <t>U S GLOBAL INVESTORS INC</t>
        </is>
      </c>
      <c r="D3805" t="n">
        <v>6282</v>
      </c>
    </row>
    <row r="3806">
      <c r="A3806" t="inlineStr">
        <is>
          <t>U S PHYSICAL THERAPY INC /NV</t>
        </is>
      </c>
      <c r="B3806" t="inlineStr">
        <is>
          <t>USPH</t>
        </is>
      </c>
      <c r="C3806" t="inlineStr">
        <is>
          <t>U S PHYSICAL THERAPY INC /NV</t>
        </is>
      </c>
      <c r="D3806" t="n">
        <v>8000</v>
      </c>
    </row>
    <row r="3807">
      <c r="A3807" t="inlineStr">
        <is>
          <t>U.S. SILICA HOLDINGS, INC.</t>
        </is>
      </c>
      <c r="B3807" t="inlineStr">
        <is>
          <t>SLCA</t>
        </is>
      </c>
      <c r="C3807" t="inlineStr">
        <is>
          <t>U.S. SILICA HOLDINGS, INC.</t>
        </is>
      </c>
      <c r="D3807" t="n">
        <v>1400</v>
      </c>
    </row>
    <row r="3808">
      <c r="A3808" t="inlineStr">
        <is>
          <t>U.S. WELL SERVICES, INC.</t>
        </is>
      </c>
      <c r="B3808" t="inlineStr">
        <is>
          <t>USWS</t>
        </is>
      </c>
      <c r="C3808" t="inlineStr">
        <is>
          <t>U.S. WELL SERVICES, INC.</t>
        </is>
      </c>
      <c r="D3808" t="n">
        <v>1389</v>
      </c>
    </row>
    <row r="3809">
      <c r="A3809" t="inlineStr">
        <is>
          <t>UBER TECHNOLOGIES, INC</t>
        </is>
      </c>
      <c r="B3809" t="inlineStr">
        <is>
          <t>UBER</t>
        </is>
      </c>
      <c r="C3809" t="inlineStr">
        <is>
          <t>UBER TECHNOLOGIES, INC</t>
        </is>
      </c>
      <c r="D3809" t="n">
        <v>7389</v>
      </c>
    </row>
    <row r="3810">
      <c r="A3810" t="inlineStr">
        <is>
          <t>UBIQUITI INC.</t>
        </is>
      </c>
      <c r="B3810" t="inlineStr">
        <is>
          <t>UI</t>
        </is>
      </c>
      <c r="C3810" t="inlineStr">
        <is>
          <t>UBIQUITI INC.</t>
        </is>
      </c>
      <c r="D3810" t="n">
        <v>3663</v>
      </c>
    </row>
    <row r="3811">
      <c r="A3811" t="inlineStr">
        <is>
          <t>UCLOUDLINK GROUP INC.</t>
        </is>
      </c>
      <c r="B3811" t="inlineStr">
        <is>
          <t>UCL</t>
        </is>
      </c>
      <c r="C3811" t="inlineStr">
        <is>
          <t>UCLOUDLINK GROUP INC.</t>
        </is>
      </c>
      <c r="D3811" t="n">
        <v>4899</v>
      </c>
    </row>
    <row r="3812">
      <c r="A3812" t="inlineStr">
        <is>
          <t>UCOMMUNE INTERNATIONAL LTD</t>
        </is>
      </c>
      <c r="B3812" t="inlineStr">
        <is>
          <t>UK</t>
        </is>
      </c>
      <c r="C3812" t="inlineStr">
        <is>
          <t>UCOMMUNE INTERNATIONAL LTD</t>
        </is>
      </c>
      <c r="D3812" t="n">
        <v>7389</v>
      </c>
    </row>
    <row r="3813">
      <c r="A3813" t="inlineStr">
        <is>
          <t>UDEMY, INC.</t>
        </is>
      </c>
      <c r="B3813" t="inlineStr">
        <is>
          <t>UDMY</t>
        </is>
      </c>
      <c r="C3813" t="inlineStr">
        <is>
          <t>UDEMY, INC.</t>
        </is>
      </c>
      <c r="D3813" t="n">
        <v>8200</v>
      </c>
    </row>
    <row r="3814">
      <c r="A3814" t="inlineStr">
        <is>
          <t>UDR, INC.</t>
        </is>
      </c>
      <c r="B3814" t="inlineStr">
        <is>
          <t>UDR</t>
        </is>
      </c>
      <c r="C3814" t="inlineStr">
        <is>
          <t>UDR, INC.</t>
        </is>
      </c>
      <c r="D3814" t="n">
        <v>6798</v>
      </c>
    </row>
    <row r="3815">
      <c r="A3815" t="inlineStr">
        <is>
          <t>UFP INDUSTRIES INC</t>
        </is>
      </c>
      <c r="B3815" t="inlineStr">
        <is>
          <t>UFPI</t>
        </is>
      </c>
      <c r="C3815" t="inlineStr">
        <is>
          <t>UFP INDUSTRIES INC</t>
        </is>
      </c>
      <c r="D3815" t="n">
        <v>2421</v>
      </c>
    </row>
    <row r="3816">
      <c r="A3816" t="inlineStr">
        <is>
          <t>UFP TECHNOLOGIES INC</t>
        </is>
      </c>
      <c r="B3816" t="inlineStr">
        <is>
          <t>UFPT</t>
        </is>
      </c>
      <c r="C3816" t="inlineStr">
        <is>
          <t>UFP TECHNOLOGIES INC</t>
        </is>
      </c>
      <c r="D3816" t="n">
        <v>3841</v>
      </c>
    </row>
    <row r="3817">
      <c r="A3817" t="inlineStr">
        <is>
          <t>UGI CORP /PA/</t>
        </is>
      </c>
      <c r="B3817" t="inlineStr">
        <is>
          <t>UGI</t>
        </is>
      </c>
      <c r="C3817" t="inlineStr">
        <is>
          <t>UGI CORP /PA/</t>
        </is>
      </c>
      <c r="D3817" t="n">
        <v>4932</v>
      </c>
    </row>
    <row r="3818">
      <c r="A3818" t="inlineStr">
        <is>
          <t>UIPATH, INC.</t>
        </is>
      </c>
      <c r="B3818" t="inlineStr">
        <is>
          <t>PATH</t>
        </is>
      </c>
      <c r="C3818" t="inlineStr">
        <is>
          <t>UIPATH, INC.</t>
        </is>
      </c>
      <c r="D3818" t="n">
        <v>7372</v>
      </c>
    </row>
    <row r="3819">
      <c r="A3819" t="inlineStr">
        <is>
          <t>ULTA BEAUTY, INC.</t>
        </is>
      </c>
      <c r="B3819" t="inlineStr">
        <is>
          <t>ULTA</t>
        </is>
      </c>
      <c r="C3819" t="inlineStr">
        <is>
          <t>ULTA BEAUTY, INC.</t>
        </is>
      </c>
      <c r="D3819" t="n">
        <v>5990</v>
      </c>
    </row>
    <row r="3820">
      <c r="A3820" t="inlineStr">
        <is>
          <t>ULTRA CLEAN HOLDINGS, INC.</t>
        </is>
      </c>
      <c r="B3820" t="inlineStr">
        <is>
          <t>UCTT</t>
        </is>
      </c>
      <c r="C3820" t="inlineStr">
        <is>
          <t>ULTRA CLEAN HOLDINGS, INC.</t>
        </is>
      </c>
      <c r="D3820" t="n">
        <v>3674</v>
      </c>
    </row>
    <row r="3821">
      <c r="A3821" t="inlineStr">
        <is>
          <t>ULTRAGENYX PHARMACEUTICAL INC.</t>
        </is>
      </c>
      <c r="B3821" t="inlineStr">
        <is>
          <t>RARE</t>
        </is>
      </c>
      <c r="C3821" t="inlineStr">
        <is>
          <t>ULTRAGENYX PHARMACEUTICAL INC.</t>
        </is>
      </c>
      <c r="D3821" t="n">
        <v>2834</v>
      </c>
    </row>
    <row r="3822">
      <c r="A3822" t="inlineStr">
        <is>
          <t>ULTRALIFE CORP</t>
        </is>
      </c>
      <c r="B3822" t="inlineStr">
        <is>
          <t>ULBI</t>
        </is>
      </c>
      <c r="C3822" t="inlineStr">
        <is>
          <t>ULTRALIFE CORP</t>
        </is>
      </c>
      <c r="D3822" t="n">
        <v>3690</v>
      </c>
    </row>
    <row r="3823">
      <c r="A3823" t="inlineStr">
        <is>
          <t>UMB FINANCIAL CORP</t>
        </is>
      </c>
      <c r="B3823" t="inlineStr">
        <is>
          <t>UMBF</t>
        </is>
      </c>
      <c r="C3823" t="inlineStr">
        <is>
          <t>UMB FINANCIAL CORP</t>
        </is>
      </c>
      <c r="D3823" t="n">
        <v>6021</v>
      </c>
    </row>
    <row r="3824">
      <c r="A3824" t="inlineStr">
        <is>
          <t>UMH PROPERTIES, INC.</t>
        </is>
      </c>
      <c r="B3824" t="inlineStr">
        <is>
          <t>UMH</t>
        </is>
      </c>
      <c r="C3824" t="inlineStr">
        <is>
          <t>UMH PROPERTIES, INC.</t>
        </is>
      </c>
      <c r="D3824" t="n">
        <v>6798</v>
      </c>
    </row>
    <row r="3825">
      <c r="A3825" t="inlineStr">
        <is>
          <t>UMPQUA HOLDINGS CORP</t>
        </is>
      </c>
      <c r="B3825" t="inlineStr">
        <is>
          <t>UMPQ</t>
        </is>
      </c>
      <c r="C3825" t="inlineStr">
        <is>
          <t>UMPQUA HOLDINGS CORP</t>
        </is>
      </c>
      <c r="D3825" t="n">
        <v>6035</v>
      </c>
    </row>
    <row r="3826">
      <c r="A3826" t="inlineStr">
        <is>
          <t>UNDER ARMOUR, INC.</t>
        </is>
      </c>
      <c r="B3826" t="inlineStr">
        <is>
          <t>UAA</t>
        </is>
      </c>
      <c r="C3826" t="inlineStr">
        <is>
          <t>UNDER ARMOUR, INC.</t>
        </is>
      </c>
      <c r="D3826" t="n">
        <v>2300</v>
      </c>
    </row>
    <row r="3827">
      <c r="A3827" t="inlineStr">
        <is>
          <t>UNICO AMERICAN CORP</t>
        </is>
      </c>
      <c r="B3827" t="inlineStr">
        <is>
          <t>UNAM</t>
        </is>
      </c>
      <c r="C3827" t="inlineStr">
        <is>
          <t>UNICO AMERICAN CORP</t>
        </is>
      </c>
      <c r="D3827" t="n">
        <v>6331</v>
      </c>
    </row>
    <row r="3828">
      <c r="A3828" t="inlineStr">
        <is>
          <t>UNIFI INC</t>
        </is>
      </c>
      <c r="B3828" t="inlineStr">
        <is>
          <t>UFI</t>
        </is>
      </c>
      <c r="C3828" t="inlineStr">
        <is>
          <t>UNIFI INC</t>
        </is>
      </c>
      <c r="D3828" t="n">
        <v>2200</v>
      </c>
    </row>
    <row r="3829">
      <c r="A3829" t="inlineStr">
        <is>
          <t>UNIFIRST CORP</t>
        </is>
      </c>
      <c r="B3829" t="inlineStr">
        <is>
          <t>UNF</t>
        </is>
      </c>
      <c r="C3829" t="inlineStr">
        <is>
          <t>UNIFIRST CORP</t>
        </is>
      </c>
      <c r="D3829" t="n">
        <v>7200</v>
      </c>
    </row>
    <row r="3830">
      <c r="A3830" t="inlineStr">
        <is>
          <t>UNION BANKSHARES INC</t>
        </is>
      </c>
      <c r="B3830" t="inlineStr">
        <is>
          <t>UNB</t>
        </is>
      </c>
      <c r="C3830" t="inlineStr">
        <is>
          <t>UNION BANKSHARES INC</t>
        </is>
      </c>
      <c r="D3830" t="n">
        <v>6022</v>
      </c>
    </row>
    <row r="3831">
      <c r="A3831" t="inlineStr">
        <is>
          <t>UNION PACIFIC CORP</t>
        </is>
      </c>
      <c r="B3831" t="inlineStr">
        <is>
          <t>UNP</t>
        </is>
      </c>
      <c r="C3831" t="inlineStr">
        <is>
          <t>UNION PACIFIC CORP</t>
        </is>
      </c>
      <c r="D3831" t="n">
        <v>4011</v>
      </c>
    </row>
    <row r="3832">
      <c r="A3832" t="inlineStr">
        <is>
          <t>UNIQUE FABRICATING, INC.</t>
        </is>
      </c>
      <c r="B3832" t="inlineStr">
        <is>
          <t>UFAB</t>
        </is>
      </c>
      <c r="C3832" t="inlineStr">
        <is>
          <t>UNIQUE FABRICATING, INC.</t>
        </is>
      </c>
      <c r="D3832" t="n">
        <v>3714</v>
      </c>
    </row>
    <row r="3833">
      <c r="A3833" t="inlineStr">
        <is>
          <t>UNIQURE N.V.</t>
        </is>
      </c>
      <c r="B3833" t="inlineStr">
        <is>
          <t>QURE</t>
        </is>
      </c>
      <c r="C3833" t="inlineStr">
        <is>
          <t>UNIQURE N.V.</t>
        </is>
      </c>
      <c r="D3833" t="n">
        <v>2834</v>
      </c>
    </row>
    <row r="3834">
      <c r="A3834" t="inlineStr">
        <is>
          <t>UNISYS CORP</t>
        </is>
      </c>
      <c r="B3834" t="inlineStr">
        <is>
          <t>UIS</t>
        </is>
      </c>
      <c r="C3834" t="inlineStr">
        <is>
          <t>UNISYS CORP</t>
        </is>
      </c>
      <c r="D3834" t="n">
        <v>7373</v>
      </c>
    </row>
    <row r="3835">
      <c r="A3835" t="inlineStr">
        <is>
          <t>UNITED AIRLINES HOLDINGS, INC.</t>
        </is>
      </c>
      <c r="B3835" t="inlineStr">
        <is>
          <t>UAL</t>
        </is>
      </c>
      <c r="C3835" t="inlineStr">
        <is>
          <t>UNITED AIRLINES HOLDINGS, INC.</t>
        </is>
      </c>
      <c r="D3835" t="n">
        <v>4512</v>
      </c>
    </row>
    <row r="3836">
      <c r="A3836" t="inlineStr">
        <is>
          <t>UNITED BANCORP INC /OH/</t>
        </is>
      </c>
      <c r="B3836" t="inlineStr">
        <is>
          <t>UBCP</t>
        </is>
      </c>
      <c r="C3836" t="inlineStr">
        <is>
          <t>UNITED BANCORP INC /OH/</t>
        </is>
      </c>
      <c r="D3836" t="n">
        <v>6022</v>
      </c>
    </row>
    <row r="3837">
      <c r="A3837" t="inlineStr">
        <is>
          <t>UNITED BANCSHARES INC/OH</t>
        </is>
      </c>
      <c r="B3837" t="inlineStr">
        <is>
          <t>UBOH</t>
        </is>
      </c>
      <c r="C3837" t="inlineStr">
        <is>
          <t>UNITED BANCSHARES INC/OH</t>
        </is>
      </c>
      <c r="D3837" t="n">
        <v>6021</v>
      </c>
    </row>
    <row r="3838">
      <c r="A3838" t="inlineStr">
        <is>
          <t>UNITED BANKSHARES INC/WV</t>
        </is>
      </c>
      <c r="B3838" t="inlineStr">
        <is>
          <t>UBSI</t>
        </is>
      </c>
      <c r="C3838" t="inlineStr">
        <is>
          <t>UNITED BANKSHARES INC/WV</t>
        </is>
      </c>
      <c r="D3838" t="n">
        <v>6022</v>
      </c>
    </row>
    <row r="3839">
      <c r="A3839" t="inlineStr">
        <is>
          <t>UNITED COMMUNITY BANKS INC</t>
        </is>
      </c>
      <c r="B3839" t="inlineStr">
        <is>
          <t>UCBI</t>
        </is>
      </c>
      <c r="C3839" t="inlineStr">
        <is>
          <t>UNITED COMMUNITY BANKS INC</t>
        </is>
      </c>
      <c r="D3839" t="n">
        <v>6022</v>
      </c>
    </row>
    <row r="3840">
      <c r="A3840" t="inlineStr">
        <is>
          <t>UNITED FIRE GROUP INC</t>
        </is>
      </c>
      <c r="B3840" t="inlineStr">
        <is>
          <t>UFCS</t>
        </is>
      </c>
      <c r="C3840" t="inlineStr">
        <is>
          <t>UNITED FIRE GROUP INC</t>
        </is>
      </c>
      <c r="D3840" t="n">
        <v>6331</v>
      </c>
    </row>
    <row r="3841">
      <c r="A3841" t="inlineStr">
        <is>
          <t>UNITED GUARDIAN INC</t>
        </is>
      </c>
      <c r="B3841" t="inlineStr">
        <is>
          <t>UG</t>
        </is>
      </c>
      <c r="C3841" t="inlineStr">
        <is>
          <t>UNITED GUARDIAN INC</t>
        </is>
      </c>
      <c r="D3841" t="n">
        <v>2844</v>
      </c>
    </row>
    <row r="3842">
      <c r="A3842" t="inlineStr">
        <is>
          <t>UNITED INSURANCE HOLDINGS CORP.</t>
        </is>
      </c>
      <c r="B3842" t="inlineStr">
        <is>
          <t>UIHC</t>
        </is>
      </c>
      <c r="C3842" t="inlineStr">
        <is>
          <t>UNITED INSURANCE HOLDINGS CORP.</t>
        </is>
      </c>
      <c r="D3842" t="n">
        <v>6331</v>
      </c>
    </row>
    <row r="3843">
      <c r="A3843" t="inlineStr">
        <is>
          <t>UNITED NATURAL FOODS INC</t>
        </is>
      </c>
      <c r="B3843" t="inlineStr">
        <is>
          <t>UNFI</t>
        </is>
      </c>
      <c r="C3843" t="inlineStr">
        <is>
          <t>UNITED NATURAL FOODS INC</t>
        </is>
      </c>
      <c r="D3843" t="n">
        <v>5141</v>
      </c>
    </row>
    <row r="3844">
      <c r="A3844" t="inlineStr">
        <is>
          <t>UNITED PARCEL SERVICE INC</t>
        </is>
      </c>
      <c r="B3844" t="inlineStr">
        <is>
          <t>UPS</t>
        </is>
      </c>
      <c r="C3844" t="inlineStr">
        <is>
          <t>UNITED PARCEL SERVICE INC</t>
        </is>
      </c>
      <c r="D3844" t="n">
        <v>4210</v>
      </c>
    </row>
    <row r="3845">
      <c r="A3845" t="inlineStr">
        <is>
          <t>UNITED RENTALS, INC.</t>
        </is>
      </c>
      <c r="B3845" t="inlineStr">
        <is>
          <t>URI</t>
        </is>
      </c>
      <c r="C3845" t="inlineStr">
        <is>
          <t>UNITED RENTALS, INC.</t>
        </is>
      </c>
      <c r="D3845" t="n">
        <v>7359</v>
      </c>
    </row>
    <row r="3846">
      <c r="A3846" t="inlineStr">
        <is>
          <t>UNITED SECURITY BANCSHARES</t>
        </is>
      </c>
      <c r="B3846" t="inlineStr">
        <is>
          <t>UBFO</t>
        </is>
      </c>
      <c r="C3846" t="inlineStr">
        <is>
          <t>UNITED SECURITY BANCSHARES</t>
        </is>
      </c>
      <c r="D3846" t="n">
        <v>6021</v>
      </c>
    </row>
    <row r="3847">
      <c r="A3847" t="inlineStr">
        <is>
          <t>UNITED STATES ANTIMONY CORP</t>
        </is>
      </c>
      <c r="B3847" t="inlineStr">
        <is>
          <t>UAMY</t>
        </is>
      </c>
      <c r="C3847" t="inlineStr">
        <is>
          <t>UNITED STATES ANTIMONY CORP</t>
        </is>
      </c>
      <c r="D3847" t="n">
        <v>3330</v>
      </c>
    </row>
    <row r="3848">
      <c r="A3848" t="inlineStr">
        <is>
          <t>UNITED STATES CELLULAR CORP</t>
        </is>
      </c>
      <c r="B3848" t="inlineStr">
        <is>
          <t>USM</t>
        </is>
      </c>
      <c r="C3848" t="inlineStr">
        <is>
          <t>UNITED STATES CELLULAR CORP</t>
        </is>
      </c>
      <c r="D3848" t="n">
        <v>4812</v>
      </c>
    </row>
    <row r="3849">
      <c r="A3849" t="inlineStr">
        <is>
          <t>UNITED STATES LIME &amp; MINERALS INC</t>
        </is>
      </c>
      <c r="B3849" t="inlineStr">
        <is>
          <t>USLM</t>
        </is>
      </c>
      <c r="C3849" t="inlineStr">
        <is>
          <t>UNITED STATES LIME &amp; MINERALS INC</t>
        </is>
      </c>
      <c r="D3849" t="n">
        <v>1400</v>
      </c>
    </row>
    <row r="3850">
      <c r="A3850" t="inlineStr">
        <is>
          <t>UNITED STATES OIL FUND, LP</t>
        </is>
      </c>
      <c r="B3850" t="inlineStr">
        <is>
          <t>USO</t>
        </is>
      </c>
      <c r="C3850" t="inlineStr">
        <is>
          <t>UNITED STATES OIL FUND, LP</t>
        </is>
      </c>
      <c r="D3850" t="n">
        <v>6221</v>
      </c>
    </row>
    <row r="3851">
      <c r="A3851" t="inlineStr">
        <is>
          <t>UNITED STATES STEEL CORP</t>
        </is>
      </c>
      <c r="B3851" t="inlineStr">
        <is>
          <t>X</t>
        </is>
      </c>
      <c r="C3851" t="inlineStr">
        <is>
          <t>UNITED STATES STEEL CORP</t>
        </is>
      </c>
      <c r="D3851" t="n">
        <v>3312</v>
      </c>
    </row>
    <row r="3852">
      <c r="A3852" t="inlineStr">
        <is>
          <t>UNITED THERAPEUTICS CORP</t>
        </is>
      </c>
      <c r="B3852" t="inlineStr">
        <is>
          <t>UTHR</t>
        </is>
      </c>
      <c r="C3852" t="inlineStr">
        <is>
          <t>UNITED THERAPEUTICS CORP</t>
        </is>
      </c>
      <c r="D3852" t="n">
        <v>2834</v>
      </c>
    </row>
    <row r="3853">
      <c r="A3853" t="inlineStr">
        <is>
          <t>UNITEDHEALTH GROUP INC</t>
        </is>
      </c>
      <c r="B3853" t="inlineStr">
        <is>
          <t>UNH</t>
        </is>
      </c>
      <c r="C3853" t="inlineStr">
        <is>
          <t>UNITEDHEALTH GROUP INC</t>
        </is>
      </c>
      <c r="D3853" t="n">
        <v>6324</v>
      </c>
    </row>
    <row r="3854">
      <c r="A3854" t="inlineStr">
        <is>
          <t>UNITI GROUP INC.</t>
        </is>
      </c>
      <c r="B3854" t="inlineStr">
        <is>
          <t>UNIT</t>
        </is>
      </c>
      <c r="C3854" t="inlineStr">
        <is>
          <t>UNITI GROUP INC.</t>
        </is>
      </c>
      <c r="D3854" t="n">
        <v>6798</v>
      </c>
    </row>
    <row r="3855">
      <c r="A3855" t="inlineStr">
        <is>
          <t>UNITIL CORP</t>
        </is>
      </c>
      <c r="B3855" t="inlineStr">
        <is>
          <t>UTL</t>
        </is>
      </c>
      <c r="C3855" t="inlineStr">
        <is>
          <t>UNITIL CORP</t>
        </is>
      </c>
      <c r="D3855" t="n">
        <v>4931</v>
      </c>
    </row>
    <row r="3856">
      <c r="A3856" t="inlineStr">
        <is>
          <t>UNITY BANCORP INC /NJ/</t>
        </is>
      </c>
      <c r="B3856" t="inlineStr">
        <is>
          <t>UNTY</t>
        </is>
      </c>
      <c r="C3856" t="inlineStr">
        <is>
          <t>UNITY BANCORP INC /NJ/</t>
        </is>
      </c>
      <c r="D3856" t="n">
        <v>6022</v>
      </c>
    </row>
    <row r="3857">
      <c r="A3857" t="inlineStr">
        <is>
          <t>UNITY SOFTWARE INC.</t>
        </is>
      </c>
      <c r="B3857" t="inlineStr">
        <is>
          <t>U</t>
        </is>
      </c>
      <c r="C3857" t="inlineStr">
        <is>
          <t>UNITY SOFTWARE INC.</t>
        </is>
      </c>
      <c r="D3857" t="n">
        <v>7372</v>
      </c>
    </row>
    <row r="3858">
      <c r="A3858" t="inlineStr">
        <is>
          <t>UNIVAR SOLUTIONS INC.</t>
        </is>
      </c>
      <c r="B3858" t="inlineStr">
        <is>
          <t>UNVR</t>
        </is>
      </c>
      <c r="C3858" t="inlineStr">
        <is>
          <t>UNIVAR SOLUTIONS INC.</t>
        </is>
      </c>
      <c r="D3858" t="n">
        <v>5160</v>
      </c>
    </row>
    <row r="3859">
      <c r="A3859" t="inlineStr">
        <is>
          <t>UNIVERSAL CORP /VA/</t>
        </is>
      </c>
      <c r="B3859" t="inlineStr">
        <is>
          <t>UVV</t>
        </is>
      </c>
      <c r="C3859" t="inlineStr">
        <is>
          <t>UNIVERSAL CORP /VA/</t>
        </is>
      </c>
      <c r="D3859" t="n">
        <v>5150</v>
      </c>
    </row>
    <row r="3860">
      <c r="A3860" t="inlineStr">
        <is>
          <t>UNIVERSAL DISPLAY CORP PA</t>
        </is>
      </c>
      <c r="B3860" t="inlineStr">
        <is>
          <t>OLED</t>
        </is>
      </c>
      <c r="C3860" t="inlineStr">
        <is>
          <t>UNIVERSAL DISPLAY CORP PA</t>
        </is>
      </c>
      <c r="D3860" t="n">
        <v>3670</v>
      </c>
    </row>
    <row r="3861">
      <c r="A3861" t="inlineStr">
        <is>
          <t>UNIVERSAL ELECTRONICS INC</t>
        </is>
      </c>
      <c r="B3861" t="inlineStr">
        <is>
          <t>UEIC</t>
        </is>
      </c>
      <c r="C3861" t="inlineStr">
        <is>
          <t>UNIVERSAL ELECTRONICS INC</t>
        </is>
      </c>
      <c r="D3861" t="n">
        <v>3651</v>
      </c>
    </row>
    <row r="3862">
      <c r="A3862" t="inlineStr">
        <is>
          <t>UNIVERSAL HEALTH REALTY INCOME TRUST</t>
        </is>
      </c>
      <c r="B3862" t="inlineStr">
        <is>
          <t>UHT</t>
        </is>
      </c>
      <c r="C3862" t="inlineStr">
        <is>
          <t>UNIVERSAL HEALTH REALTY INCOME TRUST</t>
        </is>
      </c>
      <c r="D3862" t="n">
        <v>6798</v>
      </c>
    </row>
    <row r="3863">
      <c r="A3863" t="inlineStr">
        <is>
          <t>UNIVERSAL HEALTH SERVICES INC</t>
        </is>
      </c>
      <c r="B3863" t="inlineStr">
        <is>
          <t>UHS</t>
        </is>
      </c>
      <c r="C3863" t="inlineStr">
        <is>
          <t>UNIVERSAL HEALTH SERVICES INC</t>
        </is>
      </c>
      <c r="D3863" t="n">
        <v>8062</v>
      </c>
    </row>
    <row r="3864">
      <c r="A3864" t="inlineStr">
        <is>
          <t>UNIVERSAL INSURANCE HOLDINGS, INC.</t>
        </is>
      </c>
      <c r="B3864" t="inlineStr">
        <is>
          <t>UVE</t>
        </is>
      </c>
      <c r="C3864" t="inlineStr">
        <is>
          <t>UNIVERSAL INSURANCE HOLDINGS, INC.</t>
        </is>
      </c>
      <c r="D3864" t="n">
        <v>6331</v>
      </c>
    </row>
    <row r="3865">
      <c r="A3865" t="inlineStr">
        <is>
          <t>UNIVERSAL LOGISTICS HOLDINGS, INC.</t>
        </is>
      </c>
      <c r="B3865" t="inlineStr">
        <is>
          <t>ULH</t>
        </is>
      </c>
      <c r="C3865" t="inlineStr">
        <is>
          <t>UNIVERSAL LOGISTICS HOLDINGS, INC.</t>
        </is>
      </c>
      <c r="D3865" t="n">
        <v>4213</v>
      </c>
    </row>
    <row r="3866">
      <c r="A3866" t="inlineStr">
        <is>
          <t>UNIVERSAL STAINLESS &amp; ALLOY PRODUCTS INC</t>
        </is>
      </c>
      <c r="B3866" t="inlineStr">
        <is>
          <t>USAP</t>
        </is>
      </c>
      <c r="C3866" t="inlineStr">
        <is>
          <t>UNIVERSAL STAINLESS &amp; ALLOY PRODUCTS INC</t>
        </is>
      </c>
      <c r="D3866" t="n">
        <v>3312</v>
      </c>
    </row>
    <row r="3867">
      <c r="A3867" t="inlineStr">
        <is>
          <t>UNIVERSAL TECHNICAL INSTITUTE INC</t>
        </is>
      </c>
      <c r="B3867" t="inlineStr">
        <is>
          <t>UTI</t>
        </is>
      </c>
      <c r="C3867" t="inlineStr">
        <is>
          <t>UNIVERSAL TECHNICAL INSTITUTE INC</t>
        </is>
      </c>
      <c r="D3867" t="n">
        <v>8200</v>
      </c>
    </row>
    <row r="3868">
      <c r="A3868" t="inlineStr">
        <is>
          <t>UNIVERSE PHARMACEUTICALS INC</t>
        </is>
      </c>
      <c r="B3868" t="inlineStr">
        <is>
          <t>UPC</t>
        </is>
      </c>
      <c r="C3868" t="inlineStr">
        <is>
          <t>UNIVERSE PHARMACEUTICALS INC</t>
        </is>
      </c>
      <c r="D3868" t="n">
        <v>2834</v>
      </c>
    </row>
    <row r="3869">
      <c r="A3869" t="inlineStr">
        <is>
          <t>UNIVEST FINANCIAL CORP</t>
        </is>
      </c>
      <c r="B3869" t="inlineStr">
        <is>
          <t>UVSP</t>
        </is>
      </c>
      <c r="C3869" t="inlineStr">
        <is>
          <t>UNIVEST FINANCIAL CORP</t>
        </is>
      </c>
      <c r="D3869" t="n">
        <v>6022</v>
      </c>
    </row>
    <row r="3870">
      <c r="A3870" t="inlineStr">
        <is>
          <t>UNRIVALED BRANDS, INC.</t>
        </is>
      </c>
      <c r="B3870" t="inlineStr">
        <is>
          <t>UNRV</t>
        </is>
      </c>
      <c r="C3870" t="inlineStr">
        <is>
          <t>UNRIVALED BRANDS, INC.</t>
        </is>
      </c>
      <c r="D3870" t="n">
        <v>3510</v>
      </c>
    </row>
    <row r="3871">
      <c r="A3871" t="inlineStr">
        <is>
          <t>UNUM GROUP</t>
        </is>
      </c>
      <c r="B3871" t="inlineStr">
        <is>
          <t>UNM</t>
        </is>
      </c>
      <c r="C3871" t="inlineStr">
        <is>
          <t>UNUM GROUP</t>
        </is>
      </c>
      <c r="D3871" t="n">
        <v>6321</v>
      </c>
    </row>
    <row r="3872">
      <c r="A3872" t="inlineStr">
        <is>
          <t>UP FINTECH HOLDING LTD</t>
        </is>
      </c>
      <c r="B3872" t="inlineStr">
        <is>
          <t>TIGR</t>
        </is>
      </c>
      <c r="C3872" t="inlineStr">
        <is>
          <t>UP FINTECH HOLDING LTD</t>
        </is>
      </c>
      <c r="D3872" t="n">
        <v>6211</v>
      </c>
    </row>
    <row r="3873">
      <c r="A3873" t="inlineStr">
        <is>
          <t>UPHEALTH, INC.</t>
        </is>
      </c>
      <c r="B3873" t="inlineStr">
        <is>
          <t>UPH</t>
        </is>
      </c>
      <c r="C3873" t="inlineStr">
        <is>
          <t>UPHEALTH, INC.</t>
        </is>
      </c>
      <c r="D3873" t="n">
        <v>8000</v>
      </c>
    </row>
    <row r="3874">
      <c r="A3874" t="inlineStr">
        <is>
          <t>UPLAND SOFTWARE, INC.</t>
        </is>
      </c>
      <c r="B3874" t="inlineStr">
        <is>
          <t>UPLD</t>
        </is>
      </c>
      <c r="C3874" t="inlineStr">
        <is>
          <t>UPLAND SOFTWARE, INC.</t>
        </is>
      </c>
      <c r="D3874" t="n">
        <v>7372</v>
      </c>
    </row>
    <row r="3875">
      <c r="A3875" t="inlineStr">
        <is>
          <t>UPSTART HOLDINGS, INC.</t>
        </is>
      </c>
      <c r="B3875" t="inlineStr">
        <is>
          <t>UPST</t>
        </is>
      </c>
      <c r="C3875" t="inlineStr">
        <is>
          <t>UPSTART HOLDINGS, INC.</t>
        </is>
      </c>
      <c r="D3875" t="n">
        <v>6199</v>
      </c>
    </row>
    <row r="3876">
      <c r="A3876" t="inlineStr">
        <is>
          <t>UPWORK, INC</t>
        </is>
      </c>
      <c r="B3876" t="inlineStr">
        <is>
          <t>UPWK</t>
        </is>
      </c>
      <c r="C3876" t="inlineStr">
        <is>
          <t>UPWORK, INC</t>
        </is>
      </c>
      <c r="D3876" t="n">
        <v>7374</v>
      </c>
    </row>
    <row r="3877">
      <c r="A3877" t="inlineStr">
        <is>
          <t>UR-ENERGY INC</t>
        </is>
      </c>
      <c r="B3877" t="inlineStr">
        <is>
          <t>URG</t>
        </is>
      </c>
      <c r="C3877" t="inlineStr">
        <is>
          <t>UR-ENERGY INC</t>
        </is>
      </c>
      <c r="D3877" t="n">
        <v>1040</v>
      </c>
    </row>
    <row r="3878">
      <c r="A3878" t="inlineStr">
        <is>
          <t>URBAN EDGE PROPERTIES</t>
        </is>
      </c>
      <c r="B3878" t="inlineStr">
        <is>
          <t>UE</t>
        </is>
      </c>
      <c r="C3878" t="inlineStr">
        <is>
          <t>URBAN EDGE PROPERTIES</t>
        </is>
      </c>
      <c r="D3878" t="n">
        <v>6500</v>
      </c>
    </row>
    <row r="3879">
      <c r="A3879" t="inlineStr">
        <is>
          <t>URBAN ONE, INC.</t>
        </is>
      </c>
      <c r="B3879" t="inlineStr">
        <is>
          <t>UONE</t>
        </is>
      </c>
      <c r="C3879" t="inlineStr">
        <is>
          <t>URBAN ONE, INC.</t>
        </is>
      </c>
      <c r="D3879" t="n">
        <v>4832</v>
      </c>
    </row>
    <row r="3880">
      <c r="A3880" t="inlineStr">
        <is>
          <t>URBAN OUTFITTERS INC</t>
        </is>
      </c>
      <c r="B3880" t="inlineStr">
        <is>
          <t>URBN</t>
        </is>
      </c>
      <c r="C3880" t="inlineStr">
        <is>
          <t>URBAN OUTFITTERS INC</t>
        </is>
      </c>
      <c r="D3880" t="n">
        <v>5651</v>
      </c>
    </row>
    <row r="3881">
      <c r="A3881" t="inlineStr">
        <is>
          <t>UROGEN PHARMA LTD.</t>
        </is>
      </c>
      <c r="B3881" t="inlineStr">
        <is>
          <t>URGN</t>
        </is>
      </c>
      <c r="C3881" t="inlineStr">
        <is>
          <t>UROGEN PHARMA LTD.</t>
        </is>
      </c>
      <c r="D3881" t="n">
        <v>2834</v>
      </c>
    </row>
    <row r="3882">
      <c r="A3882" t="inlineStr">
        <is>
          <t>URSTADT BIDDLE PROPERTIES INC</t>
        </is>
      </c>
      <c r="B3882" t="inlineStr">
        <is>
          <t>UBP</t>
        </is>
      </c>
      <c r="C3882" t="inlineStr">
        <is>
          <t>URSTADT BIDDLE PROPERTIES INC</t>
        </is>
      </c>
      <c r="D3882" t="n">
        <v>6798</v>
      </c>
    </row>
    <row r="3883">
      <c r="A3883" t="inlineStr">
        <is>
          <t>US BANCORP DE</t>
        </is>
      </c>
      <c r="B3883" t="inlineStr">
        <is>
          <t>USB</t>
        </is>
      </c>
      <c r="C3883" t="inlineStr">
        <is>
          <t>US BANCORP DE</t>
        </is>
      </c>
      <c r="D3883" t="n">
        <v>6021</v>
      </c>
    </row>
    <row r="3884">
      <c r="A3884" t="inlineStr">
        <is>
          <t>US ENERGY CORP</t>
        </is>
      </c>
      <c r="B3884" t="inlineStr">
        <is>
          <t>USEG</t>
        </is>
      </c>
      <c r="C3884" t="inlineStr">
        <is>
          <t>US ENERGY CORP</t>
        </is>
      </c>
      <c r="D3884" t="n">
        <v>1311</v>
      </c>
    </row>
    <row r="3885">
      <c r="A3885" t="inlineStr">
        <is>
          <t>US FOODS HOLDING CORP.</t>
        </is>
      </c>
      <c r="B3885" t="inlineStr">
        <is>
          <t>USFD</t>
        </is>
      </c>
      <c r="C3885" t="inlineStr">
        <is>
          <t>US FOODS HOLDING CORP.</t>
        </is>
      </c>
      <c r="D3885" t="n">
        <v>5140</v>
      </c>
    </row>
    <row r="3886">
      <c r="A3886" t="inlineStr">
        <is>
          <t>US XPRESS ENTERPRISES INC</t>
        </is>
      </c>
      <c r="B3886" t="inlineStr">
        <is>
          <t>USX</t>
        </is>
      </c>
      <c r="C3886" t="inlineStr">
        <is>
          <t>US XPRESS ENTERPRISES INC</t>
        </is>
      </c>
      <c r="D3886" t="n">
        <v>4213</v>
      </c>
    </row>
    <row r="3887">
      <c r="A3887" t="inlineStr">
        <is>
          <t>USA COMPRESSION PARTNERS, LP</t>
        </is>
      </c>
      <c r="B3887" t="inlineStr">
        <is>
          <t>USAC</t>
        </is>
      </c>
      <c r="C3887" t="inlineStr">
        <is>
          <t>USA COMPRESSION PARTNERS, LP</t>
        </is>
      </c>
      <c r="D3887" t="n">
        <v>4922</v>
      </c>
    </row>
    <row r="3888">
      <c r="A3888" t="inlineStr">
        <is>
          <t>USA TRUCK INC</t>
        </is>
      </c>
      <c r="B3888" t="inlineStr">
        <is>
          <t>USAK</t>
        </is>
      </c>
      <c r="C3888" t="inlineStr">
        <is>
          <t>USA TRUCK INC</t>
        </is>
      </c>
      <c r="D3888" t="n">
        <v>4213</v>
      </c>
    </row>
    <row r="3889">
      <c r="A3889" t="inlineStr">
        <is>
          <t>USANA HEALTH SCIENCES INC</t>
        </is>
      </c>
      <c r="B3889" t="inlineStr">
        <is>
          <t>USNA</t>
        </is>
      </c>
      <c r="C3889" t="inlineStr">
        <is>
          <t>USANA HEALTH SCIENCES INC</t>
        </is>
      </c>
      <c r="D3889" t="n">
        <v>2833</v>
      </c>
    </row>
    <row r="3890">
      <c r="A3890" t="inlineStr">
        <is>
          <t>USCB FINANCIAL HOLDINGS, INC.</t>
        </is>
      </c>
      <c r="B3890" t="inlineStr">
        <is>
          <t>USCB</t>
        </is>
      </c>
      <c r="C3890" t="inlineStr">
        <is>
          <t>USCB FINANCIAL HOLDINGS, INC.</t>
        </is>
      </c>
      <c r="D3890" t="n">
        <v>6022</v>
      </c>
    </row>
    <row r="3891">
      <c r="A3891" t="inlineStr">
        <is>
          <t>USD PARTNERS LP</t>
        </is>
      </c>
      <c r="B3891" t="inlineStr">
        <is>
          <t>USDP</t>
        </is>
      </c>
      <c r="C3891" t="inlineStr">
        <is>
          <t>USD PARTNERS LP</t>
        </is>
      </c>
      <c r="D3891" t="n">
        <v>4013</v>
      </c>
    </row>
    <row r="3892">
      <c r="A3892" t="inlineStr">
        <is>
          <t>USIO, INC.</t>
        </is>
      </c>
      <c r="B3892" t="inlineStr">
        <is>
          <t>USIO</t>
        </is>
      </c>
      <c r="C3892" t="inlineStr">
        <is>
          <t>USIO, INC.</t>
        </is>
      </c>
      <c r="D3892" t="n">
        <v>6099</v>
      </c>
    </row>
    <row r="3893">
      <c r="A3893" t="inlineStr">
        <is>
          <t>UTAH MEDICAL PRODUCTS INC</t>
        </is>
      </c>
      <c r="B3893" t="inlineStr">
        <is>
          <t>UTMD</t>
        </is>
      </c>
      <c r="C3893" t="inlineStr">
        <is>
          <t>UTAH MEDICAL PRODUCTS INC</t>
        </is>
      </c>
      <c r="D3893" t="n">
        <v>3841</v>
      </c>
    </row>
    <row r="3894">
      <c r="A3894" t="inlineStr">
        <is>
          <t>UTG INC</t>
        </is>
      </c>
      <c r="B3894" t="inlineStr">
        <is>
          <t>UTGN</t>
        </is>
      </c>
      <c r="C3894" t="inlineStr">
        <is>
          <t>UTG INC</t>
        </is>
      </c>
      <c r="D3894" t="n">
        <v>6311</v>
      </c>
    </row>
    <row r="3895">
      <c r="A3895" t="inlineStr">
        <is>
          <t>UTSTARCOM HOLDINGS CORP.</t>
        </is>
      </c>
      <c r="B3895" t="inlineStr">
        <is>
          <t>UTSI</t>
        </is>
      </c>
      <c r="C3895" t="inlineStr">
        <is>
          <t>UTSTARCOM HOLDINGS CORP.</t>
        </is>
      </c>
      <c r="D3895" t="n">
        <v>3669</v>
      </c>
    </row>
    <row r="3896">
      <c r="A3896" t="inlineStr">
        <is>
          <t>UWHARRIE CAPITAL CORP</t>
        </is>
      </c>
      <c r="B3896" t="inlineStr">
        <is>
          <t>UWHR</t>
        </is>
      </c>
      <c r="C3896" t="inlineStr">
        <is>
          <t>UWHARRIE CAPITAL CORP</t>
        </is>
      </c>
      <c r="D3896" t="n">
        <v>6022</v>
      </c>
    </row>
    <row r="3897">
      <c r="A3897" t="inlineStr">
        <is>
          <t>UWM HOLDINGS CORP</t>
        </is>
      </c>
      <c r="B3897" t="inlineStr">
        <is>
          <t>UWMC</t>
        </is>
      </c>
      <c r="C3897" t="inlineStr">
        <is>
          <t>UWM HOLDINGS CORP</t>
        </is>
      </c>
      <c r="D3897" t="n">
        <v>6162</v>
      </c>
    </row>
    <row r="3898">
      <c r="A3898" t="inlineStr">
        <is>
          <t>V F CORP</t>
        </is>
      </c>
      <c r="B3898" t="inlineStr">
        <is>
          <t>VFC</t>
        </is>
      </c>
      <c r="C3898" t="inlineStr">
        <is>
          <t>V F CORP</t>
        </is>
      </c>
      <c r="D3898" t="n">
        <v>2320</v>
      </c>
    </row>
    <row r="3899">
      <c r="A3899" t="inlineStr">
        <is>
          <t>VAALCO ENERGY INC /DE/</t>
        </is>
      </c>
      <c r="B3899" t="inlineStr">
        <is>
          <t>EGY</t>
        </is>
      </c>
      <c r="C3899" t="inlineStr">
        <is>
          <t>VAALCO ENERGY INC /DE/</t>
        </is>
      </c>
      <c r="D3899" t="n">
        <v>1311</v>
      </c>
    </row>
    <row r="3900">
      <c r="A3900" t="inlineStr">
        <is>
          <t>VACASA, INC.</t>
        </is>
      </c>
      <c r="B3900" t="inlineStr">
        <is>
          <t>VCSA</t>
        </is>
      </c>
      <c r="C3900" t="inlineStr">
        <is>
          <t>VACASA, INC.</t>
        </is>
      </c>
      <c r="D3900" t="n">
        <v>7340</v>
      </c>
    </row>
    <row r="3901">
      <c r="A3901" t="inlineStr">
        <is>
          <t>VACCITECH PLC</t>
        </is>
      </c>
      <c r="B3901" t="inlineStr">
        <is>
          <t>VACC</t>
        </is>
      </c>
      <c r="C3901" t="inlineStr">
        <is>
          <t>VACCITECH PLC</t>
        </is>
      </c>
      <c r="D3901" t="n">
        <v>2834</v>
      </c>
    </row>
    <row r="3902">
      <c r="A3902" t="inlineStr">
        <is>
          <t>VAIL RESORTS INC</t>
        </is>
      </c>
      <c r="B3902" t="inlineStr">
        <is>
          <t>MTN</t>
        </is>
      </c>
      <c r="C3902" t="inlineStr">
        <is>
          <t>VAIL RESORTS INC</t>
        </is>
      </c>
      <c r="D3902" t="n">
        <v>7990</v>
      </c>
    </row>
    <row r="3903">
      <c r="A3903" t="inlineStr">
        <is>
          <t>VALARIS LTD</t>
        </is>
      </c>
      <c r="B3903" t="inlineStr">
        <is>
          <t>VAL</t>
        </is>
      </c>
      <c r="C3903" t="inlineStr">
        <is>
          <t>VALARIS LTD</t>
        </is>
      </c>
      <c r="D3903" t="n">
        <v>1381</v>
      </c>
    </row>
    <row r="3904">
      <c r="A3904" t="inlineStr">
        <is>
          <t>VALENS SEMICONDUCTOR LTD.</t>
        </is>
      </c>
      <c r="B3904" t="inlineStr">
        <is>
          <t>VLN</t>
        </is>
      </c>
      <c r="C3904" t="inlineStr">
        <is>
          <t>VALENS SEMICONDUCTOR LTD.</t>
        </is>
      </c>
      <c r="D3904" t="n">
        <v>3674</v>
      </c>
    </row>
    <row r="3905">
      <c r="A3905" t="inlineStr">
        <is>
          <t>VALERO ENERGY CORP/TX</t>
        </is>
      </c>
      <c r="B3905" t="inlineStr">
        <is>
          <t>VLO</t>
        </is>
      </c>
      <c r="C3905" t="inlineStr">
        <is>
          <t>VALERO ENERGY CORP/TX</t>
        </is>
      </c>
      <c r="D3905" t="n">
        <v>2911</v>
      </c>
    </row>
    <row r="3906">
      <c r="A3906" t="inlineStr">
        <is>
          <t>VALHI INC /DE/</t>
        </is>
      </c>
      <c r="B3906" t="inlineStr">
        <is>
          <t>VHI</t>
        </is>
      </c>
      <c r="C3906" t="inlineStr">
        <is>
          <t>VALHI INC /DE/</t>
        </is>
      </c>
      <c r="D3906" t="n">
        <v>2810</v>
      </c>
    </row>
    <row r="3907">
      <c r="A3907" t="inlineStr">
        <is>
          <t>VALLEY NATIONAL BANCORP</t>
        </is>
      </c>
      <c r="B3907" t="inlineStr">
        <is>
          <t>VLY</t>
        </is>
      </c>
      <c r="C3907" t="inlineStr">
        <is>
          <t>VALLEY NATIONAL BANCORP</t>
        </is>
      </c>
      <c r="D3907" t="n">
        <v>6021</v>
      </c>
    </row>
    <row r="3908">
      <c r="A3908" t="inlineStr">
        <is>
          <t>VALMONT INDUSTRIES INC</t>
        </is>
      </c>
      <c r="B3908" t="inlineStr">
        <is>
          <t>VMI</t>
        </is>
      </c>
      <c r="C3908" t="inlineStr">
        <is>
          <t>VALMONT INDUSTRIES INC</t>
        </is>
      </c>
      <c r="D3908" t="n">
        <v>3440</v>
      </c>
    </row>
    <row r="3909">
      <c r="A3909" t="inlineStr">
        <is>
          <t>VALUE LINE INC</t>
        </is>
      </c>
      <c r="B3909" t="inlineStr">
        <is>
          <t>VALU</t>
        </is>
      </c>
      <c r="C3909" t="inlineStr">
        <is>
          <t>VALUE LINE INC</t>
        </is>
      </c>
      <c r="D3909" t="n">
        <v>6282</v>
      </c>
    </row>
    <row r="3910">
      <c r="A3910" t="inlineStr">
        <is>
          <t>VALVOLINE INC</t>
        </is>
      </c>
      <c r="B3910" t="inlineStr">
        <is>
          <t>VVV</t>
        </is>
      </c>
      <c r="C3910" t="inlineStr">
        <is>
          <t>VALVOLINE INC</t>
        </is>
      </c>
      <c r="D3910" t="n">
        <v>2990</v>
      </c>
    </row>
    <row r="3911">
      <c r="A3911" t="inlineStr">
        <is>
          <t>VANDA PHARMACEUTICALS INC.</t>
        </is>
      </c>
      <c r="B3911" t="inlineStr">
        <is>
          <t>VNDA</t>
        </is>
      </c>
      <c r="C3911" t="inlineStr">
        <is>
          <t>VANDA PHARMACEUTICALS INC.</t>
        </is>
      </c>
      <c r="D3911" t="n">
        <v>2834</v>
      </c>
    </row>
    <row r="3912">
      <c r="A3912" t="inlineStr">
        <is>
          <t>VANTAGE DRILLING INTERNATIONAL</t>
        </is>
      </c>
      <c r="B3912" t="inlineStr">
        <is>
          <t>VTDRF</t>
        </is>
      </c>
      <c r="C3912" t="inlineStr">
        <is>
          <t>VANTAGE DRILLING INTERNATIONAL</t>
        </is>
      </c>
      <c r="D3912" t="n">
        <v>1381</v>
      </c>
    </row>
    <row r="3913">
      <c r="A3913" t="inlineStr">
        <is>
          <t>VAPOTHERM INC</t>
        </is>
      </c>
      <c r="B3913" t="inlineStr">
        <is>
          <t>VAPO</t>
        </is>
      </c>
      <c r="C3913" t="inlineStr">
        <is>
          <t>VAPOTHERM INC</t>
        </is>
      </c>
      <c r="D3913" t="n">
        <v>3841</v>
      </c>
    </row>
    <row r="3914">
      <c r="A3914" t="inlineStr">
        <is>
          <t>VAREX IMAGING CORP</t>
        </is>
      </c>
      <c r="B3914" t="inlineStr">
        <is>
          <t>VREX</t>
        </is>
      </c>
      <c r="C3914" t="inlineStr">
        <is>
          <t>VAREX IMAGING CORP</t>
        </is>
      </c>
      <c r="D3914" t="n">
        <v>3679</v>
      </c>
    </row>
    <row r="3915">
      <c r="A3915" t="inlineStr">
        <is>
          <t>VARONIS SYSTEMS INC</t>
        </is>
      </c>
      <c r="B3915" t="inlineStr">
        <is>
          <t>VRNS</t>
        </is>
      </c>
      <c r="C3915" t="inlineStr">
        <is>
          <t>VARONIS SYSTEMS INC</t>
        </is>
      </c>
      <c r="D3915" t="n">
        <v>7372</v>
      </c>
    </row>
    <row r="3916">
      <c r="A3916" t="inlineStr">
        <is>
          <t>VASCULAR BIOGENICS LTD.</t>
        </is>
      </c>
      <c r="B3916" t="inlineStr">
        <is>
          <t>VBLT</t>
        </is>
      </c>
      <c r="C3916" t="inlineStr">
        <is>
          <t>VASCULAR BIOGENICS LTD.</t>
        </is>
      </c>
      <c r="D3916" t="n">
        <v>2834</v>
      </c>
    </row>
    <row r="3917">
      <c r="A3917" t="inlineStr">
        <is>
          <t>VASO CORP</t>
        </is>
      </c>
      <c r="B3917" t="inlineStr">
        <is>
          <t>VASO</t>
        </is>
      </c>
      <c r="C3917" t="inlineStr">
        <is>
          <t>VASO CORP</t>
        </is>
      </c>
      <c r="D3917" t="n">
        <v>3845</v>
      </c>
    </row>
    <row r="3918">
      <c r="A3918" t="inlineStr">
        <is>
          <t>VAXART, INC.</t>
        </is>
      </c>
      <c r="B3918" t="inlineStr">
        <is>
          <t>VXRT</t>
        </is>
      </c>
      <c r="C3918" t="inlineStr">
        <is>
          <t>VAXART, INC.</t>
        </is>
      </c>
      <c r="D3918" t="n">
        <v>2836</v>
      </c>
    </row>
    <row r="3919">
      <c r="A3919" t="inlineStr">
        <is>
          <t>VAXXINITY, INC.</t>
        </is>
      </c>
      <c r="B3919" t="inlineStr">
        <is>
          <t>VAXX</t>
        </is>
      </c>
      <c r="C3919" t="inlineStr">
        <is>
          <t>VAXXINITY, INC.</t>
        </is>
      </c>
      <c r="D3919" t="n">
        <v>2834</v>
      </c>
    </row>
    <row r="3920">
      <c r="A3920" t="inlineStr">
        <is>
          <t>VBI VACCINES INC/BC</t>
        </is>
      </c>
      <c r="B3920" t="inlineStr">
        <is>
          <t>VBIV</t>
        </is>
      </c>
      <c r="C3920" t="inlineStr">
        <is>
          <t>VBI VACCINES INC/BC</t>
        </is>
      </c>
      <c r="D3920" t="n">
        <v>2834</v>
      </c>
    </row>
    <row r="3921">
      <c r="A3921" t="inlineStr">
        <is>
          <t>VECTOR GROUP LTD</t>
        </is>
      </c>
      <c r="B3921" t="inlineStr">
        <is>
          <t>VGR</t>
        </is>
      </c>
      <c r="C3921" t="inlineStr">
        <is>
          <t>VECTOR GROUP LTD</t>
        </is>
      </c>
      <c r="D3921" t="n">
        <v>2111</v>
      </c>
    </row>
    <row r="3922">
      <c r="A3922" t="inlineStr">
        <is>
          <t>VECTRUS, INC.</t>
        </is>
      </c>
      <c r="B3922" t="inlineStr">
        <is>
          <t>VEC</t>
        </is>
      </c>
      <c r="C3922" t="inlineStr">
        <is>
          <t>VECTRUS, INC.</t>
        </is>
      </c>
      <c r="D3922" t="n">
        <v>8744</v>
      </c>
    </row>
    <row r="3923">
      <c r="A3923" t="inlineStr">
        <is>
          <t>VEECO INSTRUMENTS INC</t>
        </is>
      </c>
      <c r="B3923" t="inlineStr">
        <is>
          <t>VECO</t>
        </is>
      </c>
      <c r="C3923" t="inlineStr">
        <is>
          <t>VEECO INSTRUMENTS INC</t>
        </is>
      </c>
      <c r="D3923" t="n">
        <v>3559</v>
      </c>
    </row>
    <row r="3924">
      <c r="A3924" t="inlineStr">
        <is>
          <t>VEEVA SYSTEMS INC</t>
        </is>
      </c>
      <c r="B3924" t="inlineStr">
        <is>
          <t>VEEV</t>
        </is>
      </c>
      <c r="C3924" t="inlineStr">
        <is>
          <t>VEEVA SYSTEMS INC</t>
        </is>
      </c>
      <c r="D3924" t="n">
        <v>7372</v>
      </c>
    </row>
    <row r="3925">
      <c r="A3925" t="inlineStr">
        <is>
          <t>VELO3D, INC.</t>
        </is>
      </c>
      <c r="B3925" t="inlineStr">
        <is>
          <t>VLD</t>
        </is>
      </c>
      <c r="C3925" t="inlineStr">
        <is>
          <t>VELO3D, INC.</t>
        </is>
      </c>
      <c r="D3925" t="n">
        <v>3559</v>
      </c>
    </row>
    <row r="3926">
      <c r="A3926" t="inlineStr">
        <is>
          <t>VELOCITY FINANCIAL, INC.</t>
        </is>
      </c>
      <c r="B3926" t="inlineStr">
        <is>
          <t>VEL</t>
        </is>
      </c>
      <c r="C3926" t="inlineStr">
        <is>
          <t>VELOCITY FINANCIAL, INC.</t>
        </is>
      </c>
      <c r="D3926" t="n">
        <v>6199</v>
      </c>
    </row>
    <row r="3927">
      <c r="A3927" t="inlineStr">
        <is>
          <t>VELODYNE LIDAR, INC.</t>
        </is>
      </c>
      <c r="B3927" t="inlineStr">
        <is>
          <t>VLDR</t>
        </is>
      </c>
      <c r="C3927" t="inlineStr">
        <is>
          <t>VELODYNE LIDAR, INC.</t>
        </is>
      </c>
      <c r="D3927" t="n">
        <v>3569</v>
      </c>
    </row>
    <row r="3928">
      <c r="A3928" t="inlineStr">
        <is>
          <t>VENATOR MATERIALS PLC</t>
        </is>
      </c>
      <c r="B3928" t="inlineStr">
        <is>
          <t>VNTR</t>
        </is>
      </c>
      <c r="C3928" t="inlineStr">
        <is>
          <t>VENATOR MATERIALS PLC</t>
        </is>
      </c>
      <c r="D3928" t="n">
        <v>2810</v>
      </c>
    </row>
    <row r="3929">
      <c r="A3929" t="inlineStr">
        <is>
          <t>VENTAS, INC.</t>
        </is>
      </c>
      <c r="B3929" t="inlineStr">
        <is>
          <t>VTR</t>
        </is>
      </c>
      <c r="C3929" t="inlineStr">
        <is>
          <t>VENTAS, INC.</t>
        </is>
      </c>
      <c r="D3929" t="n">
        <v>6798</v>
      </c>
    </row>
    <row r="3930">
      <c r="A3930" t="inlineStr">
        <is>
          <t>VENUS CONCEPT INC.</t>
        </is>
      </c>
      <c r="B3930" t="inlineStr">
        <is>
          <t>VERO</t>
        </is>
      </c>
      <c r="C3930" t="inlineStr">
        <is>
          <t>VENUS CONCEPT INC.</t>
        </is>
      </c>
      <c r="D3930" t="n">
        <v>3841</v>
      </c>
    </row>
    <row r="3931">
      <c r="A3931" t="inlineStr">
        <is>
          <t>VERA BRADLEY, INC.</t>
        </is>
      </c>
      <c r="B3931" t="inlineStr">
        <is>
          <t>VRA</t>
        </is>
      </c>
      <c r="C3931" t="inlineStr">
        <is>
          <t>VERA BRADLEY, INC.</t>
        </is>
      </c>
      <c r="D3931" t="n">
        <v>3100</v>
      </c>
    </row>
    <row r="3932">
      <c r="A3932" t="inlineStr">
        <is>
          <t>VERACYTE, INC.</t>
        </is>
      </c>
      <c r="B3932" t="inlineStr">
        <is>
          <t>VCYT</t>
        </is>
      </c>
      <c r="C3932" t="inlineStr">
        <is>
          <t>VERACYTE, INC.</t>
        </is>
      </c>
      <c r="D3932" t="n">
        <v>8071</v>
      </c>
    </row>
    <row r="3933">
      <c r="A3933" t="inlineStr">
        <is>
          <t>VERASTEM, INC.</t>
        </is>
      </c>
      <c r="B3933" t="inlineStr">
        <is>
          <t>VSTM</t>
        </is>
      </c>
      <c r="C3933" t="inlineStr">
        <is>
          <t>VERASTEM, INC.</t>
        </is>
      </c>
      <c r="D3933" t="n">
        <v>2834</v>
      </c>
    </row>
    <row r="3934">
      <c r="A3934" t="inlineStr">
        <is>
          <t>VERB TECHNOLOGY COMPANY, INC.</t>
        </is>
      </c>
      <c r="B3934" t="inlineStr">
        <is>
          <t>VERB</t>
        </is>
      </c>
      <c r="C3934" t="inlineStr">
        <is>
          <t>VERB TECHNOLOGY COMPANY, INC.</t>
        </is>
      </c>
      <c r="D3934" t="n">
        <v>7200</v>
      </c>
    </row>
    <row r="3935">
      <c r="A3935" t="inlineStr">
        <is>
          <t>VERICEL CORP</t>
        </is>
      </c>
      <c r="B3935" t="inlineStr">
        <is>
          <t>VCEL</t>
        </is>
      </c>
      <c r="C3935" t="inlineStr">
        <is>
          <t>VERICEL CORP</t>
        </is>
      </c>
      <c r="D3935" t="n">
        <v>2836</v>
      </c>
    </row>
    <row r="3936">
      <c r="A3936" t="inlineStr">
        <is>
          <t>VERICITY, INC.</t>
        </is>
      </c>
      <c r="B3936" t="inlineStr">
        <is>
          <t>VERY</t>
        </is>
      </c>
      <c r="C3936" t="inlineStr">
        <is>
          <t>VERICITY, INC.</t>
        </is>
      </c>
      <c r="D3936" t="n">
        <v>6311</v>
      </c>
    </row>
    <row r="3937">
      <c r="A3937" t="inlineStr">
        <is>
          <t>VERINT SYSTEMS INC</t>
        </is>
      </c>
      <c r="B3937" t="inlineStr">
        <is>
          <t>VRNT</t>
        </is>
      </c>
      <c r="C3937" t="inlineStr">
        <is>
          <t>VERINT SYSTEMS INC</t>
        </is>
      </c>
      <c r="D3937" t="n">
        <v>7373</v>
      </c>
    </row>
    <row r="3938">
      <c r="A3938" t="inlineStr">
        <is>
          <t>VERIS RESIDENTIAL, INC.</t>
        </is>
      </c>
      <c r="B3938" t="inlineStr">
        <is>
          <t>VRE</t>
        </is>
      </c>
      <c r="C3938" t="inlineStr">
        <is>
          <t>VERIS RESIDENTIAL, INC.</t>
        </is>
      </c>
      <c r="D3938" t="n">
        <v>6798</v>
      </c>
    </row>
    <row r="3939">
      <c r="A3939" t="inlineStr">
        <is>
          <t>VERISIGN INC/CA</t>
        </is>
      </c>
      <c r="B3939" t="inlineStr">
        <is>
          <t>VRSN</t>
        </is>
      </c>
      <c r="C3939" t="inlineStr">
        <is>
          <t>VERISIGN INC/CA</t>
        </is>
      </c>
      <c r="D3939" t="n">
        <v>7371</v>
      </c>
    </row>
    <row r="3940">
      <c r="A3940" t="inlineStr">
        <is>
          <t>VERISK ANALYTICS, INC.</t>
        </is>
      </c>
      <c r="B3940" t="inlineStr">
        <is>
          <t>VRSK</t>
        </is>
      </c>
      <c r="C3940" t="inlineStr">
        <is>
          <t>VERISK ANALYTICS, INC.</t>
        </is>
      </c>
      <c r="D3940" t="n">
        <v>7374</v>
      </c>
    </row>
    <row r="3941">
      <c r="A3941" t="inlineStr">
        <is>
          <t>VERITEX HOLDINGS, INC.</t>
        </is>
      </c>
      <c r="B3941" t="inlineStr">
        <is>
          <t>VBTX</t>
        </is>
      </c>
      <c r="C3941" t="inlineStr">
        <is>
          <t>VERITEX HOLDINGS, INC.</t>
        </is>
      </c>
      <c r="D3941" t="n">
        <v>6022</v>
      </c>
    </row>
    <row r="3942">
      <c r="A3942" t="inlineStr">
        <is>
          <t>VERITIV CORP</t>
        </is>
      </c>
      <c r="B3942" t="inlineStr">
        <is>
          <t>VRTV</t>
        </is>
      </c>
      <c r="C3942" t="inlineStr">
        <is>
          <t>VERITIV CORP</t>
        </is>
      </c>
      <c r="D3942" t="n">
        <v>5110</v>
      </c>
    </row>
    <row r="3943">
      <c r="A3943" t="inlineStr">
        <is>
          <t>VERITONE, INC.</t>
        </is>
      </c>
      <c r="B3943" t="inlineStr">
        <is>
          <t>VERI</t>
        </is>
      </c>
      <c r="C3943" t="inlineStr">
        <is>
          <t>VERITONE, INC.</t>
        </is>
      </c>
      <c r="D3943" t="n">
        <v>7374</v>
      </c>
    </row>
    <row r="3944">
      <c r="A3944" t="inlineStr">
        <is>
          <t>VERIZON COMMUNICATIONS INC</t>
        </is>
      </c>
      <c r="B3944" t="inlineStr">
        <is>
          <t>VZ</t>
        </is>
      </c>
      <c r="C3944" t="inlineStr">
        <is>
          <t>VERIZON COMMUNICATIONS INC</t>
        </is>
      </c>
      <c r="D3944" t="n">
        <v>4813</v>
      </c>
    </row>
    <row r="3945">
      <c r="A3945" t="inlineStr">
        <is>
          <t>VERRA MOBILITY CORP</t>
        </is>
      </c>
      <c r="B3945" t="inlineStr">
        <is>
          <t>VRRM</t>
        </is>
      </c>
      <c r="C3945" t="inlineStr">
        <is>
          <t>VERRA MOBILITY CORP</t>
        </is>
      </c>
      <c r="D3945" t="n">
        <v>4700</v>
      </c>
    </row>
    <row r="3946">
      <c r="A3946" t="inlineStr">
        <is>
          <t>VERTEX ENERGY INC.</t>
        </is>
      </c>
      <c r="B3946" t="inlineStr">
        <is>
          <t>VTNR</t>
        </is>
      </c>
      <c r="C3946" t="inlineStr">
        <is>
          <t>VERTEX ENERGY INC.</t>
        </is>
      </c>
      <c r="D3946" t="n">
        <v>2911</v>
      </c>
    </row>
    <row r="3947">
      <c r="A3947" t="inlineStr">
        <is>
          <t>VERTEX PHARMACEUTICALS INC / MA</t>
        </is>
      </c>
      <c r="B3947" t="inlineStr">
        <is>
          <t>VRTX</t>
        </is>
      </c>
      <c r="C3947" t="inlineStr">
        <is>
          <t>VERTEX PHARMACEUTICALS INC / MA</t>
        </is>
      </c>
      <c r="D3947" t="n">
        <v>2834</v>
      </c>
    </row>
    <row r="3948">
      <c r="A3948" t="inlineStr">
        <is>
          <t>VERTEX, INC.</t>
        </is>
      </c>
      <c r="B3948" t="inlineStr">
        <is>
          <t>VERX</t>
        </is>
      </c>
      <c r="C3948" t="inlineStr">
        <is>
          <t>VERTEX, INC.</t>
        </is>
      </c>
      <c r="D3948" t="n">
        <v>7372</v>
      </c>
    </row>
    <row r="3949">
      <c r="A3949" t="inlineStr">
        <is>
          <t>VERTIV HOLDINGS CO</t>
        </is>
      </c>
      <c r="B3949" t="inlineStr">
        <is>
          <t>VRT</t>
        </is>
      </c>
      <c r="C3949" t="inlineStr">
        <is>
          <t>VERTIV HOLDINGS CO</t>
        </is>
      </c>
      <c r="D3949" t="n">
        <v>3679</v>
      </c>
    </row>
    <row r="3950">
      <c r="A3950" t="inlineStr">
        <is>
          <t>VERU INC.</t>
        </is>
      </c>
      <c r="B3950" t="inlineStr">
        <is>
          <t>VERU</t>
        </is>
      </c>
      <c r="C3950" t="inlineStr">
        <is>
          <t>VERU INC.</t>
        </is>
      </c>
      <c r="D3950" t="n">
        <v>2834</v>
      </c>
    </row>
    <row r="3951">
      <c r="A3951" t="inlineStr">
        <is>
          <t>VIA RENEWABLES, INC.</t>
        </is>
      </c>
      <c r="B3951" t="inlineStr">
        <is>
          <t>VIA</t>
        </is>
      </c>
      <c r="C3951" t="inlineStr">
        <is>
          <t>VIA RENEWABLES, INC.</t>
        </is>
      </c>
      <c r="D3951" t="n">
        <v>4931</v>
      </c>
    </row>
    <row r="3952">
      <c r="A3952" t="inlineStr">
        <is>
          <t>VIAD CORP</t>
        </is>
      </c>
      <c r="B3952" t="inlineStr">
        <is>
          <t>VVI</t>
        </is>
      </c>
      <c r="C3952" t="inlineStr">
        <is>
          <t>VIAD CORP</t>
        </is>
      </c>
      <c r="D3952" t="n">
        <v>7389</v>
      </c>
    </row>
    <row r="3953">
      <c r="A3953" t="inlineStr">
        <is>
          <t>VIANT TECHNOLOGY INC.</t>
        </is>
      </c>
      <c r="B3953" t="inlineStr">
        <is>
          <t>DSP</t>
        </is>
      </c>
      <c r="C3953" t="inlineStr">
        <is>
          <t>VIANT TECHNOLOGY INC.</t>
        </is>
      </c>
      <c r="D3953" t="n">
        <v>7370</v>
      </c>
    </row>
    <row r="3954">
      <c r="A3954" t="inlineStr">
        <is>
          <t>VIASAT INC</t>
        </is>
      </c>
      <c r="B3954" t="inlineStr">
        <is>
          <t>VSAT</t>
        </is>
      </c>
      <c r="C3954" t="inlineStr">
        <is>
          <t>VIASAT INC</t>
        </is>
      </c>
      <c r="D3954" t="n">
        <v>3663</v>
      </c>
    </row>
    <row r="3955">
      <c r="A3955" t="inlineStr">
        <is>
          <t>VIATRIS INC</t>
        </is>
      </c>
      <c r="B3955" t="inlineStr">
        <is>
          <t>VTRS</t>
        </is>
      </c>
      <c r="C3955" t="inlineStr">
        <is>
          <t>VIATRIS INC</t>
        </is>
      </c>
      <c r="D3955" t="n">
        <v>2834</v>
      </c>
    </row>
    <row r="3956">
      <c r="A3956" t="inlineStr">
        <is>
          <t>VIAVI SOLUTIONS INC.</t>
        </is>
      </c>
      <c r="B3956" t="inlineStr">
        <is>
          <t>VIAV</t>
        </is>
      </c>
      <c r="C3956" t="inlineStr">
        <is>
          <t>VIAVI SOLUTIONS INC.</t>
        </is>
      </c>
      <c r="D3956" t="n">
        <v>3674</v>
      </c>
    </row>
    <row r="3957">
      <c r="A3957" t="inlineStr">
        <is>
          <t>VICI PROPERTIES INC.</t>
        </is>
      </c>
      <c r="B3957" t="inlineStr">
        <is>
          <t>VICI</t>
        </is>
      </c>
      <c r="C3957" t="inlineStr">
        <is>
          <t>VICI PROPERTIES INC.</t>
        </is>
      </c>
      <c r="D3957" t="n">
        <v>6798</v>
      </c>
    </row>
    <row r="3958">
      <c r="A3958" t="inlineStr">
        <is>
          <t>VICOR CORP</t>
        </is>
      </c>
      <c r="B3958" t="inlineStr">
        <is>
          <t>VICR</t>
        </is>
      </c>
      <c r="C3958" t="inlineStr">
        <is>
          <t>VICOR CORP</t>
        </is>
      </c>
      <c r="D3958" t="n">
        <v>3679</v>
      </c>
    </row>
    <row r="3959">
      <c r="A3959" t="inlineStr">
        <is>
          <t>VICTORIA'S SECRET &amp; CO.</t>
        </is>
      </c>
      <c r="B3959" t="inlineStr">
        <is>
          <t>VSCO</t>
        </is>
      </c>
      <c r="C3959" t="inlineStr">
        <is>
          <t>VICTORIA'S SECRET &amp; CO.</t>
        </is>
      </c>
      <c r="D3959" t="n">
        <v>5621</v>
      </c>
    </row>
    <row r="3960">
      <c r="A3960" t="inlineStr">
        <is>
          <t>VICTORY CAPITAL HOLDINGS, INC.</t>
        </is>
      </c>
      <c r="B3960" t="inlineStr">
        <is>
          <t>VCTR</t>
        </is>
      </c>
      <c r="C3960" t="inlineStr">
        <is>
          <t>VICTORY CAPITAL HOLDINGS, INC.</t>
        </is>
      </c>
      <c r="D3960" t="n">
        <v>6282</v>
      </c>
    </row>
    <row r="3961">
      <c r="A3961" t="inlineStr">
        <is>
          <t>VIEMED HEALTHCARE, INC.</t>
        </is>
      </c>
      <c r="B3961" t="inlineStr">
        <is>
          <t>VMD</t>
        </is>
      </c>
      <c r="C3961" t="inlineStr">
        <is>
          <t>VIEMED HEALTHCARE, INC.</t>
        </is>
      </c>
      <c r="D3961" t="n">
        <v>8090</v>
      </c>
    </row>
    <row r="3962">
      <c r="A3962" t="inlineStr">
        <is>
          <t>VIEW, INC.</t>
        </is>
      </c>
      <c r="B3962" t="inlineStr">
        <is>
          <t>VIEW</t>
        </is>
      </c>
      <c r="C3962" t="inlineStr">
        <is>
          <t>VIEW, INC.</t>
        </is>
      </c>
      <c r="D3962" t="n">
        <v>3211</v>
      </c>
    </row>
    <row r="3963">
      <c r="A3963" t="inlineStr">
        <is>
          <t>VIEWRAY, INC.</t>
        </is>
      </c>
      <c r="B3963" t="inlineStr">
        <is>
          <t>VRAY</t>
        </is>
      </c>
      <c r="C3963" t="inlineStr">
        <is>
          <t>VIEWRAY, INC.</t>
        </is>
      </c>
      <c r="D3963" t="n">
        <v>3845</v>
      </c>
    </row>
    <row r="3964">
      <c r="A3964" t="inlineStr">
        <is>
          <t>VIKING ENERGY GROUP, INC.</t>
        </is>
      </c>
      <c r="B3964" t="inlineStr">
        <is>
          <t>VKIN</t>
        </is>
      </c>
      <c r="C3964" t="inlineStr">
        <is>
          <t>VIKING ENERGY GROUP, INC.</t>
        </is>
      </c>
      <c r="D3964" t="n">
        <v>1311</v>
      </c>
    </row>
    <row r="3965">
      <c r="A3965" t="inlineStr">
        <is>
          <t>VILLAGE BANK &amp; TRUST FINANCIAL CORP.</t>
        </is>
      </c>
      <c r="B3965" t="inlineStr">
        <is>
          <t>VBFC</t>
        </is>
      </c>
      <c r="C3965" t="inlineStr">
        <is>
          <t>VILLAGE BANK &amp; TRUST FINANCIAL CORP.</t>
        </is>
      </c>
      <c r="D3965" t="n">
        <v>6022</v>
      </c>
    </row>
    <row r="3966">
      <c r="A3966" t="inlineStr">
        <is>
          <t>VILLAGE FARMS INTERNATIONAL, INC.</t>
        </is>
      </c>
      <c r="B3966" t="inlineStr">
        <is>
          <t>VFF</t>
        </is>
      </c>
      <c r="C3966" t="inlineStr">
        <is>
          <t>VILLAGE FARMS INTERNATIONAL, INC.</t>
        </is>
      </c>
      <c r="D3966" t="n">
        <v>100</v>
      </c>
    </row>
    <row r="3967">
      <c r="A3967" t="inlineStr">
        <is>
          <t>VILLAGE SUPER MARKET INC</t>
        </is>
      </c>
      <c r="B3967" t="inlineStr">
        <is>
          <t>VLGEA</t>
        </is>
      </c>
      <c r="C3967" t="inlineStr">
        <is>
          <t>VILLAGE SUPER MARKET INC</t>
        </is>
      </c>
      <c r="D3967" t="n">
        <v>5411</v>
      </c>
    </row>
    <row r="3968">
      <c r="A3968" t="inlineStr">
        <is>
          <t>VIMEO, INC.</t>
        </is>
      </c>
      <c r="B3968" t="inlineStr">
        <is>
          <t>VMEO</t>
        </is>
      </c>
      <c r="C3968" t="inlineStr">
        <is>
          <t>VIMEO, INC.</t>
        </is>
      </c>
      <c r="D3968" t="n">
        <v>7370</v>
      </c>
    </row>
    <row r="3969">
      <c r="A3969" t="inlineStr">
        <is>
          <t>VINCE HOLDING CORP.</t>
        </is>
      </c>
      <c r="B3969" t="inlineStr">
        <is>
          <t>VNCE</t>
        </is>
      </c>
      <c r="C3969" t="inlineStr">
        <is>
          <t>VINCE HOLDING CORP.</t>
        </is>
      </c>
      <c r="D3969" t="n">
        <v>5600</v>
      </c>
    </row>
    <row r="3970">
      <c r="A3970" t="inlineStr">
        <is>
          <t>VINCO VENTURES, INC.</t>
        </is>
      </c>
      <c r="B3970" t="inlineStr">
        <is>
          <t>BBIG</t>
        </is>
      </c>
      <c r="C3970" t="inlineStr">
        <is>
          <t>VINCO VENTURES, INC.</t>
        </is>
      </c>
      <c r="D3970" t="n">
        <v>3944</v>
      </c>
    </row>
    <row r="3971">
      <c r="A3971" t="inlineStr">
        <is>
          <t>VINTAGE WINE ESTATES, INC.</t>
        </is>
      </c>
      <c r="B3971" t="inlineStr">
        <is>
          <t>VWE</t>
        </is>
      </c>
      <c r="C3971" t="inlineStr">
        <is>
          <t>VINTAGE WINE ESTATES, INC.</t>
        </is>
      </c>
      <c r="D3971" t="n">
        <v>2080</v>
      </c>
    </row>
    <row r="3972">
      <c r="A3972" t="inlineStr">
        <is>
          <t>VIOMI TECHNOLOGY CO., LTD</t>
        </is>
      </c>
      <c r="B3972" t="inlineStr">
        <is>
          <t>VIOT</t>
        </is>
      </c>
      <c r="C3972" t="inlineStr">
        <is>
          <t>VIOMI TECHNOLOGY CO., LTD</t>
        </is>
      </c>
      <c r="D3972" t="n">
        <v>3630</v>
      </c>
    </row>
    <row r="3973">
      <c r="A3973" t="inlineStr">
        <is>
          <t>VIPER ENERGY PARTNERS LP</t>
        </is>
      </c>
      <c r="B3973" t="inlineStr">
        <is>
          <t>VNOM</t>
        </is>
      </c>
      <c r="C3973" t="inlineStr">
        <is>
          <t>VIPER ENERGY PARTNERS LP</t>
        </is>
      </c>
      <c r="D3973" t="n">
        <v>1311</v>
      </c>
    </row>
    <row r="3974">
      <c r="A3974" t="inlineStr">
        <is>
          <t>VIPSHOP HOLDINGS LTD</t>
        </is>
      </c>
      <c r="B3974" t="inlineStr">
        <is>
          <t>VIPS</t>
        </is>
      </c>
      <c r="C3974" t="inlineStr">
        <is>
          <t>VIPSHOP HOLDINGS LTD</t>
        </is>
      </c>
      <c r="D3974" t="n">
        <v>5961</v>
      </c>
    </row>
    <row r="3975">
      <c r="A3975" t="inlineStr">
        <is>
          <t>VIR BIOTECHNOLOGY, INC.</t>
        </is>
      </c>
      <c r="B3975" t="inlineStr">
        <is>
          <t>VIR</t>
        </is>
      </c>
      <c r="C3975" t="inlineStr">
        <is>
          <t>VIR BIOTECHNOLOGY, INC.</t>
        </is>
      </c>
      <c r="D3975" t="n">
        <v>2836</v>
      </c>
    </row>
    <row r="3976">
      <c r="A3976" t="inlineStr">
        <is>
          <t>VIRCO MFG CORPORATION</t>
        </is>
      </c>
      <c r="B3976" t="inlineStr">
        <is>
          <t>VIRC</t>
        </is>
      </c>
      <c r="C3976" t="inlineStr">
        <is>
          <t>VIRCO MFG CORPORATION</t>
        </is>
      </c>
      <c r="D3976" t="n">
        <v>2531</v>
      </c>
    </row>
    <row r="3977">
      <c r="A3977" t="inlineStr">
        <is>
          <t>VIRGIN GALACTIC HOLDINGS, INC</t>
        </is>
      </c>
      <c r="B3977" t="inlineStr">
        <is>
          <t>SPCE</t>
        </is>
      </c>
      <c r="C3977" t="inlineStr">
        <is>
          <t>VIRGIN GALACTIC HOLDINGS, INC</t>
        </is>
      </c>
      <c r="D3977" t="n">
        <v>4700</v>
      </c>
    </row>
    <row r="3978">
      <c r="A3978" t="inlineStr">
        <is>
          <t>VIRGIN ORBIT HOLDINGS, INC.</t>
        </is>
      </c>
      <c r="B3978" t="inlineStr">
        <is>
          <t>VORB</t>
        </is>
      </c>
      <c r="C3978" t="inlineStr">
        <is>
          <t>VIRGIN ORBIT HOLDINGS, INC.</t>
        </is>
      </c>
      <c r="D3978" t="n">
        <v>3812</v>
      </c>
    </row>
    <row r="3979">
      <c r="A3979" t="inlineStr">
        <is>
          <t>VIRGINIA NATIONAL BANKSHARES CORP</t>
        </is>
      </c>
      <c r="B3979" t="inlineStr">
        <is>
          <t>VABK</t>
        </is>
      </c>
      <c r="C3979" t="inlineStr">
        <is>
          <t>VIRGINIA NATIONAL BANKSHARES CORP</t>
        </is>
      </c>
      <c r="D3979" t="n">
        <v>6021</v>
      </c>
    </row>
    <row r="3980">
      <c r="A3980" t="inlineStr">
        <is>
          <t>VIRIDIAN THERAPEUTICS, INC.DE</t>
        </is>
      </c>
      <c r="B3980" t="inlineStr">
        <is>
          <t>VRDN</t>
        </is>
      </c>
      <c r="C3980" t="inlineStr">
        <is>
          <t>VIRIDIAN THERAPEUTICS, INC.DE</t>
        </is>
      </c>
      <c r="D3980" t="n">
        <v>8071</v>
      </c>
    </row>
    <row r="3981">
      <c r="A3981" t="inlineStr">
        <is>
          <t>VIRNETX HOLDING CORP</t>
        </is>
      </c>
      <c r="B3981" t="inlineStr">
        <is>
          <t>VHC</t>
        </is>
      </c>
      <c r="C3981" t="inlineStr">
        <is>
          <t>VIRNETX HOLDING CORP</t>
        </is>
      </c>
      <c r="D3981" t="n">
        <v>6794</v>
      </c>
    </row>
    <row r="3982">
      <c r="A3982" t="inlineStr">
        <is>
          <t>VIRTRA, INC</t>
        </is>
      </c>
      <c r="B3982" t="inlineStr">
        <is>
          <t>VTSI</t>
        </is>
      </c>
      <c r="C3982" t="inlineStr">
        <is>
          <t>VIRTRA, INC</t>
        </is>
      </c>
      <c r="D3982" t="n">
        <v>3990</v>
      </c>
    </row>
    <row r="3983">
      <c r="A3983" t="inlineStr">
        <is>
          <t>VIRTU FINANCIAL, INC.</t>
        </is>
      </c>
      <c r="B3983" t="inlineStr">
        <is>
          <t>VIRT</t>
        </is>
      </c>
      <c r="C3983" t="inlineStr">
        <is>
          <t>VIRTU FINANCIAL, INC.</t>
        </is>
      </c>
      <c r="D3983" t="n">
        <v>6211</v>
      </c>
    </row>
    <row r="3984">
      <c r="A3984" t="inlineStr">
        <is>
          <t>VIRTUS INVESTMENT PARTNERS, INC.</t>
        </is>
      </c>
      <c r="B3984" t="inlineStr">
        <is>
          <t>VRTS</t>
        </is>
      </c>
      <c r="C3984" t="inlineStr">
        <is>
          <t>VIRTUS INVESTMENT PARTNERS, INC.</t>
        </is>
      </c>
      <c r="D3984" t="n">
        <v>6282</v>
      </c>
    </row>
    <row r="3985">
      <c r="A3985" t="inlineStr">
        <is>
          <t>VISHAY INTERTECHNOLOGY INC</t>
        </is>
      </c>
      <c r="B3985" t="inlineStr">
        <is>
          <t>VSH</t>
        </is>
      </c>
      <c r="C3985" t="inlineStr">
        <is>
          <t>VISHAY INTERTECHNOLOGY INC</t>
        </is>
      </c>
      <c r="D3985" t="n">
        <v>3670</v>
      </c>
    </row>
    <row r="3986">
      <c r="A3986" t="inlineStr">
        <is>
          <t>VISHAY PRECISION GROUP, INC.</t>
        </is>
      </c>
      <c r="B3986" t="inlineStr">
        <is>
          <t>VPG</t>
        </is>
      </c>
      <c r="C3986" t="inlineStr">
        <is>
          <t>VISHAY PRECISION GROUP, INC.</t>
        </is>
      </c>
      <c r="D3986" t="n">
        <v>3670</v>
      </c>
    </row>
    <row r="3987">
      <c r="A3987" t="inlineStr">
        <is>
          <t>VISLINK TECHNOLOGIES, INC.</t>
        </is>
      </c>
      <c r="B3987" t="inlineStr">
        <is>
          <t>VISL</t>
        </is>
      </c>
      <c r="C3987" t="inlineStr">
        <is>
          <t>VISLINK TECHNOLOGIES, INC.</t>
        </is>
      </c>
      <c r="D3987" t="n">
        <v>3669</v>
      </c>
    </row>
    <row r="3988">
      <c r="A3988" t="inlineStr">
        <is>
          <t>VISTA OUTDOOR INC.</t>
        </is>
      </c>
      <c r="B3988" t="inlineStr">
        <is>
          <t>VSTO</t>
        </is>
      </c>
      <c r="C3988" t="inlineStr">
        <is>
          <t>VISTA OUTDOOR INC.</t>
        </is>
      </c>
      <c r="D3988" t="n">
        <v>3480</v>
      </c>
    </row>
    <row r="3989">
      <c r="A3989" t="inlineStr">
        <is>
          <t>VISTAGEN THERAPEUTICS, INC.</t>
        </is>
      </c>
      <c r="B3989" t="inlineStr">
        <is>
          <t>VTGN</t>
        </is>
      </c>
      <c r="C3989" t="inlineStr">
        <is>
          <t>VISTAGEN THERAPEUTICS, INC.</t>
        </is>
      </c>
      <c r="D3989" t="n">
        <v>2834</v>
      </c>
    </row>
    <row r="3990">
      <c r="A3990" t="inlineStr">
        <is>
          <t>VISTEON CORP</t>
        </is>
      </c>
      <c r="B3990" t="inlineStr">
        <is>
          <t>VC</t>
        </is>
      </c>
      <c r="C3990" t="inlineStr">
        <is>
          <t>VISTEON CORP</t>
        </is>
      </c>
      <c r="D3990" t="n">
        <v>3714</v>
      </c>
    </row>
    <row r="3991">
      <c r="A3991" t="inlineStr">
        <is>
          <t>VISTRA CORP.</t>
        </is>
      </c>
      <c r="B3991" t="inlineStr">
        <is>
          <t>VST</t>
        </is>
      </c>
      <c r="C3991" t="inlineStr">
        <is>
          <t>VISTRA CORP.</t>
        </is>
      </c>
      <c r="D3991" t="n">
        <v>4911</v>
      </c>
    </row>
    <row r="3992">
      <c r="A3992" t="inlineStr">
        <is>
          <t>VITA COCO COMPANY, INC.</t>
        </is>
      </c>
      <c r="B3992" t="inlineStr">
        <is>
          <t>COCO</t>
        </is>
      </c>
      <c r="C3992" t="inlineStr">
        <is>
          <t>VITA COCO COMPANY, INC.</t>
        </is>
      </c>
      <c r="D3992" t="n">
        <v>2080</v>
      </c>
    </row>
    <row r="3993">
      <c r="A3993" t="inlineStr">
        <is>
          <t>VITAL FARMS, INC.</t>
        </is>
      </c>
      <c r="B3993" t="inlineStr">
        <is>
          <t>VITL</t>
        </is>
      </c>
      <c r="C3993" t="inlineStr">
        <is>
          <t>VITAL FARMS, INC.</t>
        </is>
      </c>
      <c r="D3993" t="n">
        <v>2000</v>
      </c>
    </row>
    <row r="3994">
      <c r="A3994" t="inlineStr">
        <is>
          <t>VIVAKOR, INC.</t>
        </is>
      </c>
      <c r="B3994" t="inlineStr">
        <is>
          <t>VIVK</t>
        </is>
      </c>
      <c r="C3994" t="inlineStr">
        <is>
          <t>VIVAKOR, INC.</t>
        </is>
      </c>
      <c r="D3994" t="n">
        <v>4953</v>
      </c>
    </row>
    <row r="3995">
      <c r="A3995" t="inlineStr">
        <is>
          <t>VIVINT SMART HOME, INC.</t>
        </is>
      </c>
      <c r="B3995" t="inlineStr">
        <is>
          <t>VVNT</t>
        </is>
      </c>
      <c r="C3995" t="inlineStr">
        <is>
          <t>VIVINT SMART HOME, INC.</t>
        </is>
      </c>
      <c r="D3995" t="n">
        <v>7381</v>
      </c>
    </row>
    <row r="3996">
      <c r="A3996" t="inlineStr">
        <is>
          <t>VIVOS THERAPEUTICS, INC.</t>
        </is>
      </c>
      <c r="B3996" t="inlineStr">
        <is>
          <t>VVOS</t>
        </is>
      </c>
      <c r="C3996" t="inlineStr">
        <is>
          <t>VIVOS THERAPEUTICS, INC.</t>
        </is>
      </c>
      <c r="D3996" t="n">
        <v>3841</v>
      </c>
    </row>
    <row r="3997">
      <c r="A3997" t="inlineStr">
        <is>
          <t>VIZIO HOLDING CORP.</t>
        </is>
      </c>
      <c r="B3997" t="inlineStr">
        <is>
          <t>VZIO</t>
        </is>
      </c>
      <c r="C3997" t="inlineStr">
        <is>
          <t>VIZIO HOLDING CORP.</t>
        </is>
      </c>
      <c r="D3997" t="n">
        <v>3651</v>
      </c>
    </row>
    <row r="3998">
      <c r="A3998" t="inlineStr">
        <is>
          <t>VMWARE, INC.</t>
        </is>
      </c>
      <c r="B3998" t="inlineStr">
        <is>
          <t>VMW</t>
        </is>
      </c>
      <c r="C3998" t="inlineStr">
        <is>
          <t>VMWARE, INC.</t>
        </is>
      </c>
      <c r="D3998" t="n">
        <v>7372</v>
      </c>
    </row>
    <row r="3999">
      <c r="A3999" t="inlineStr">
        <is>
          <t>VOLTA INC.</t>
        </is>
      </c>
      <c r="B3999" t="inlineStr">
        <is>
          <t>VLTA</t>
        </is>
      </c>
      <c r="C3999" t="inlineStr">
        <is>
          <t>VOLTA INC.</t>
        </is>
      </c>
      <c r="D3999" t="n">
        <v>3790</v>
      </c>
    </row>
    <row r="4000">
      <c r="A4000" t="inlineStr">
        <is>
          <t>VONAGE HOLDINGS CORP</t>
        </is>
      </c>
      <c r="B4000" t="inlineStr">
        <is>
          <t>VG</t>
        </is>
      </c>
      <c r="C4000" t="inlineStr">
        <is>
          <t>VONAGE HOLDINGS CORP</t>
        </is>
      </c>
      <c r="D4000" t="n">
        <v>4813</v>
      </c>
    </row>
    <row r="4001">
      <c r="A4001" t="inlineStr">
        <is>
          <t>VONTIER CORP</t>
        </is>
      </c>
      <c r="B4001" t="inlineStr">
        <is>
          <t>VNT</t>
        </is>
      </c>
      <c r="C4001" t="inlineStr">
        <is>
          <t>VONTIER CORP</t>
        </is>
      </c>
      <c r="D4001" t="n">
        <v>3824</v>
      </c>
    </row>
    <row r="4002">
      <c r="A4002" t="inlineStr">
        <is>
          <t>VORNADO REALTY TRUST</t>
        </is>
      </c>
      <c r="B4002" t="inlineStr">
        <is>
          <t>VNO</t>
        </is>
      </c>
      <c r="C4002" t="inlineStr">
        <is>
          <t>VORNADO REALTY TRUST</t>
        </is>
      </c>
      <c r="D4002" t="n">
        <v>6798</v>
      </c>
    </row>
    <row r="4003">
      <c r="A4003" t="inlineStr">
        <is>
          <t>VOXX INTERNATIONAL CORP</t>
        </is>
      </c>
      <c r="B4003" t="inlineStr">
        <is>
          <t>VOXX</t>
        </is>
      </c>
      <c r="C4003" t="inlineStr">
        <is>
          <t>VOXX INTERNATIONAL CORP</t>
        </is>
      </c>
      <c r="D4003" t="n">
        <v>5065</v>
      </c>
    </row>
    <row r="4004">
      <c r="A4004" t="inlineStr">
        <is>
          <t>VOYA FINANCIAL, INC.</t>
        </is>
      </c>
      <c r="B4004" t="inlineStr">
        <is>
          <t>VOYA</t>
        </is>
      </c>
      <c r="C4004" t="inlineStr">
        <is>
          <t>VOYA FINANCIAL, INC.</t>
        </is>
      </c>
      <c r="D4004" t="n">
        <v>6311</v>
      </c>
    </row>
    <row r="4005">
      <c r="A4005" t="inlineStr">
        <is>
          <t>VOYAGER THERAPEUTICS, INC.</t>
        </is>
      </c>
      <c r="B4005" t="inlineStr">
        <is>
          <t>VYGR</t>
        </is>
      </c>
      <c r="C4005" t="inlineStr">
        <is>
          <t>VOYAGER THERAPEUTICS, INC.</t>
        </is>
      </c>
      <c r="D4005" t="n">
        <v>2836</v>
      </c>
    </row>
    <row r="4006">
      <c r="A4006" t="inlineStr">
        <is>
          <t>VROOM, INC.</t>
        </is>
      </c>
      <c r="B4006" t="inlineStr">
        <is>
          <t>VRM</t>
        </is>
      </c>
      <c r="C4006" t="inlineStr">
        <is>
          <t>VROOM, INC.</t>
        </is>
      </c>
      <c r="D4006" t="n">
        <v>5500</v>
      </c>
    </row>
    <row r="4007">
      <c r="A4007" t="inlineStr">
        <is>
          <t>VSE CORP</t>
        </is>
      </c>
      <c r="B4007" t="inlineStr">
        <is>
          <t>VSEC</t>
        </is>
      </c>
      <c r="C4007" t="inlineStr">
        <is>
          <t>VSE CORP</t>
        </is>
      </c>
      <c r="D4007" t="n">
        <v>8711</v>
      </c>
    </row>
    <row r="4008">
      <c r="A4008" t="inlineStr">
        <is>
          <t>VTV THERAPEUTICS INC.</t>
        </is>
      </c>
      <c r="B4008" t="inlineStr">
        <is>
          <t>VTVT</t>
        </is>
      </c>
      <c r="C4008" t="inlineStr">
        <is>
          <t>VTV THERAPEUTICS INC.</t>
        </is>
      </c>
      <c r="D4008" t="n">
        <v>2834</v>
      </c>
    </row>
    <row r="4009">
      <c r="A4009" t="inlineStr">
        <is>
          <t>VULCAN MATERIALS CO</t>
        </is>
      </c>
      <c r="B4009" t="inlineStr">
        <is>
          <t>VMC</t>
        </is>
      </c>
      <c r="C4009" t="inlineStr">
        <is>
          <t>VULCAN MATERIALS CO</t>
        </is>
      </c>
      <c r="D4009" t="n">
        <v>1400</v>
      </c>
    </row>
    <row r="4010">
      <c r="A4010" t="inlineStr">
        <is>
          <t>VUZIX CORP</t>
        </is>
      </c>
      <c r="B4010" t="inlineStr">
        <is>
          <t>VUZI</t>
        </is>
      </c>
      <c r="C4010" t="inlineStr">
        <is>
          <t>VUZIX CORP</t>
        </is>
      </c>
      <c r="D4010" t="n">
        <v>3663</v>
      </c>
    </row>
    <row r="4011">
      <c r="A4011" t="inlineStr">
        <is>
          <t>VYNE THERAPEUTICS INC.</t>
        </is>
      </c>
      <c r="B4011" t="inlineStr">
        <is>
          <t>VYNE</t>
        </is>
      </c>
      <c r="C4011" t="inlineStr">
        <is>
          <t>VYNE THERAPEUTICS INC.</t>
        </is>
      </c>
      <c r="D4011" t="n">
        <v>2834</v>
      </c>
    </row>
    <row r="4012">
      <c r="A4012" t="inlineStr">
        <is>
          <t>W&amp;T OFFSHORE INC</t>
        </is>
      </c>
      <c r="B4012" t="inlineStr">
        <is>
          <t>WTI</t>
        </is>
      </c>
      <c r="C4012" t="inlineStr">
        <is>
          <t>W&amp;T OFFSHORE INC</t>
        </is>
      </c>
      <c r="D4012" t="n">
        <v>1311</v>
      </c>
    </row>
    <row r="4013">
      <c r="A4013" t="inlineStr">
        <is>
          <t>W. P. CAREY INC.</t>
        </is>
      </c>
      <c r="B4013" t="inlineStr">
        <is>
          <t>WPC</t>
        </is>
      </c>
      <c r="C4013" t="inlineStr">
        <is>
          <t>W. P. CAREY INC.</t>
        </is>
      </c>
      <c r="D4013" t="n">
        <v>6798</v>
      </c>
    </row>
    <row r="4014">
      <c r="A4014" t="inlineStr">
        <is>
          <t>W.W. GRAINGER, INC.</t>
        </is>
      </c>
      <c r="B4014" t="inlineStr">
        <is>
          <t>GWW</t>
        </is>
      </c>
      <c r="C4014" t="inlineStr">
        <is>
          <t>W.W. GRAINGER, INC.</t>
        </is>
      </c>
      <c r="D4014" t="n">
        <v>5000</v>
      </c>
    </row>
    <row r="4015">
      <c r="A4015" t="inlineStr">
        <is>
          <t>WABASH NATIONAL CORP</t>
        </is>
      </c>
      <c r="B4015" t="inlineStr">
        <is>
          <t>WNC</t>
        </is>
      </c>
      <c r="C4015" t="inlineStr">
        <is>
          <t>WABASH NATIONAL CORP</t>
        </is>
      </c>
      <c r="D4015" t="n">
        <v>3715</v>
      </c>
    </row>
    <row r="4016">
      <c r="A4016" t="inlineStr">
        <is>
          <t>WAH FU EDUCATION GROUP LTD</t>
        </is>
      </c>
      <c r="B4016" t="inlineStr">
        <is>
          <t>WAFU</t>
        </is>
      </c>
      <c r="C4016" t="inlineStr">
        <is>
          <t>WAH FU EDUCATION GROUP LTD</t>
        </is>
      </c>
      <c r="D4016" t="n">
        <v>8200</v>
      </c>
    </row>
    <row r="4017">
      <c r="A4017" t="inlineStr">
        <is>
          <t>WAITR HOLDINGS INC.</t>
        </is>
      </c>
      <c r="B4017" t="inlineStr">
        <is>
          <t>WTRH</t>
        </is>
      </c>
      <c r="C4017" t="inlineStr">
        <is>
          <t>WAITR HOLDINGS INC.</t>
        </is>
      </c>
      <c r="D4017" t="n">
        <v>7389</v>
      </c>
    </row>
    <row r="4018">
      <c r="A4018" t="inlineStr">
        <is>
          <t>WALGREENS BOOTS ALLIANCE, INC.</t>
        </is>
      </c>
      <c r="B4018" t="inlineStr">
        <is>
          <t>WBA</t>
        </is>
      </c>
      <c r="C4018" t="inlineStr">
        <is>
          <t>WALGREENS BOOTS ALLIANCE, INC.</t>
        </is>
      </c>
      <c r="D4018" t="n">
        <v>5912</v>
      </c>
    </row>
    <row r="4019">
      <c r="A4019" t="inlineStr">
        <is>
          <t>WALKER &amp; DUNLOP, INC.</t>
        </is>
      </c>
      <c r="B4019" t="inlineStr">
        <is>
          <t>WD</t>
        </is>
      </c>
      <c r="C4019" t="inlineStr">
        <is>
          <t>WALKER &amp; DUNLOP, INC.</t>
        </is>
      </c>
      <c r="D4019" t="n">
        <v>6199</v>
      </c>
    </row>
    <row r="4020">
      <c r="A4020" t="inlineStr">
        <is>
          <t>WALKME LTD.</t>
        </is>
      </c>
      <c r="B4020" t="inlineStr">
        <is>
          <t>WKME</t>
        </is>
      </c>
      <c r="C4020" t="inlineStr">
        <is>
          <t>WALKME LTD.</t>
        </is>
      </c>
      <c r="D4020" t="n">
        <v>7372</v>
      </c>
    </row>
    <row r="4021">
      <c r="A4021" t="inlineStr">
        <is>
          <t>WALMART INC.</t>
        </is>
      </c>
      <c r="B4021" t="inlineStr">
        <is>
          <t>WMT</t>
        </is>
      </c>
      <c r="C4021" t="inlineStr">
        <is>
          <t>WALMART INC.</t>
        </is>
      </c>
      <c r="D4021" t="n">
        <v>5331</v>
      </c>
    </row>
    <row r="4022">
      <c r="A4022" t="inlineStr">
        <is>
          <t>WALT DISNEY CO</t>
        </is>
      </c>
      <c r="B4022" t="inlineStr">
        <is>
          <t>DIS</t>
        </is>
      </c>
      <c r="C4022" t="inlineStr">
        <is>
          <t>WALT DISNEY CO</t>
        </is>
      </c>
      <c r="D4022" t="n">
        <v>7990</v>
      </c>
    </row>
    <row r="4023">
      <c r="A4023" t="inlineStr">
        <is>
          <t>WARBY PARKER INC.</t>
        </is>
      </c>
      <c r="B4023" t="inlineStr">
        <is>
          <t>WRBY</t>
        </is>
      </c>
      <c r="C4023" t="inlineStr">
        <is>
          <t>WARBY PARKER INC.</t>
        </is>
      </c>
      <c r="D4023" t="n">
        <v>3851</v>
      </c>
    </row>
    <row r="4024">
      <c r="A4024" t="inlineStr">
        <is>
          <t>WARNER MUSIC GROUP CORP.</t>
        </is>
      </c>
      <c r="B4024" t="inlineStr">
        <is>
          <t>WMG</t>
        </is>
      </c>
      <c r="C4024" t="inlineStr">
        <is>
          <t>WARNER MUSIC GROUP CORP.</t>
        </is>
      </c>
      <c r="D4024" t="n">
        <v>7900</v>
      </c>
    </row>
    <row r="4025">
      <c r="A4025" t="inlineStr">
        <is>
          <t>WARRIOR MET COAL, INC.</t>
        </is>
      </c>
      <c r="B4025" t="inlineStr">
        <is>
          <t>HCC</t>
        </is>
      </c>
      <c r="C4025" t="inlineStr">
        <is>
          <t>WARRIOR MET COAL, INC.</t>
        </is>
      </c>
      <c r="D4025" t="n">
        <v>1220</v>
      </c>
    </row>
    <row r="4026">
      <c r="A4026" t="inlineStr">
        <is>
          <t>WASHINGTON FEDERAL INC</t>
        </is>
      </c>
      <c r="B4026" t="inlineStr">
        <is>
          <t>WAFD</t>
        </is>
      </c>
      <c r="C4026" t="inlineStr">
        <is>
          <t>WASHINGTON FEDERAL INC</t>
        </is>
      </c>
      <c r="D4026" t="n">
        <v>6021</v>
      </c>
    </row>
    <row r="4027">
      <c r="A4027" t="inlineStr">
        <is>
          <t>WASHINGTON REAL ESTATE INVESTMENT TRUST</t>
        </is>
      </c>
      <c r="B4027" t="inlineStr">
        <is>
          <t>WRE</t>
        </is>
      </c>
      <c r="C4027" t="inlineStr">
        <is>
          <t>WASHINGTON REAL ESTATE INVESTMENT TRUST</t>
        </is>
      </c>
      <c r="D4027" t="n">
        <v>6798</v>
      </c>
    </row>
    <row r="4028">
      <c r="A4028" t="inlineStr">
        <is>
          <t>WASHINGTON TRUST BANCORP INC</t>
        </is>
      </c>
      <c r="B4028" t="inlineStr">
        <is>
          <t>WASH</t>
        </is>
      </c>
      <c r="C4028" t="inlineStr">
        <is>
          <t>WASHINGTON TRUST BANCORP INC</t>
        </is>
      </c>
      <c r="D4028" t="n">
        <v>6022</v>
      </c>
    </row>
    <row r="4029">
      <c r="A4029" t="inlineStr">
        <is>
          <t>WASTE CONNECTIONS, INC.</t>
        </is>
      </c>
      <c r="B4029" t="inlineStr">
        <is>
          <t>WCN</t>
        </is>
      </c>
      <c r="C4029" t="inlineStr">
        <is>
          <t>WASTE CONNECTIONS, INC.</t>
        </is>
      </c>
      <c r="D4029" t="n">
        <v>4953</v>
      </c>
    </row>
    <row r="4030">
      <c r="A4030" t="inlineStr">
        <is>
          <t>WASTE MANAGEMENT INC</t>
        </is>
      </c>
      <c r="B4030" t="inlineStr">
        <is>
          <t>WM</t>
        </is>
      </c>
      <c r="C4030" t="inlineStr">
        <is>
          <t>WASTE MANAGEMENT INC</t>
        </is>
      </c>
      <c r="D4030" t="n">
        <v>4953</v>
      </c>
    </row>
    <row r="4031">
      <c r="A4031" t="inlineStr">
        <is>
          <t>WATERMARK LODGING TRUST, INC.</t>
        </is>
      </c>
      <c r="B4031" t="inlineStr">
        <is>
          <t>WRMK</t>
        </is>
      </c>
      <c r="C4031" t="inlineStr">
        <is>
          <t>WATERMARK LODGING TRUST, INC.</t>
        </is>
      </c>
      <c r="D4031" t="n">
        <v>6798</v>
      </c>
    </row>
    <row r="4032">
      <c r="A4032" t="inlineStr">
        <is>
          <t>WATERS CORP /DE/</t>
        </is>
      </c>
      <c r="B4032" t="inlineStr">
        <is>
          <t>WAT</t>
        </is>
      </c>
      <c r="C4032" t="inlineStr">
        <is>
          <t>WATERS CORP /DE/</t>
        </is>
      </c>
      <c r="D4032" t="n">
        <v>3826</v>
      </c>
    </row>
    <row r="4033">
      <c r="A4033" t="inlineStr">
        <is>
          <t>WATERSTONE FINANCIAL, INC.</t>
        </is>
      </c>
      <c r="B4033" t="inlineStr">
        <is>
          <t>WSBF</t>
        </is>
      </c>
      <c r="C4033" t="inlineStr">
        <is>
          <t>WATERSTONE FINANCIAL, INC.</t>
        </is>
      </c>
      <c r="D4033" t="n">
        <v>6035</v>
      </c>
    </row>
    <row r="4034">
      <c r="A4034" t="inlineStr">
        <is>
          <t>WATSCO INC</t>
        </is>
      </c>
      <c r="B4034" t="inlineStr">
        <is>
          <t>WSO</t>
        </is>
      </c>
      <c r="C4034" t="inlineStr">
        <is>
          <t>WATSCO INC</t>
        </is>
      </c>
      <c r="D4034" t="n">
        <v>5070</v>
      </c>
    </row>
    <row r="4035">
      <c r="A4035" t="inlineStr">
        <is>
          <t>WATTS WATER TECHNOLOGIES INC</t>
        </is>
      </c>
      <c r="B4035" t="inlineStr">
        <is>
          <t>WTS</t>
        </is>
      </c>
      <c r="C4035" t="inlineStr">
        <is>
          <t>WATTS WATER TECHNOLOGIES INC</t>
        </is>
      </c>
      <c r="D4035" t="n">
        <v>3490</v>
      </c>
    </row>
    <row r="4036">
      <c r="A4036" t="inlineStr">
        <is>
          <t>WAVE LIFE SCIENCES LTD.</t>
        </is>
      </c>
      <c r="B4036" t="inlineStr">
        <is>
          <t>WVE</t>
        </is>
      </c>
      <c r="C4036" t="inlineStr">
        <is>
          <t>WAVE LIFE SCIENCES LTD.</t>
        </is>
      </c>
      <c r="D4036" t="n">
        <v>2834</v>
      </c>
    </row>
    <row r="4037">
      <c r="A4037" t="inlineStr">
        <is>
          <t>WAYFAIR INC.</t>
        </is>
      </c>
      <c r="B4037" t="inlineStr">
        <is>
          <t>W</t>
        </is>
      </c>
      <c r="C4037" t="inlineStr">
        <is>
          <t>WAYFAIR INC.</t>
        </is>
      </c>
      <c r="D4037" t="n">
        <v>5961</v>
      </c>
    </row>
    <row r="4038">
      <c r="A4038" t="inlineStr">
        <is>
          <t>WAYSIDE TECHNOLOGY GROUP, INC.</t>
        </is>
      </c>
      <c r="B4038" t="inlineStr">
        <is>
          <t>WSTG</t>
        </is>
      </c>
      <c r="C4038" t="inlineStr">
        <is>
          <t>WAYSIDE TECHNOLOGY GROUP, INC.</t>
        </is>
      </c>
      <c r="D4038" t="n">
        <v>5045</v>
      </c>
    </row>
    <row r="4039">
      <c r="A4039" t="inlineStr">
        <is>
          <t>WD 40 CO</t>
        </is>
      </c>
      <c r="B4039" t="inlineStr">
        <is>
          <t>WDFC</t>
        </is>
      </c>
      <c r="C4039" t="inlineStr">
        <is>
          <t>WD 40 CO</t>
        </is>
      </c>
      <c r="D4039" t="n">
        <v>2890</v>
      </c>
    </row>
    <row r="4040">
      <c r="A4040" t="inlineStr">
        <is>
          <t>WEATHERFORD INTERNATIONAL PLC</t>
        </is>
      </c>
      <c r="B4040" t="inlineStr">
        <is>
          <t>WFRD</t>
        </is>
      </c>
      <c r="C4040" t="inlineStr">
        <is>
          <t>WEATHERFORD INTERNATIONAL PLC</t>
        </is>
      </c>
      <c r="D4040" t="n">
        <v>3533</v>
      </c>
    </row>
    <row r="4041">
      <c r="A4041" t="inlineStr">
        <is>
          <t>WEAVE COMMUNICATIONS, INC.</t>
        </is>
      </c>
      <c r="B4041" t="inlineStr">
        <is>
          <t>WEAV</t>
        </is>
      </c>
      <c r="C4041" t="inlineStr">
        <is>
          <t>WEAVE COMMUNICATIONS, INC.</t>
        </is>
      </c>
      <c r="D4041" t="n">
        <v>7372</v>
      </c>
    </row>
    <row r="4042">
      <c r="A4042" t="inlineStr">
        <is>
          <t>WEBER INC.</t>
        </is>
      </c>
      <c r="B4042" t="inlineStr">
        <is>
          <t>WEBR</t>
        </is>
      </c>
      <c r="C4042" t="inlineStr">
        <is>
          <t>WEBER INC.</t>
        </is>
      </c>
      <c r="D4042" t="n">
        <v>3630</v>
      </c>
    </row>
    <row r="4043">
      <c r="A4043" t="inlineStr">
        <is>
          <t>WEBSTER FINANCIAL CORP</t>
        </is>
      </c>
      <c r="B4043" t="inlineStr">
        <is>
          <t>WBS</t>
        </is>
      </c>
      <c r="C4043" t="inlineStr">
        <is>
          <t>WEBSTER FINANCIAL CORP</t>
        </is>
      </c>
      <c r="D4043" t="n">
        <v>6021</v>
      </c>
    </row>
    <row r="4044">
      <c r="A4044" t="inlineStr">
        <is>
          <t>WEC ENERGY GROUP, INC.</t>
        </is>
      </c>
      <c r="B4044" t="inlineStr">
        <is>
          <t>WEC</t>
        </is>
      </c>
      <c r="C4044" t="inlineStr">
        <is>
          <t>WEC ENERGY GROUP, INC.</t>
        </is>
      </c>
      <c r="D4044" t="n">
        <v>4931</v>
      </c>
    </row>
    <row r="4045">
      <c r="A4045" t="inlineStr">
        <is>
          <t>WEIBO CORP</t>
        </is>
      </c>
      <c r="B4045" t="inlineStr">
        <is>
          <t>WB</t>
        </is>
      </c>
      <c r="C4045" t="inlineStr">
        <is>
          <t>WEIBO CORP</t>
        </is>
      </c>
      <c r="D4045" t="n">
        <v>7370</v>
      </c>
    </row>
    <row r="4046">
      <c r="A4046" t="inlineStr">
        <is>
          <t>WEIS MARKETS INC</t>
        </is>
      </c>
      <c r="B4046" t="inlineStr">
        <is>
          <t>WMK</t>
        </is>
      </c>
      <c r="C4046" t="inlineStr">
        <is>
          <t>WEIS MARKETS INC</t>
        </is>
      </c>
      <c r="D4046" t="n">
        <v>5411</v>
      </c>
    </row>
    <row r="4047">
      <c r="A4047" t="inlineStr">
        <is>
          <t>WEJO GROUP LTD</t>
        </is>
      </c>
      <c r="B4047" t="inlineStr">
        <is>
          <t>WEJO</t>
        </is>
      </c>
      <c r="C4047" t="inlineStr">
        <is>
          <t>WEJO GROUP LTD</t>
        </is>
      </c>
      <c r="D4047" t="n">
        <v>7374</v>
      </c>
    </row>
    <row r="4048">
      <c r="A4048" t="inlineStr">
        <is>
          <t>WELBILT, INC.</t>
        </is>
      </c>
      <c r="B4048" t="inlineStr">
        <is>
          <t>WBT</t>
        </is>
      </c>
      <c r="C4048" t="inlineStr">
        <is>
          <t>WELBILT, INC.</t>
        </is>
      </c>
      <c r="D4048" t="n">
        <v>3580</v>
      </c>
    </row>
    <row r="4049">
      <c r="A4049" t="inlineStr">
        <is>
          <t>WELLS FARGO &amp; COMPANY/MN</t>
        </is>
      </c>
      <c r="B4049" t="inlineStr">
        <is>
          <t>WFC</t>
        </is>
      </c>
      <c r="C4049" t="inlineStr">
        <is>
          <t>WELLS FARGO &amp; COMPANY/MN</t>
        </is>
      </c>
      <c r="D4049" t="n">
        <v>6021</v>
      </c>
    </row>
    <row r="4050">
      <c r="A4050" t="inlineStr">
        <is>
          <t>WELLTOWER INC.</t>
        </is>
      </c>
      <c r="B4050" t="inlineStr">
        <is>
          <t>WELL</t>
        </is>
      </c>
      <c r="C4050" t="inlineStr">
        <is>
          <t>WELLTOWER INC.</t>
        </is>
      </c>
      <c r="D4050" t="n">
        <v>6798</v>
      </c>
    </row>
    <row r="4051">
      <c r="A4051" t="inlineStr">
        <is>
          <t>WENDY'S CO</t>
        </is>
      </c>
      <c r="B4051" t="inlineStr">
        <is>
          <t>WEN</t>
        </is>
      </c>
      <c r="C4051" t="inlineStr">
        <is>
          <t>WENDY'S CO</t>
        </is>
      </c>
      <c r="D4051" t="n">
        <v>5810</v>
      </c>
    </row>
    <row r="4052">
      <c r="A4052" t="inlineStr">
        <is>
          <t>WERNER ENTERPRISES INC</t>
        </is>
      </c>
      <c r="B4052" t="inlineStr">
        <is>
          <t>WERN</t>
        </is>
      </c>
      <c r="C4052" t="inlineStr">
        <is>
          <t>WERNER ENTERPRISES INC</t>
        </is>
      </c>
      <c r="D4052" t="n">
        <v>4213</v>
      </c>
    </row>
    <row r="4053">
      <c r="A4053" t="inlineStr">
        <is>
          <t>WESBANCO INC</t>
        </is>
      </c>
      <c r="B4053" t="inlineStr">
        <is>
          <t>WSBC</t>
        </is>
      </c>
      <c r="C4053" t="inlineStr">
        <is>
          <t>WESBANCO INC</t>
        </is>
      </c>
      <c r="D4053" t="n">
        <v>6021</v>
      </c>
    </row>
    <row r="4054">
      <c r="A4054" t="inlineStr">
        <is>
          <t>WESCO INTERNATIONAL INC</t>
        </is>
      </c>
      <c r="B4054" t="inlineStr">
        <is>
          <t>WCC</t>
        </is>
      </c>
      <c r="C4054" t="inlineStr">
        <is>
          <t>WESCO INTERNATIONAL INC</t>
        </is>
      </c>
      <c r="D4054" t="n">
        <v>5063</v>
      </c>
    </row>
    <row r="4055">
      <c r="A4055" t="inlineStr">
        <is>
          <t>WEST BANCORPORATION INC</t>
        </is>
      </c>
      <c r="B4055" t="inlineStr">
        <is>
          <t>WTBA</t>
        </is>
      </c>
      <c r="C4055" t="inlineStr">
        <is>
          <t>WEST BANCORPORATION INC</t>
        </is>
      </c>
      <c r="D4055" t="n">
        <v>6022</v>
      </c>
    </row>
    <row r="4056">
      <c r="A4056" t="inlineStr">
        <is>
          <t>WEST PHARMACEUTICAL SERVICES INC</t>
        </is>
      </c>
      <c r="B4056" t="inlineStr">
        <is>
          <t>WST</t>
        </is>
      </c>
      <c r="C4056" t="inlineStr">
        <is>
          <t>WEST PHARMACEUTICAL SERVICES INC</t>
        </is>
      </c>
      <c r="D4056" t="n">
        <v>3060</v>
      </c>
    </row>
    <row r="4057">
      <c r="A4057" t="inlineStr">
        <is>
          <t>WESTAMERICA BANCORPORATION</t>
        </is>
      </c>
      <c r="B4057" t="inlineStr">
        <is>
          <t>WABC</t>
        </is>
      </c>
      <c r="C4057" t="inlineStr">
        <is>
          <t>WESTAMERICA BANCORPORATION</t>
        </is>
      </c>
      <c r="D4057" t="n">
        <v>6021</v>
      </c>
    </row>
    <row r="4058">
      <c r="A4058" t="inlineStr">
        <is>
          <t>WESTERN ALLIANCE BANCORPORATION</t>
        </is>
      </c>
      <c r="B4058" t="inlineStr">
        <is>
          <t>WAL</t>
        </is>
      </c>
      <c r="C4058" t="inlineStr">
        <is>
          <t>WESTERN ALLIANCE BANCORPORATION</t>
        </is>
      </c>
      <c r="D4058" t="n">
        <v>6022</v>
      </c>
    </row>
    <row r="4059">
      <c r="A4059" t="inlineStr">
        <is>
          <t>WESTERN ASSET MORTGAGE CAPITAL CORP</t>
        </is>
      </c>
      <c r="B4059" t="inlineStr">
        <is>
          <t>WMC</t>
        </is>
      </c>
      <c r="C4059" t="inlineStr">
        <is>
          <t>WESTERN ASSET MORTGAGE CAPITAL CORP</t>
        </is>
      </c>
      <c r="D4059" t="n">
        <v>6798</v>
      </c>
    </row>
    <row r="4060">
      <c r="A4060" t="inlineStr">
        <is>
          <t>WESTERN CAPITAL RESOURCES, INC.</t>
        </is>
      </c>
      <c r="B4060" t="inlineStr">
        <is>
          <t>WCRS</t>
        </is>
      </c>
      <c r="C4060" t="inlineStr">
        <is>
          <t>WESTERN CAPITAL RESOURCES, INC.</t>
        </is>
      </c>
      <c r="D4060" t="n">
        <v>5900</v>
      </c>
    </row>
    <row r="4061">
      <c r="A4061" t="inlineStr">
        <is>
          <t>WESTERN DIGITAL CORP</t>
        </is>
      </c>
      <c r="B4061" t="inlineStr">
        <is>
          <t>WDC</t>
        </is>
      </c>
      <c r="C4061" t="inlineStr">
        <is>
          <t>WESTERN DIGITAL CORP</t>
        </is>
      </c>
      <c r="D4061" t="n">
        <v>3572</v>
      </c>
    </row>
    <row r="4062">
      <c r="A4062" t="inlineStr">
        <is>
          <t>WESTERN MIDSTREAM PARTNERS, LP</t>
        </is>
      </c>
      <c r="B4062" t="inlineStr">
        <is>
          <t>WES</t>
        </is>
      </c>
      <c r="C4062" t="inlineStr">
        <is>
          <t>WESTERN MIDSTREAM PARTNERS, LP</t>
        </is>
      </c>
      <c r="D4062" t="n">
        <v>4922</v>
      </c>
    </row>
    <row r="4063">
      <c r="A4063" t="inlineStr">
        <is>
          <t>WESTERN NEW ENGLAND BANCORP, INC.</t>
        </is>
      </c>
      <c r="B4063" t="inlineStr">
        <is>
          <t>WNEB</t>
        </is>
      </c>
      <c r="C4063" t="inlineStr">
        <is>
          <t>WESTERN NEW ENGLAND BANCORP, INC.</t>
        </is>
      </c>
      <c r="D4063" t="n">
        <v>6035</v>
      </c>
    </row>
    <row r="4064">
      <c r="A4064" t="inlineStr">
        <is>
          <t>WESTERN UNION CO</t>
        </is>
      </c>
      <c r="B4064" t="inlineStr">
        <is>
          <t>WU</t>
        </is>
      </c>
      <c r="C4064" t="inlineStr">
        <is>
          <t>WESTERN UNION CO</t>
        </is>
      </c>
      <c r="D4064" t="n">
        <v>7389</v>
      </c>
    </row>
    <row r="4065">
      <c r="A4065" t="inlineStr">
        <is>
          <t>WESTERN URANIUM &amp; VANADIUM CORP.</t>
        </is>
      </c>
      <c r="B4065" t="inlineStr">
        <is>
          <t>WSTRF</t>
        </is>
      </c>
      <c r="C4065" t="inlineStr">
        <is>
          <t>WESTERN URANIUM &amp; VANADIUM CORP.</t>
        </is>
      </c>
      <c r="D4065" t="n">
        <v>1090</v>
      </c>
    </row>
    <row r="4066">
      <c r="A4066" t="inlineStr">
        <is>
          <t>WESTINGHOUSE AIR BRAKE TECHNOLOGIES CORP</t>
        </is>
      </c>
      <c r="B4066" t="inlineStr">
        <is>
          <t>WAB</t>
        </is>
      </c>
      <c r="C4066" t="inlineStr">
        <is>
          <t>WESTINGHOUSE AIR BRAKE TECHNOLOGIES CORP</t>
        </is>
      </c>
      <c r="D4066" t="n">
        <v>3743</v>
      </c>
    </row>
    <row r="4067">
      <c r="A4067" t="inlineStr">
        <is>
          <t>WESTLAKE CHEMICAL PARTNERS LP</t>
        </is>
      </c>
      <c r="B4067" t="inlineStr">
        <is>
          <t>WLKP</t>
        </is>
      </c>
      <c r="C4067" t="inlineStr">
        <is>
          <t>WESTLAKE CHEMICAL PARTNERS LP</t>
        </is>
      </c>
      <c r="D4067" t="n">
        <v>2860</v>
      </c>
    </row>
    <row r="4068">
      <c r="A4068" t="inlineStr">
        <is>
          <t>WESTLAKE CORP</t>
        </is>
      </c>
      <c r="B4068" t="inlineStr">
        <is>
          <t>WLK</t>
        </is>
      </c>
      <c r="C4068" t="inlineStr">
        <is>
          <t>WESTLAKE CORP</t>
        </is>
      </c>
      <c r="D4068" t="n">
        <v>2860</v>
      </c>
    </row>
    <row r="4069">
      <c r="A4069" t="inlineStr">
        <is>
          <t>WESTPORT FUEL SYSTEMS INC.</t>
        </is>
      </c>
      <c r="B4069" t="inlineStr">
        <is>
          <t>WPRT</t>
        </is>
      </c>
      <c r="C4069" t="inlineStr">
        <is>
          <t>WESTPORT FUEL SYSTEMS INC.</t>
        </is>
      </c>
      <c r="D4069" t="n">
        <v>3510</v>
      </c>
    </row>
    <row r="4070">
      <c r="A4070" t="inlineStr">
        <is>
          <t>WESTROCK CO</t>
        </is>
      </c>
      <c r="B4070" t="inlineStr">
        <is>
          <t>WRK</t>
        </is>
      </c>
      <c r="C4070" t="inlineStr">
        <is>
          <t>WESTROCK CO</t>
        </is>
      </c>
      <c r="D4070" t="n">
        <v>2650</v>
      </c>
    </row>
    <row r="4071">
      <c r="A4071" t="inlineStr">
        <is>
          <t>WESTWOOD HOLDINGS GROUP INC</t>
        </is>
      </c>
      <c r="B4071" t="inlineStr">
        <is>
          <t>WHG</t>
        </is>
      </c>
      <c r="C4071" t="inlineStr">
        <is>
          <t>WESTWOOD HOLDINGS GROUP INC</t>
        </is>
      </c>
      <c r="D4071" t="n">
        <v>6282</v>
      </c>
    </row>
    <row r="4072">
      <c r="A4072" t="inlineStr">
        <is>
          <t>WETRADE GROUP INC.</t>
        </is>
      </c>
      <c r="B4072" t="inlineStr">
        <is>
          <t>WETG</t>
        </is>
      </c>
      <c r="C4072" t="inlineStr">
        <is>
          <t>WETRADE GROUP INC.</t>
        </is>
      </c>
      <c r="D4072" t="n">
        <v>7374</v>
      </c>
    </row>
    <row r="4073">
      <c r="A4073" t="inlineStr">
        <is>
          <t>WEWORK INC.</t>
        </is>
      </c>
      <c r="B4073" t="inlineStr">
        <is>
          <t>WE</t>
        </is>
      </c>
      <c r="C4073" t="inlineStr">
        <is>
          <t>WEWORK INC.</t>
        </is>
      </c>
      <c r="D4073" t="n">
        <v>6770</v>
      </c>
    </row>
    <row r="4074">
      <c r="A4074" t="inlineStr">
        <is>
          <t>WEX INC.</t>
        </is>
      </c>
      <c r="B4074" t="inlineStr">
        <is>
          <t>WEX</t>
        </is>
      </c>
      <c r="C4074" t="inlineStr">
        <is>
          <t>WEX INC.</t>
        </is>
      </c>
      <c r="D4074" t="n">
        <v>7389</v>
      </c>
    </row>
    <row r="4075">
      <c r="A4075" t="inlineStr">
        <is>
          <t>WEYCO GROUP INC</t>
        </is>
      </c>
      <c r="B4075" t="inlineStr">
        <is>
          <t>WEYS</t>
        </is>
      </c>
      <c r="C4075" t="inlineStr">
        <is>
          <t>WEYCO GROUP INC</t>
        </is>
      </c>
      <c r="D4075" t="n">
        <v>5130</v>
      </c>
    </row>
    <row r="4076">
      <c r="A4076" t="inlineStr">
        <is>
          <t>WEYERHAEUSER CO</t>
        </is>
      </c>
      <c r="B4076" t="inlineStr">
        <is>
          <t>WY</t>
        </is>
      </c>
      <c r="C4076" t="inlineStr">
        <is>
          <t>WEYERHAEUSER CO</t>
        </is>
      </c>
      <c r="D4076" t="n">
        <v>6798</v>
      </c>
    </row>
    <row r="4077">
      <c r="A4077" t="inlineStr">
        <is>
          <t>WHEELER REAL ESTATE INVESTMENT TRUST, INC.</t>
        </is>
      </c>
      <c r="B4077" t="inlineStr">
        <is>
          <t>WHLR</t>
        </is>
      </c>
      <c r="C4077" t="inlineStr">
        <is>
          <t>WHEELER REAL ESTATE INVESTMENT TRUST, INC.</t>
        </is>
      </c>
      <c r="D4077" t="n">
        <v>6798</v>
      </c>
    </row>
    <row r="4078">
      <c r="A4078" t="inlineStr">
        <is>
          <t>WHEELS UP EXPERIENCE INC.</t>
        </is>
      </c>
      <c r="B4078" t="inlineStr">
        <is>
          <t>UP</t>
        </is>
      </c>
      <c r="C4078" t="inlineStr">
        <is>
          <t>WHEELS UP EXPERIENCE INC.</t>
        </is>
      </c>
      <c r="D4078" t="n">
        <v>4522</v>
      </c>
    </row>
    <row r="4079">
      <c r="A4079" t="inlineStr">
        <is>
          <t>WHERE FOOD COMES FROM, INC.</t>
        </is>
      </c>
      <c r="B4079" t="inlineStr">
        <is>
          <t>WFCF</t>
        </is>
      </c>
      <c r="C4079" t="inlineStr">
        <is>
          <t>WHERE FOOD COMES FROM, INC.</t>
        </is>
      </c>
      <c r="D4079" t="n">
        <v>7372</v>
      </c>
    </row>
    <row r="4080">
      <c r="A4080" t="inlineStr">
        <is>
          <t>WHIRLPOOL CORP /DE/</t>
        </is>
      </c>
      <c r="B4080" t="inlineStr">
        <is>
          <t>WHR</t>
        </is>
      </c>
      <c r="C4080" t="inlineStr">
        <is>
          <t>WHIRLPOOL CORP /DE/</t>
        </is>
      </c>
      <c r="D4080" t="n">
        <v>3630</v>
      </c>
    </row>
    <row r="4081">
      <c r="A4081" t="inlineStr">
        <is>
          <t>WHITE MOUNTAINS INSURANCE GROUP LTD</t>
        </is>
      </c>
      <c r="B4081" t="inlineStr">
        <is>
          <t>WTM</t>
        </is>
      </c>
      <c r="C4081" t="inlineStr">
        <is>
          <t>WHITE MOUNTAINS INSURANCE GROUP LTD</t>
        </is>
      </c>
      <c r="D4081" t="n">
        <v>6331</v>
      </c>
    </row>
    <row r="4082">
      <c r="A4082" t="inlineStr">
        <is>
          <t>WHITESTONE REIT</t>
        </is>
      </c>
      <c r="B4082" t="inlineStr">
        <is>
          <t>WSR</t>
        </is>
      </c>
      <c r="C4082" t="inlineStr">
        <is>
          <t>WHITESTONE REIT</t>
        </is>
      </c>
      <c r="D4082" t="n">
        <v>6798</v>
      </c>
    </row>
    <row r="4083">
      <c r="A4083" t="inlineStr">
        <is>
          <t>WIDEOPENWEST, INC.</t>
        </is>
      </c>
      <c r="B4083" t="inlineStr">
        <is>
          <t>WOW</t>
        </is>
      </c>
      <c r="C4083" t="inlineStr">
        <is>
          <t>WIDEOPENWEST, INC.</t>
        </is>
      </c>
      <c r="D4083" t="n">
        <v>4841</v>
      </c>
    </row>
    <row r="4084">
      <c r="A4084" t="inlineStr">
        <is>
          <t>WIDEPOINT CORP</t>
        </is>
      </c>
      <c r="B4084" t="inlineStr">
        <is>
          <t>WYY</t>
        </is>
      </c>
      <c r="C4084" t="inlineStr">
        <is>
          <t>WIDEPOINT CORP</t>
        </is>
      </c>
      <c r="D4084" t="n">
        <v>7373</v>
      </c>
    </row>
    <row r="4085">
      <c r="A4085" t="inlineStr">
        <is>
          <t>WILHELMINA INTERNATIONAL, INC.</t>
        </is>
      </c>
      <c r="B4085" t="inlineStr">
        <is>
          <t>WHLM</t>
        </is>
      </c>
      <c r="C4085" t="inlineStr">
        <is>
          <t>WILHELMINA INTERNATIONAL, INC.</t>
        </is>
      </c>
      <c r="D4085" t="n">
        <v>8742</v>
      </c>
    </row>
    <row r="4086">
      <c r="A4086" t="inlineStr">
        <is>
          <t>WILLAMETTE VALLEY VINEYARDS INC</t>
        </is>
      </c>
      <c r="B4086" t="inlineStr">
        <is>
          <t>WVVI</t>
        </is>
      </c>
      <c r="C4086" t="inlineStr">
        <is>
          <t>WILLAMETTE VALLEY VINEYARDS INC</t>
        </is>
      </c>
      <c r="D4086" t="n">
        <v>2080</v>
      </c>
    </row>
    <row r="4087">
      <c r="A4087" t="inlineStr">
        <is>
          <t>WILLDAN GROUP, INC.</t>
        </is>
      </c>
      <c r="B4087" t="inlineStr">
        <is>
          <t>WLDN</t>
        </is>
      </c>
      <c r="C4087" t="inlineStr">
        <is>
          <t>WILLDAN GROUP, INC.</t>
        </is>
      </c>
      <c r="D4087" t="n">
        <v>8711</v>
      </c>
    </row>
    <row r="4088">
      <c r="A4088" t="inlineStr">
        <is>
          <t>WILLIAM PENN BANCORPORATION</t>
        </is>
      </c>
      <c r="B4088" t="inlineStr">
        <is>
          <t>WMPN</t>
        </is>
      </c>
      <c r="C4088" t="inlineStr">
        <is>
          <t>WILLIAM PENN BANCORPORATION</t>
        </is>
      </c>
      <c r="D4088" t="n">
        <v>6036</v>
      </c>
    </row>
    <row r="4089">
      <c r="A4089" t="inlineStr">
        <is>
          <t>WILLIAMS COMPANIES, INC.</t>
        </is>
      </c>
      <c r="B4089" t="inlineStr">
        <is>
          <t>WMB</t>
        </is>
      </c>
      <c r="C4089" t="inlineStr">
        <is>
          <t>WILLIAMS COMPANIES, INC.</t>
        </is>
      </c>
      <c r="D4089" t="n">
        <v>4922</v>
      </c>
    </row>
    <row r="4090">
      <c r="A4090" t="inlineStr">
        <is>
          <t>WILLIAMS INDUSTRIAL SERVICES GROUP INC.</t>
        </is>
      </c>
      <c r="B4090" t="inlineStr">
        <is>
          <t>WLMS</t>
        </is>
      </c>
      <c r="C4090" t="inlineStr">
        <is>
          <t>WILLIAMS INDUSTRIAL SERVICES GROUP INC.</t>
        </is>
      </c>
      <c r="D4090" t="n">
        <v>1600</v>
      </c>
    </row>
    <row r="4091">
      <c r="A4091" t="inlineStr">
        <is>
          <t>WILLIAMS SONOMA INC</t>
        </is>
      </c>
      <c r="B4091" t="inlineStr">
        <is>
          <t>WSM</t>
        </is>
      </c>
      <c r="C4091" t="inlineStr">
        <is>
          <t>WILLIAMS SONOMA INC</t>
        </is>
      </c>
      <c r="D4091" t="n">
        <v>5700</v>
      </c>
    </row>
    <row r="4092">
      <c r="A4092" t="inlineStr">
        <is>
          <t>WILLIS LEASE FINANCE CORP</t>
        </is>
      </c>
      <c r="B4092" t="inlineStr">
        <is>
          <t>WLFC</t>
        </is>
      </c>
      <c r="C4092" t="inlineStr">
        <is>
          <t>WILLIS LEASE FINANCE CORP</t>
        </is>
      </c>
      <c r="D4092" t="n">
        <v>5080</v>
      </c>
    </row>
    <row r="4093">
      <c r="A4093" t="inlineStr">
        <is>
          <t>WILLSCOT MOBILE MINI HOLDINGS CORP.</t>
        </is>
      </c>
      <c r="B4093" t="inlineStr">
        <is>
          <t>WSC</t>
        </is>
      </c>
      <c r="C4093" t="inlineStr">
        <is>
          <t>WILLSCOT MOBILE MINI HOLDINGS CORP.</t>
        </is>
      </c>
      <c r="D4093" t="n">
        <v>7350</v>
      </c>
    </row>
    <row r="4094">
      <c r="A4094" t="inlineStr">
        <is>
          <t>WIMI HOLOGRAM CLOUD INC.</t>
        </is>
      </c>
      <c r="B4094" t="inlineStr">
        <is>
          <t>WIMI</t>
        </is>
      </c>
      <c r="C4094" t="inlineStr">
        <is>
          <t>WIMI HOLOGRAM CLOUD INC.</t>
        </is>
      </c>
      <c r="D4094" t="n">
        <v>7372</v>
      </c>
    </row>
    <row r="4095">
      <c r="A4095" t="inlineStr">
        <is>
          <t>WINC, INC.</t>
        </is>
      </c>
      <c r="B4095" t="inlineStr">
        <is>
          <t>WBEV</t>
        </is>
      </c>
      <c r="C4095" t="inlineStr">
        <is>
          <t>WINC, INC.</t>
        </is>
      </c>
      <c r="D4095" t="n">
        <v>5900</v>
      </c>
    </row>
    <row r="4096">
      <c r="A4096" t="inlineStr">
        <is>
          <t>WINGSTOP INC.</t>
        </is>
      </c>
      <c r="B4096" t="inlineStr">
        <is>
          <t>WING</t>
        </is>
      </c>
      <c r="C4096" t="inlineStr">
        <is>
          <t>WINGSTOP INC.</t>
        </is>
      </c>
      <c r="D4096" t="n">
        <v>5812</v>
      </c>
    </row>
    <row r="4097">
      <c r="A4097" t="inlineStr">
        <is>
          <t>WINMARK CORP</t>
        </is>
      </c>
      <c r="B4097" t="inlineStr">
        <is>
          <t>WINA</t>
        </is>
      </c>
      <c r="C4097" t="inlineStr">
        <is>
          <t>WINMARK CORP</t>
        </is>
      </c>
      <c r="D4097" t="n">
        <v>5900</v>
      </c>
    </row>
    <row r="4098">
      <c r="A4098" t="inlineStr">
        <is>
          <t>WINNEBAGO INDUSTRIES INC</t>
        </is>
      </c>
      <c r="B4098" t="inlineStr">
        <is>
          <t>WGO</t>
        </is>
      </c>
      <c r="C4098" t="inlineStr">
        <is>
          <t>WINNEBAGO INDUSTRIES INC</t>
        </is>
      </c>
      <c r="D4098" t="n">
        <v>3716</v>
      </c>
    </row>
    <row r="4099">
      <c r="A4099" t="inlineStr">
        <is>
          <t>WINTRUST FINANCIAL CORP</t>
        </is>
      </c>
      <c r="B4099" t="inlineStr">
        <is>
          <t>WTFC</t>
        </is>
      </c>
      <c r="C4099" t="inlineStr">
        <is>
          <t>WINTRUST FINANCIAL CORP</t>
        </is>
      </c>
      <c r="D4099" t="n">
        <v>6022</v>
      </c>
    </row>
    <row r="4100">
      <c r="A4100" t="inlineStr">
        <is>
          <t>WIRELESS TELECOM GROUP INC</t>
        </is>
      </c>
      <c r="B4100" t="inlineStr">
        <is>
          <t>WTT</t>
        </is>
      </c>
      <c r="C4100" t="inlineStr">
        <is>
          <t>WIRELESS TELECOM GROUP INC</t>
        </is>
      </c>
      <c r="D4100" t="n">
        <v>3669</v>
      </c>
    </row>
    <row r="4101">
      <c r="A4101" t="inlineStr">
        <is>
          <t>WISEKEY INTERNATIONAL HOLDING S.A.</t>
        </is>
      </c>
      <c r="B4101" t="inlineStr">
        <is>
          <t>WKEY</t>
        </is>
      </c>
      <c r="C4101" t="inlineStr">
        <is>
          <t>WISEKEY INTERNATIONAL HOLDING S.A.</t>
        </is>
      </c>
      <c r="D4101" t="n">
        <v>7374</v>
      </c>
    </row>
    <row r="4102">
      <c r="A4102" t="inlineStr">
        <is>
          <t>WIX.COM LTD.</t>
        </is>
      </c>
      <c r="B4102" t="inlineStr">
        <is>
          <t>WIX</t>
        </is>
      </c>
      <c r="C4102" t="inlineStr">
        <is>
          <t>WIX.COM LTD.</t>
        </is>
      </c>
      <c r="D4102" t="n">
        <v>7370</v>
      </c>
    </row>
    <row r="4103">
      <c r="A4103" t="inlineStr">
        <is>
          <t>WM TECHNOLOGY, INC.</t>
        </is>
      </c>
      <c r="B4103" t="inlineStr">
        <is>
          <t>MAPS</t>
        </is>
      </c>
      <c r="C4103" t="inlineStr">
        <is>
          <t>WM TECHNOLOGY, INC.</t>
        </is>
      </c>
      <c r="D4103" t="n">
        <v>7372</v>
      </c>
    </row>
    <row r="4104">
      <c r="A4104" t="inlineStr">
        <is>
          <t>WOLVERINE WORLD WIDE INC /DE/</t>
        </is>
      </c>
      <c r="B4104" t="inlineStr">
        <is>
          <t>WWW</t>
        </is>
      </c>
      <c r="C4104" t="inlineStr">
        <is>
          <t>WOLVERINE WORLD WIDE INC /DE/</t>
        </is>
      </c>
      <c r="D4104" t="n">
        <v>3140</v>
      </c>
    </row>
    <row r="4105">
      <c r="A4105" t="inlineStr">
        <is>
          <t>WOODWARD, INC.</t>
        </is>
      </c>
      <c r="B4105" t="inlineStr">
        <is>
          <t>WWD</t>
        </is>
      </c>
      <c r="C4105" t="inlineStr">
        <is>
          <t>WOODWARD, INC.</t>
        </is>
      </c>
      <c r="D4105" t="n">
        <v>3620</v>
      </c>
    </row>
    <row r="4106">
      <c r="A4106" t="inlineStr">
        <is>
          <t>WORKDAY, INC.</t>
        </is>
      </c>
      <c r="B4106" t="inlineStr">
        <is>
          <t>WDAY</t>
        </is>
      </c>
      <c r="C4106" t="inlineStr">
        <is>
          <t>WORKDAY, INC.</t>
        </is>
      </c>
      <c r="D4106" t="n">
        <v>7374</v>
      </c>
    </row>
    <row r="4107">
      <c r="A4107" t="inlineStr">
        <is>
          <t>WORKHORSE GROUP INC.</t>
        </is>
      </c>
      <c r="B4107" t="inlineStr">
        <is>
          <t>WKHS</t>
        </is>
      </c>
      <c r="C4107" t="inlineStr">
        <is>
          <t>WORKHORSE GROUP INC.</t>
        </is>
      </c>
      <c r="D4107" t="n">
        <v>3711</v>
      </c>
    </row>
    <row r="4108">
      <c r="A4108" t="inlineStr">
        <is>
          <t>WORKIVA INC</t>
        </is>
      </c>
      <c r="B4108" t="inlineStr">
        <is>
          <t>WK</t>
        </is>
      </c>
      <c r="C4108" t="inlineStr">
        <is>
          <t>WORKIVA INC</t>
        </is>
      </c>
      <c r="D4108" t="n">
        <v>7372</v>
      </c>
    </row>
    <row r="4109">
      <c r="A4109" t="inlineStr">
        <is>
          <t>WORLD ACCEPTANCE CORP</t>
        </is>
      </c>
      <c r="B4109" t="inlineStr">
        <is>
          <t>WRLD</t>
        </is>
      </c>
      <c r="C4109" t="inlineStr">
        <is>
          <t>WORLD ACCEPTANCE CORP</t>
        </is>
      </c>
      <c r="D4109" t="n">
        <v>6141</v>
      </c>
    </row>
    <row r="4110">
      <c r="A4110" t="inlineStr">
        <is>
          <t>WORLD FUEL SERVICES CORP</t>
        </is>
      </c>
      <c r="B4110" t="inlineStr">
        <is>
          <t>INT</t>
        </is>
      </c>
      <c r="C4110" t="inlineStr">
        <is>
          <t>WORLD FUEL SERVICES CORP</t>
        </is>
      </c>
      <c r="D4110" t="n">
        <v>5172</v>
      </c>
    </row>
    <row r="4111">
      <c r="A4111" t="inlineStr">
        <is>
          <t>WORLD WRESTLING ENTERTAINMENTINC</t>
        </is>
      </c>
      <c r="B4111" t="inlineStr">
        <is>
          <t>WWE</t>
        </is>
      </c>
      <c r="C4111" t="inlineStr">
        <is>
          <t>WORLD WRESTLING ENTERTAINMENTINC</t>
        </is>
      </c>
      <c r="D4111" t="n">
        <v>7812</v>
      </c>
    </row>
    <row r="4112">
      <c r="A4112" t="inlineStr">
        <is>
          <t>WORTHINGTON INDUSTRIES INC</t>
        </is>
      </c>
      <c r="B4112" t="inlineStr">
        <is>
          <t>WOR</t>
        </is>
      </c>
      <c r="C4112" t="inlineStr">
        <is>
          <t>WORTHINGTON INDUSTRIES INC</t>
        </is>
      </c>
      <c r="D4112" t="n">
        <v>3310</v>
      </c>
    </row>
    <row r="4113">
      <c r="A4113" t="inlineStr">
        <is>
          <t>WRAP TECHNOLOGIES, INC.</t>
        </is>
      </c>
      <c r="B4113" t="inlineStr">
        <is>
          <t>WRAP</t>
        </is>
      </c>
      <c r="C4113" t="inlineStr">
        <is>
          <t>WRAP TECHNOLOGIES, INC.</t>
        </is>
      </c>
      <c r="D4113" t="n">
        <v>3480</v>
      </c>
    </row>
    <row r="4114">
      <c r="A4114" t="inlineStr">
        <is>
          <t>WSFS FINANCIAL CORP</t>
        </is>
      </c>
      <c r="B4114" t="inlineStr">
        <is>
          <t>WSFS</t>
        </is>
      </c>
      <c r="C4114" t="inlineStr">
        <is>
          <t>WSFS FINANCIAL CORP</t>
        </is>
      </c>
      <c r="D4114" t="n">
        <v>6021</v>
      </c>
    </row>
    <row r="4115">
      <c r="A4115" t="inlineStr">
        <is>
          <t>WW INTERNATIONAL, INC.</t>
        </is>
      </c>
      <c r="B4115" t="inlineStr">
        <is>
          <t>WW</t>
        </is>
      </c>
      <c r="C4115" t="inlineStr">
        <is>
          <t>WW INTERNATIONAL, INC.</t>
        </is>
      </c>
      <c r="D4115" t="n">
        <v>7200</v>
      </c>
    </row>
    <row r="4116">
      <c r="A4116" t="inlineStr">
        <is>
          <t>WYNDHAM HOTELS &amp; RESORTS, INC.</t>
        </is>
      </c>
      <c r="B4116" t="inlineStr">
        <is>
          <t>WH</t>
        </is>
      </c>
      <c r="C4116" t="inlineStr">
        <is>
          <t>WYNDHAM HOTELS &amp; RESORTS, INC.</t>
        </is>
      </c>
      <c r="D4116" t="n">
        <v>7011</v>
      </c>
    </row>
    <row r="4117">
      <c r="A4117" t="inlineStr">
        <is>
          <t>WYNN RESORTS LTD</t>
        </is>
      </c>
      <c r="B4117" t="inlineStr">
        <is>
          <t>WYNN</t>
        </is>
      </c>
      <c r="C4117" t="inlineStr">
        <is>
          <t>WYNN RESORTS LTD</t>
        </is>
      </c>
      <c r="D4117" t="n">
        <v>7011</v>
      </c>
    </row>
    <row r="4118">
      <c r="A4118" t="inlineStr">
        <is>
          <t>X FINANCIAL</t>
        </is>
      </c>
      <c r="B4118" t="inlineStr">
        <is>
          <t>XYF</t>
        </is>
      </c>
      <c r="C4118" t="inlineStr">
        <is>
          <t>X FINANCIAL</t>
        </is>
      </c>
      <c r="D4118" t="n">
        <v>6199</v>
      </c>
    </row>
    <row r="4119">
      <c r="A4119" t="inlineStr">
        <is>
          <t>XBIOTECH INC.</t>
        </is>
      </c>
      <c r="B4119" t="inlineStr">
        <is>
          <t>XBIT</t>
        </is>
      </c>
      <c r="C4119" t="inlineStr">
        <is>
          <t>XBIOTECH INC.</t>
        </is>
      </c>
      <c r="D4119" t="n">
        <v>2834</v>
      </c>
    </row>
    <row r="4120">
      <c r="A4120" t="inlineStr">
        <is>
          <t>XCEL BRANDS, INC.</t>
        </is>
      </c>
      <c r="B4120" t="inlineStr">
        <is>
          <t>XELB</t>
        </is>
      </c>
      <c r="C4120" t="inlineStr">
        <is>
          <t>XCEL BRANDS, INC.</t>
        </is>
      </c>
      <c r="D4120" t="n">
        <v>6794</v>
      </c>
    </row>
    <row r="4121">
      <c r="A4121" t="inlineStr">
        <is>
          <t>XCEL ENERGY INC</t>
        </is>
      </c>
      <c r="B4121" t="inlineStr">
        <is>
          <t>XEL</t>
        </is>
      </c>
      <c r="C4121" t="inlineStr">
        <is>
          <t>XCEL ENERGY INC</t>
        </is>
      </c>
      <c r="D4121" t="n">
        <v>4931</v>
      </c>
    </row>
    <row r="4122">
      <c r="A4122" t="inlineStr">
        <is>
          <t>XENCOR INC</t>
        </is>
      </c>
      <c r="B4122" t="inlineStr">
        <is>
          <t>XNCR</t>
        </is>
      </c>
      <c r="C4122" t="inlineStr">
        <is>
          <t>XENCOR INC</t>
        </is>
      </c>
      <c r="D4122" t="n">
        <v>2834</v>
      </c>
    </row>
    <row r="4123">
      <c r="A4123" t="inlineStr">
        <is>
          <t>XENIA HOTELS &amp; RESORTS, INC.</t>
        </is>
      </c>
      <c r="B4123" t="inlineStr">
        <is>
          <t>XHR</t>
        </is>
      </c>
      <c r="C4123" t="inlineStr">
        <is>
          <t>XENIA HOTELS &amp; RESORTS, INC.</t>
        </is>
      </c>
      <c r="D4123" t="n">
        <v>7011</v>
      </c>
    </row>
    <row r="4124">
      <c r="A4124" t="inlineStr">
        <is>
          <t>XENON PHARMACEUTICALS INC.</t>
        </is>
      </c>
      <c r="B4124" t="inlineStr">
        <is>
          <t>XENE</t>
        </is>
      </c>
      <c r="C4124" t="inlineStr">
        <is>
          <t>XENON PHARMACEUTICALS INC.</t>
        </is>
      </c>
      <c r="D4124" t="n">
        <v>2834</v>
      </c>
    </row>
    <row r="4125">
      <c r="A4125" t="inlineStr">
        <is>
          <t>XERIS BIOPHARMA HOLDINGS, INC.</t>
        </is>
      </c>
      <c r="B4125" t="inlineStr">
        <is>
          <t>XERS</t>
        </is>
      </c>
      <c r="C4125" t="inlineStr">
        <is>
          <t>XERIS BIOPHARMA HOLDINGS, INC.</t>
        </is>
      </c>
      <c r="D4125" t="n">
        <v>2834</v>
      </c>
    </row>
    <row r="4126">
      <c r="A4126" t="inlineStr">
        <is>
          <t>XEROX HOLDINGS CORP</t>
        </is>
      </c>
      <c r="B4126" t="inlineStr">
        <is>
          <t>XRX</t>
        </is>
      </c>
      <c r="C4126" t="inlineStr">
        <is>
          <t>XEROX HOLDINGS CORP</t>
        </is>
      </c>
      <c r="D4126" t="n">
        <v>3577</v>
      </c>
    </row>
    <row r="4127">
      <c r="A4127" t="inlineStr">
        <is>
          <t>XIAOBAI MAIMAI INC.</t>
        </is>
      </c>
      <c r="B4127" t="inlineStr">
        <is>
          <t>AHG</t>
        </is>
      </c>
      <c r="C4127" t="inlineStr">
        <is>
          <t>XIAOBAI MAIMAI INC.</t>
        </is>
      </c>
      <c r="D4127" t="n">
        <v>6172</v>
      </c>
    </row>
    <row r="4128">
      <c r="A4128" t="inlineStr">
        <is>
          <t>XINYUAN REAL ESTATE CO., LTD.</t>
        </is>
      </c>
      <c r="B4128" t="inlineStr">
        <is>
          <t>XIN</t>
        </is>
      </c>
      <c r="C4128" t="inlineStr">
        <is>
          <t>XINYUAN REAL ESTATE CO., LTD.</t>
        </is>
      </c>
      <c r="D4128" t="n">
        <v>1520</v>
      </c>
    </row>
    <row r="4129">
      <c r="A4129" t="inlineStr">
        <is>
          <t>XL FLEET CORP.</t>
        </is>
      </c>
      <c r="B4129" t="inlineStr">
        <is>
          <t>XL</t>
        </is>
      </c>
      <c r="C4129" t="inlineStr">
        <is>
          <t>XL FLEET CORP.</t>
        </is>
      </c>
      <c r="D4129" t="n">
        <v>3714</v>
      </c>
    </row>
    <row r="4130">
      <c r="A4130" t="inlineStr">
        <is>
          <t>XOMA CORP</t>
        </is>
      </c>
      <c r="B4130" t="inlineStr">
        <is>
          <t>XOMA</t>
        </is>
      </c>
      <c r="C4130" t="inlineStr">
        <is>
          <t>XOMA CORP</t>
        </is>
      </c>
      <c r="D4130" t="n">
        <v>2834</v>
      </c>
    </row>
    <row r="4131">
      <c r="A4131" t="inlineStr">
        <is>
          <t>XOMETRY, INC.</t>
        </is>
      </c>
      <c r="B4131" t="inlineStr">
        <is>
          <t>XMTR</t>
        </is>
      </c>
      <c r="C4131" t="inlineStr">
        <is>
          <t>XOMETRY, INC.</t>
        </is>
      </c>
      <c r="D4131" t="n">
        <v>7389</v>
      </c>
    </row>
    <row r="4132">
      <c r="A4132" t="inlineStr">
        <is>
          <t>XOS, INC.</t>
        </is>
      </c>
      <c r="B4132" t="inlineStr">
        <is>
          <t>XOS</t>
        </is>
      </c>
      <c r="C4132" t="inlineStr">
        <is>
          <t>XOS, INC.</t>
        </is>
      </c>
      <c r="D4132" t="n">
        <v>3714</v>
      </c>
    </row>
    <row r="4133">
      <c r="A4133" t="inlineStr">
        <is>
          <t>XPEL, INC.</t>
        </is>
      </c>
      <c r="B4133" t="inlineStr">
        <is>
          <t>XPEL</t>
        </is>
      </c>
      <c r="C4133" t="inlineStr">
        <is>
          <t>XPEL, INC.</t>
        </is>
      </c>
      <c r="D4133" t="n">
        <v>3470</v>
      </c>
    </row>
    <row r="4134">
      <c r="A4134" t="inlineStr">
        <is>
          <t>XPERI HOLDING CORP</t>
        </is>
      </c>
      <c r="B4134" t="inlineStr">
        <is>
          <t>XPER</t>
        </is>
      </c>
      <c r="C4134" t="inlineStr">
        <is>
          <t>XPERI HOLDING CORP</t>
        </is>
      </c>
      <c r="D4134" t="n">
        <v>3674</v>
      </c>
    </row>
    <row r="4135">
      <c r="A4135" t="inlineStr">
        <is>
          <t>XPO LOGISTICS, INC.</t>
        </is>
      </c>
      <c r="B4135" t="inlineStr">
        <is>
          <t>XPO</t>
        </is>
      </c>
      <c r="C4135" t="inlineStr">
        <is>
          <t>XPO LOGISTICS, INC.</t>
        </is>
      </c>
      <c r="D4135" t="n">
        <v>4700</v>
      </c>
    </row>
    <row r="4136">
      <c r="A4136" t="inlineStr">
        <is>
          <t>XPONENTIAL FITNESS, INC.</t>
        </is>
      </c>
      <c r="B4136" t="inlineStr">
        <is>
          <t>XPOF</t>
        </is>
      </c>
      <c r="C4136" t="inlineStr">
        <is>
          <t>XPONENTIAL FITNESS, INC.</t>
        </is>
      </c>
      <c r="D4136" t="n">
        <v>7990</v>
      </c>
    </row>
    <row r="4137">
      <c r="A4137" t="inlineStr">
        <is>
          <t>XPRESSPA GROUP, INC.</t>
        </is>
      </c>
      <c r="B4137" t="inlineStr">
        <is>
          <t>XSPA</t>
        </is>
      </c>
      <c r="C4137" t="inlineStr">
        <is>
          <t>XPRESSPA GROUP, INC.</t>
        </is>
      </c>
      <c r="D4137" t="n">
        <v>7200</v>
      </c>
    </row>
    <row r="4138">
      <c r="A4138" t="inlineStr">
        <is>
          <t>XTANT MEDICAL HOLDINGS, INC.</t>
        </is>
      </c>
      <c r="B4138" t="inlineStr">
        <is>
          <t>XTNT</t>
        </is>
      </c>
      <c r="C4138" t="inlineStr">
        <is>
          <t>XTANT MEDICAL HOLDINGS, INC.</t>
        </is>
      </c>
      <c r="D4138" t="n">
        <v>2836</v>
      </c>
    </row>
    <row r="4139">
      <c r="A4139" t="inlineStr">
        <is>
          <t>XUNLEI LTD</t>
        </is>
      </c>
      <c r="B4139" t="inlineStr">
        <is>
          <t>XNET</t>
        </is>
      </c>
      <c r="C4139" t="inlineStr">
        <is>
          <t>XUNLEI LTD</t>
        </is>
      </c>
      <c r="D4139" t="n">
        <v>7372</v>
      </c>
    </row>
    <row r="4140">
      <c r="A4140" t="inlineStr">
        <is>
          <t>XYLEM INC.</t>
        </is>
      </c>
      <c r="B4140" t="inlineStr">
        <is>
          <t>XYL</t>
        </is>
      </c>
      <c r="C4140" t="inlineStr">
        <is>
          <t>XYLEM INC.</t>
        </is>
      </c>
      <c r="D4140" t="n">
        <v>3561</v>
      </c>
    </row>
    <row r="4141">
      <c r="A4141" t="inlineStr">
        <is>
          <t>Y-MABS THERAPEUTICS, INC.</t>
        </is>
      </c>
      <c r="B4141" t="inlineStr">
        <is>
          <t>YMAB</t>
        </is>
      </c>
      <c r="C4141" t="inlineStr">
        <is>
          <t>Y-MABS THERAPEUTICS, INC.</t>
        </is>
      </c>
      <c r="D4141" t="n">
        <v>2834</v>
      </c>
    </row>
    <row r="4142">
      <c r="A4142" t="inlineStr">
        <is>
          <t>YALLA GROUP LTD</t>
        </is>
      </c>
      <c r="B4142" t="inlineStr">
        <is>
          <t>YALA</t>
        </is>
      </c>
      <c r="C4142" t="inlineStr">
        <is>
          <t>YALLA GROUP LTD</t>
        </is>
      </c>
      <c r="D4142" t="n">
        <v>7370</v>
      </c>
    </row>
    <row r="4143">
      <c r="A4143" t="inlineStr">
        <is>
          <t>YANDEX N.V.</t>
        </is>
      </c>
      <c r="B4143" t="inlineStr">
        <is>
          <t>YNDX</t>
        </is>
      </c>
      <c r="C4143" t="inlineStr">
        <is>
          <t>YANDEX N.V.</t>
        </is>
      </c>
      <c r="D4143" t="n">
        <v>7370</v>
      </c>
    </row>
    <row r="4144">
      <c r="A4144" t="inlineStr">
        <is>
          <t>YATSEN HOLDING LTD</t>
        </is>
      </c>
      <c r="B4144" t="inlineStr">
        <is>
          <t>YSG</t>
        </is>
      </c>
      <c r="C4144" t="inlineStr">
        <is>
          <t>YATSEN HOLDING LTD</t>
        </is>
      </c>
      <c r="D4144" t="n">
        <v>2844</v>
      </c>
    </row>
    <row r="4145">
      <c r="A4145" t="inlineStr">
        <is>
          <t>YELLOW CORP</t>
        </is>
      </c>
      <c r="B4145" t="inlineStr">
        <is>
          <t>YELL</t>
        </is>
      </c>
      <c r="C4145" t="inlineStr">
        <is>
          <t>YELLOW CORP</t>
        </is>
      </c>
      <c r="D4145" t="n">
        <v>4213</v>
      </c>
    </row>
    <row r="4146">
      <c r="A4146" t="inlineStr">
        <is>
          <t>YELP INC</t>
        </is>
      </c>
      <c r="B4146" t="inlineStr">
        <is>
          <t>YELP</t>
        </is>
      </c>
      <c r="C4146" t="inlineStr">
        <is>
          <t>YELP INC</t>
        </is>
      </c>
      <c r="D4146" t="n">
        <v>7200</v>
      </c>
    </row>
    <row r="4147">
      <c r="A4147" t="inlineStr">
        <is>
          <t>YETI HOLDINGS, INC.</t>
        </is>
      </c>
      <c r="B4147" t="inlineStr">
        <is>
          <t>YETI</t>
        </is>
      </c>
      <c r="C4147" t="inlineStr">
        <is>
          <t>YETI HOLDINGS, INC.</t>
        </is>
      </c>
      <c r="D4147" t="n">
        <v>3949</v>
      </c>
    </row>
    <row r="4148">
      <c r="A4148" t="inlineStr">
        <is>
          <t>YEXT, INC.</t>
        </is>
      </c>
      <c r="B4148" t="inlineStr">
        <is>
          <t>YEXT</t>
        </is>
      </c>
      <c r="C4148" t="inlineStr">
        <is>
          <t>YEXT, INC.</t>
        </is>
      </c>
      <c r="D4148" t="n">
        <v>7374</v>
      </c>
    </row>
    <row r="4149">
      <c r="A4149" t="inlineStr">
        <is>
          <t>YIELD10 BIOSCIENCE, INC.</t>
        </is>
      </c>
      <c r="B4149" t="inlineStr">
        <is>
          <t>YTEN</t>
        </is>
      </c>
      <c r="C4149" t="inlineStr">
        <is>
          <t>YIELD10 BIOSCIENCE, INC.</t>
        </is>
      </c>
      <c r="D4149" t="n">
        <v>3080</v>
      </c>
    </row>
    <row r="4150">
      <c r="A4150" t="inlineStr">
        <is>
          <t>YIREN DIGITAL LTD.</t>
        </is>
      </c>
      <c r="B4150" t="inlineStr">
        <is>
          <t>YRD</t>
        </is>
      </c>
      <c r="C4150" t="inlineStr">
        <is>
          <t>YIREN DIGITAL LTD.</t>
        </is>
      </c>
      <c r="D4150" t="n">
        <v>6199</v>
      </c>
    </row>
    <row r="4151">
      <c r="A4151" t="inlineStr">
        <is>
          <t>YORK WATER CO</t>
        </is>
      </c>
      <c r="B4151" t="inlineStr">
        <is>
          <t>YORW</t>
        </is>
      </c>
      <c r="C4151" t="inlineStr">
        <is>
          <t>YORK WATER CO</t>
        </is>
      </c>
      <c r="D4151" t="n">
        <v>4941</v>
      </c>
    </row>
    <row r="4152">
      <c r="A4152" t="inlineStr">
        <is>
          <t>YOUDAO, INC.</t>
        </is>
      </c>
      <c r="B4152" t="inlineStr">
        <is>
          <t>DAO</t>
        </is>
      </c>
      <c r="C4152" t="inlineStr">
        <is>
          <t>YOUDAO, INC.</t>
        </is>
      </c>
      <c r="D4152" t="n">
        <v>8200</v>
      </c>
    </row>
    <row r="4153">
      <c r="A4153" t="inlineStr">
        <is>
          <t>YUM BRANDS INC</t>
        </is>
      </c>
      <c r="B4153" t="inlineStr">
        <is>
          <t>YUM</t>
        </is>
      </c>
      <c r="C4153" t="inlineStr">
        <is>
          <t>YUM BRANDS INC</t>
        </is>
      </c>
      <c r="D4153" t="n">
        <v>5812</v>
      </c>
    </row>
    <row r="4154">
      <c r="A4154" t="inlineStr">
        <is>
          <t>YUM CHINA HOLDINGS, INC.</t>
        </is>
      </c>
      <c r="B4154" t="inlineStr">
        <is>
          <t>YUMC</t>
        </is>
      </c>
      <c r="C4154" t="inlineStr">
        <is>
          <t>YUM CHINA HOLDINGS, INC.</t>
        </is>
      </c>
      <c r="D4154" t="n">
        <v>5812</v>
      </c>
    </row>
    <row r="4155">
      <c r="A4155" t="inlineStr">
        <is>
          <t>YUMANITY THERAPEUTICS, INC.</t>
        </is>
      </c>
      <c r="B4155" t="inlineStr">
        <is>
          <t>YMTX</t>
        </is>
      </c>
      <c r="C4155" t="inlineStr">
        <is>
          <t>YUMANITY THERAPEUTICS, INC.</t>
        </is>
      </c>
      <c r="D4155" t="n">
        <v>2834</v>
      </c>
    </row>
    <row r="4156">
      <c r="A4156" t="inlineStr">
        <is>
          <t>YUNJI INC.</t>
        </is>
      </c>
      <c r="B4156" t="inlineStr">
        <is>
          <t>YJ</t>
        </is>
      </c>
      <c r="C4156" t="inlineStr">
        <is>
          <t>YUNJI INC.</t>
        </is>
      </c>
      <c r="D4156" t="n">
        <v>5990</v>
      </c>
    </row>
    <row r="4157">
      <c r="A4157" t="inlineStr">
        <is>
          <t>ZAI LAB LTD</t>
        </is>
      </c>
      <c r="B4157" t="inlineStr">
        <is>
          <t>ZLAB</t>
        </is>
      </c>
      <c r="C4157" t="inlineStr">
        <is>
          <t>ZAI LAB LTD</t>
        </is>
      </c>
      <c r="D4157" t="n">
        <v>2834</v>
      </c>
    </row>
    <row r="4158">
      <c r="A4158" t="inlineStr">
        <is>
          <t>ZEBRA TECHNOLOGIES CORP</t>
        </is>
      </c>
      <c r="B4158" t="inlineStr">
        <is>
          <t>ZBRA</t>
        </is>
      </c>
      <c r="C4158" t="inlineStr">
        <is>
          <t>ZEBRA TECHNOLOGIES CORP</t>
        </is>
      </c>
      <c r="D4158" t="n">
        <v>3560</v>
      </c>
    </row>
    <row r="4159">
      <c r="A4159" t="inlineStr">
        <is>
          <t>ZEDGE, INC.</t>
        </is>
      </c>
      <c r="B4159" t="inlineStr">
        <is>
          <t>ZDGE</t>
        </is>
      </c>
      <c r="C4159" t="inlineStr">
        <is>
          <t>ZEDGE, INC.</t>
        </is>
      </c>
      <c r="D4159" t="n">
        <v>7372</v>
      </c>
    </row>
    <row r="4160">
      <c r="A4160" t="inlineStr">
        <is>
          <t>ZENDESK, INC.</t>
        </is>
      </c>
      <c r="B4160" t="inlineStr">
        <is>
          <t>ZEN</t>
        </is>
      </c>
      <c r="C4160" t="inlineStr">
        <is>
          <t>ZENDESK, INC.</t>
        </is>
      </c>
      <c r="D4160" t="n">
        <v>7374</v>
      </c>
    </row>
    <row r="4161">
      <c r="A4161" t="inlineStr">
        <is>
          <t>ZEPP HEALTH CORP</t>
        </is>
      </c>
      <c r="B4161" t="inlineStr">
        <is>
          <t>ZEPP</t>
        </is>
      </c>
      <c r="C4161" t="inlineStr">
        <is>
          <t>ZEPP HEALTH CORP</t>
        </is>
      </c>
      <c r="D4161" t="n">
        <v>3571</v>
      </c>
    </row>
    <row r="4162">
      <c r="A4162" t="inlineStr">
        <is>
          <t>ZETA GLOBAL HOLDINGS CORP.</t>
        </is>
      </c>
      <c r="B4162" t="inlineStr">
        <is>
          <t>ZETA</t>
        </is>
      </c>
      <c r="C4162" t="inlineStr">
        <is>
          <t>ZETA GLOBAL HOLDINGS CORP.</t>
        </is>
      </c>
      <c r="D4162" t="n">
        <v>7372</v>
      </c>
    </row>
    <row r="4163">
      <c r="A4163" t="inlineStr">
        <is>
          <t>ZEVIA PBC</t>
        </is>
      </c>
      <c r="B4163" t="inlineStr">
        <is>
          <t>ZVIA</t>
        </is>
      </c>
      <c r="C4163" t="inlineStr">
        <is>
          <t>ZEVIA PBC</t>
        </is>
      </c>
      <c r="D4163" t="n">
        <v>2086</v>
      </c>
    </row>
    <row r="4164">
      <c r="A4164" t="inlineStr">
        <is>
          <t>ZHONGCHAO INC.</t>
        </is>
      </c>
      <c r="B4164" t="inlineStr">
        <is>
          <t>ZCMD</t>
        </is>
      </c>
      <c r="C4164" t="inlineStr">
        <is>
          <t>ZHONGCHAO INC.</t>
        </is>
      </c>
      <c r="D4164" t="n">
        <v>8200</v>
      </c>
    </row>
    <row r="4165">
      <c r="A4165" t="inlineStr">
        <is>
          <t>ZIFF DAVIS, INC.</t>
        </is>
      </c>
      <c r="B4165" t="inlineStr">
        <is>
          <t>ZD</t>
        </is>
      </c>
      <c r="C4165" t="inlineStr">
        <is>
          <t>ZIFF DAVIS, INC.</t>
        </is>
      </c>
      <c r="D4165" t="n">
        <v>4822</v>
      </c>
    </row>
    <row r="4166">
      <c r="A4166" t="inlineStr">
        <is>
          <t>ZILLOW GROUP, INC.</t>
        </is>
      </c>
      <c r="B4166" t="inlineStr">
        <is>
          <t>ZG</t>
        </is>
      </c>
      <c r="C4166" t="inlineStr">
        <is>
          <t>ZILLOW GROUP, INC.</t>
        </is>
      </c>
      <c r="D4166" t="n">
        <v>7389</v>
      </c>
    </row>
    <row r="4167">
      <c r="A4167" t="inlineStr">
        <is>
          <t>ZIMMER BIOMET HOLDINGS, INC.</t>
        </is>
      </c>
      <c r="B4167" t="inlineStr">
        <is>
          <t>ZBH</t>
        </is>
      </c>
      <c r="C4167" t="inlineStr">
        <is>
          <t>ZIMMER BIOMET HOLDINGS, INC.</t>
        </is>
      </c>
      <c r="D4167" t="n">
        <v>3842</v>
      </c>
    </row>
    <row r="4168">
      <c r="A4168" t="inlineStr">
        <is>
          <t>ZION OIL &amp; GAS INC</t>
        </is>
      </c>
      <c r="B4168" t="inlineStr">
        <is>
          <t>ZNOG</t>
        </is>
      </c>
      <c r="C4168" t="inlineStr">
        <is>
          <t>ZION OIL &amp; GAS INC</t>
        </is>
      </c>
      <c r="D4168" t="n">
        <v>1382</v>
      </c>
    </row>
    <row r="4169">
      <c r="A4169" t="inlineStr">
        <is>
          <t>ZIONS BANCORPORATION, NATIONAL ASSOCIATION /UT/</t>
        </is>
      </c>
      <c r="B4169" t="inlineStr">
        <is>
          <t>ZION</t>
        </is>
      </c>
      <c r="C4169" t="inlineStr">
        <is>
          <t>ZIONS BANCORPORATION, NATIONAL ASSOCIATION /UT/</t>
        </is>
      </c>
      <c r="D4169" t="n">
        <v>6021</v>
      </c>
    </row>
    <row r="4170">
      <c r="A4170" t="inlineStr">
        <is>
          <t>ZIPRECRUITER, INC.</t>
        </is>
      </c>
      <c r="B4170" t="inlineStr">
        <is>
          <t>ZIP</t>
        </is>
      </c>
      <c r="C4170" t="inlineStr">
        <is>
          <t>ZIPRECRUITER, INC.</t>
        </is>
      </c>
      <c r="D4170" t="n">
        <v>7370</v>
      </c>
    </row>
    <row r="4171">
      <c r="A4171" t="inlineStr">
        <is>
          <t>ZK INTERNATIONAL GROUP CO., LTD.</t>
        </is>
      </c>
      <c r="B4171" t="inlineStr">
        <is>
          <t>ZKIN</t>
        </is>
      </c>
      <c r="C4171" t="inlineStr">
        <is>
          <t>ZK INTERNATIONAL GROUP CO., LTD.</t>
        </is>
      </c>
      <c r="D4171" t="n">
        <v>3490</v>
      </c>
    </row>
    <row r="4172">
      <c r="A4172" t="inlineStr">
        <is>
          <t>ZOETIS INC.</t>
        </is>
      </c>
      <c r="B4172" t="inlineStr">
        <is>
          <t>ZTS</t>
        </is>
      </c>
      <c r="C4172" t="inlineStr">
        <is>
          <t>ZOETIS INC.</t>
        </is>
      </c>
      <c r="D4172" t="n">
        <v>2834</v>
      </c>
    </row>
    <row r="4173">
      <c r="A4173" t="inlineStr">
        <is>
          <t>ZOOM VIDEO COMMUNICATIONS, INC.</t>
        </is>
      </c>
      <c r="B4173" t="inlineStr">
        <is>
          <t>ZM</t>
        </is>
      </c>
      <c r="C4173" t="inlineStr">
        <is>
          <t>ZOOM VIDEO COMMUNICATIONS, INC.</t>
        </is>
      </c>
      <c r="D4173" t="n">
        <v>7370</v>
      </c>
    </row>
    <row r="4174">
      <c r="A4174" t="inlineStr">
        <is>
          <t>ZOOMINFO TECHNOLOGIES INC.</t>
        </is>
      </c>
      <c r="B4174" t="inlineStr">
        <is>
          <t>ZI</t>
        </is>
      </c>
      <c r="C4174" t="inlineStr">
        <is>
          <t>ZOOMINFO TECHNOLOGIES INC.</t>
        </is>
      </c>
      <c r="D4174" t="n">
        <v>7372</v>
      </c>
    </row>
    <row r="4175">
      <c r="A4175" t="inlineStr">
        <is>
          <t>ZOVIO INC</t>
        </is>
      </c>
      <c r="B4175" t="inlineStr">
        <is>
          <t>ZVO</t>
        </is>
      </c>
      <c r="C4175" t="inlineStr">
        <is>
          <t>ZOVIO INC</t>
        </is>
      </c>
      <c r="D4175" t="n">
        <v>8200</v>
      </c>
    </row>
    <row r="4176">
      <c r="A4176" t="inlineStr">
        <is>
          <t>ZSCALER, INC.</t>
        </is>
      </c>
      <c r="B4176" t="inlineStr">
        <is>
          <t>ZS</t>
        </is>
      </c>
      <c r="C4176" t="inlineStr">
        <is>
          <t>ZSCALER, INC.</t>
        </is>
      </c>
      <c r="D4176" t="n">
        <v>7371</v>
      </c>
    </row>
    <row r="4177">
      <c r="A4177" t="inlineStr">
        <is>
          <t>ZTO EXPRESS (CAYMAN) INC.</t>
        </is>
      </c>
      <c r="B4177" t="inlineStr">
        <is>
          <t>ZTO</t>
        </is>
      </c>
      <c r="C4177" t="inlineStr">
        <is>
          <t>ZTO EXPRESS (CAYMAN) INC.</t>
        </is>
      </c>
      <c r="D4177" t="n">
        <v>4210</v>
      </c>
    </row>
    <row r="4178">
      <c r="A4178" t="inlineStr">
        <is>
          <t>ZUMIEZ INC</t>
        </is>
      </c>
      <c r="B4178" t="inlineStr">
        <is>
          <t>ZUMZ</t>
        </is>
      </c>
      <c r="C4178" t="inlineStr">
        <is>
          <t>ZUMIEZ INC</t>
        </is>
      </c>
      <c r="D4178" t="n">
        <v>5600</v>
      </c>
    </row>
    <row r="4179">
      <c r="A4179" t="inlineStr">
        <is>
          <t>ZUORA INC</t>
        </is>
      </c>
      <c r="B4179" t="inlineStr">
        <is>
          <t>ZUO</t>
        </is>
      </c>
      <c r="C4179" t="inlineStr">
        <is>
          <t>ZUORA INC</t>
        </is>
      </c>
      <c r="D4179" t="n">
        <v>7372</v>
      </c>
    </row>
    <row r="4180">
      <c r="A4180" t="inlineStr">
        <is>
          <t>ZURN WATER SOLUTIONS CORP</t>
        </is>
      </c>
      <c r="B4180" t="inlineStr">
        <is>
          <t>ZWS</t>
        </is>
      </c>
      <c r="C4180" t="inlineStr">
        <is>
          <t>ZURN WATER SOLUTIONS CORP</t>
        </is>
      </c>
      <c r="D4180" t="n">
        <v>3560</v>
      </c>
    </row>
    <row r="4181">
      <c r="A4181" t="inlineStr">
        <is>
          <t>ZW DATA ACTION TECHNOLOGIES INC.</t>
        </is>
      </c>
      <c r="B4181" t="inlineStr">
        <is>
          <t>CNET</t>
        </is>
      </c>
      <c r="C4181" t="inlineStr">
        <is>
          <t>ZW DATA ACTION TECHNOLOGIES INC.</t>
        </is>
      </c>
      <c r="D4181" t="n">
        <v>7370</v>
      </c>
    </row>
    <row r="4182">
      <c r="A4182" t="inlineStr">
        <is>
          <t>ZYMERGEN INC.</t>
        </is>
      </c>
      <c r="B4182" t="inlineStr">
        <is>
          <t>ZY</t>
        </is>
      </c>
      <c r="C4182" t="inlineStr">
        <is>
          <t>ZYMERGEN INC.</t>
        </is>
      </c>
      <c r="D4182" t="n">
        <v>8731</v>
      </c>
    </row>
    <row r="4183">
      <c r="A4183" t="inlineStr">
        <is>
          <t>ZYMEWORKS INC.</t>
        </is>
      </c>
      <c r="B4183" t="inlineStr">
        <is>
          <t>ZYME</t>
        </is>
      </c>
      <c r="C4183" t="inlineStr">
        <is>
          <t>ZYMEWORKS INC.</t>
        </is>
      </c>
      <c r="D4183" t="n">
        <v>2834</v>
      </c>
    </row>
    <row r="4184">
      <c r="A4184" t="inlineStr">
        <is>
          <t>ZYNEX INC</t>
        </is>
      </c>
      <c r="B4184" t="inlineStr">
        <is>
          <t>ZYXI</t>
        </is>
      </c>
      <c r="C4184" t="inlineStr">
        <is>
          <t>ZYNEX INC</t>
        </is>
      </c>
      <c r="D4184" t="n">
        <v>3845</v>
      </c>
    </row>
    <row r="4185">
      <c r="A4185" s="6" t="n"/>
      <c r="B4185" s="6" t="n"/>
      <c r="C4185" s="6" t="n"/>
    </row>
    <row r="4186">
      <c r="A4186" s="6" t="n"/>
      <c r="B4186" s="6" t="n"/>
      <c r="C4186" s="6" t="n"/>
    </row>
    <row r="4187">
      <c r="A4187" s="6" t="n"/>
      <c r="B4187" s="6" t="n"/>
      <c r="C4187" s="6" t="n"/>
    </row>
    <row r="4188">
      <c r="A4188" s="6" t="n"/>
      <c r="B4188" s="6" t="n"/>
      <c r="C4188" s="6" t="n"/>
    </row>
    <row r="4189">
      <c r="A4189" s="6" t="n"/>
      <c r="B4189" s="6" t="n"/>
      <c r="C4189" s="6" t="n"/>
    </row>
    <row r="4190">
      <c r="A4190" s="6" t="n"/>
      <c r="B4190" s="6" t="n"/>
      <c r="C4190" s="6" t="n"/>
    </row>
    <row r="4191">
      <c r="A4191" s="6" t="n"/>
      <c r="B4191" s="6" t="n"/>
      <c r="C4191" s="6" t="n"/>
    </row>
    <row r="4192">
      <c r="A4192" s="6" t="n"/>
      <c r="B4192" s="6" t="n"/>
      <c r="C4192" s="6" t="n"/>
    </row>
    <row r="4193">
      <c r="A4193" s="6" t="n"/>
      <c r="B4193" s="6" t="n"/>
      <c r="C4193" s="6" t="n"/>
    </row>
    <row r="4194">
      <c r="A4194" s="6" t="n"/>
      <c r="B4194" s="6" t="n"/>
      <c r="C4194" s="6" t="n"/>
    </row>
    <row r="4195">
      <c r="A4195" s="6" t="n"/>
      <c r="B4195" s="6" t="n"/>
      <c r="C4195" s="6" t="n"/>
    </row>
    <row r="4196">
      <c r="A4196" s="6" t="n"/>
      <c r="B4196" s="6" t="n"/>
      <c r="C4196" s="6" t="n"/>
    </row>
    <row r="4197">
      <c r="A4197" s="6" t="n"/>
      <c r="B4197" s="6" t="n"/>
      <c r="C4197" s="6" t="n"/>
    </row>
    <row r="4198">
      <c r="A4198" s="6" t="n"/>
      <c r="B4198" s="6" t="n"/>
      <c r="C4198" s="6" t="n"/>
    </row>
    <row r="4199">
      <c r="A4199" s="6" t="n"/>
      <c r="B4199" s="6" t="n"/>
      <c r="C4199" s="6" t="n"/>
    </row>
    <row r="4200">
      <c r="A4200" s="6" t="n"/>
      <c r="B4200" s="6" t="n"/>
      <c r="C4200" s="6" t="n"/>
    </row>
    <row r="4201">
      <c r="A4201" s="6" t="n"/>
      <c r="B4201" s="6" t="n"/>
      <c r="C4201" s="6" t="n"/>
    </row>
    <row r="4202">
      <c r="A4202" s="6" t="n"/>
      <c r="B4202" s="6" t="n"/>
      <c r="C4202" s="6" t="n"/>
    </row>
    <row r="4203">
      <c r="A4203" s="6" t="n"/>
      <c r="B4203" s="6" t="n"/>
      <c r="C4203" s="6" t="n"/>
    </row>
    <row r="4204">
      <c r="A4204" s="6" t="n"/>
      <c r="B4204" s="6" t="n"/>
      <c r="C4204" s="6" t="n"/>
    </row>
    <row r="4205">
      <c r="A4205" s="6" t="n"/>
      <c r="B4205" s="6" t="n"/>
      <c r="C4205" s="6" t="n"/>
    </row>
    <row r="4206">
      <c r="A4206" s="6" t="n"/>
      <c r="B4206" s="6" t="n"/>
      <c r="C4206" s="6" t="n"/>
    </row>
    <row r="4207">
      <c r="A4207" s="6" t="n"/>
      <c r="B4207" s="6" t="n"/>
      <c r="C4207" s="6" t="n"/>
    </row>
    <row r="4208">
      <c r="A4208" s="6" t="n"/>
      <c r="B4208" s="6" t="n"/>
      <c r="C4208" s="6" t="n"/>
    </row>
    <row r="4209">
      <c r="A4209" s="6" t="n"/>
      <c r="B4209" s="6" t="n"/>
      <c r="C4209" s="6" t="n"/>
    </row>
    <row r="4210">
      <c r="A4210" s="6" t="n"/>
      <c r="B4210" s="6" t="n"/>
      <c r="C4210" s="6" t="n"/>
    </row>
    <row r="4211">
      <c r="A4211" s="6" t="n"/>
      <c r="B4211" s="6" t="n"/>
      <c r="C4211" s="6" t="n"/>
    </row>
    <row r="4212">
      <c r="A4212" s="6" t="n"/>
      <c r="B4212" s="6" t="n"/>
      <c r="C4212" s="6" t="n"/>
    </row>
    <row r="4213">
      <c r="A4213" s="6" t="n"/>
      <c r="B4213" s="6" t="n"/>
      <c r="C4213" s="6" t="n"/>
    </row>
    <row r="4214">
      <c r="A4214" s="6" t="n"/>
      <c r="B4214" s="6" t="n"/>
      <c r="C4214" s="6" t="n"/>
    </row>
    <row r="4215">
      <c r="A4215" s="6" t="n"/>
      <c r="B4215" s="6" t="n"/>
      <c r="C4215" s="6" t="n"/>
    </row>
    <row r="4216">
      <c r="A4216" s="6" t="n"/>
      <c r="B4216" s="6" t="n"/>
      <c r="C4216" s="6" t="n"/>
    </row>
    <row r="4217">
      <c r="A4217" s="6" t="n"/>
      <c r="B4217" s="6" t="n"/>
      <c r="C4217" s="6" t="n"/>
    </row>
    <row r="4218">
      <c r="A4218" s="6" t="n"/>
      <c r="B4218" s="6" t="n"/>
      <c r="C4218" s="6" t="n"/>
    </row>
    <row r="4219">
      <c r="A4219" s="6" t="n"/>
      <c r="B4219" s="6" t="n"/>
      <c r="C4219" s="6" t="n"/>
    </row>
    <row r="4220">
      <c r="A4220" s="6" t="n"/>
      <c r="B4220" s="6" t="n"/>
      <c r="C4220" s="6" t="n"/>
    </row>
    <row r="4221">
      <c r="A4221" s="6" t="n"/>
      <c r="B4221" s="6" t="n"/>
      <c r="C4221" s="6" t="n"/>
    </row>
    <row r="4222">
      <c r="A4222" s="6" t="n"/>
      <c r="B4222" s="6" t="n"/>
      <c r="C4222" s="6" t="n"/>
    </row>
    <row r="4223">
      <c r="A4223" s="6" t="n"/>
      <c r="B4223" s="6" t="n"/>
      <c r="C4223" s="6" t="n"/>
    </row>
    <row r="4224">
      <c r="A4224" s="6" t="n"/>
      <c r="B4224" s="6" t="n"/>
      <c r="C4224" s="6" t="n"/>
    </row>
    <row r="4225">
      <c r="A4225" s="6" t="n"/>
      <c r="B4225" s="6" t="n"/>
      <c r="C4225" s="6" t="n"/>
    </row>
    <row r="4226">
      <c r="A4226" s="6" t="n"/>
      <c r="B4226" s="6" t="n"/>
      <c r="C4226" s="6" t="n"/>
    </row>
    <row r="4227">
      <c r="A4227" s="6" t="n"/>
      <c r="B4227" s="6" t="n"/>
      <c r="C4227" s="6" t="n"/>
    </row>
    <row r="4228">
      <c r="A4228" s="6" t="n"/>
      <c r="B4228" s="6" t="n"/>
      <c r="C4228" s="6" t="n"/>
    </row>
    <row r="4229">
      <c r="A4229" s="6" t="n"/>
      <c r="B4229" s="6" t="n"/>
      <c r="C4229" s="6" t="n"/>
    </row>
    <row r="4230">
      <c r="A4230" s="6" t="n"/>
      <c r="B4230" s="6" t="n"/>
      <c r="C4230" s="6" t="n"/>
    </row>
    <row r="4231">
      <c r="A4231" s="6" t="n"/>
      <c r="B4231" s="6" t="n"/>
      <c r="C4231" s="6" t="n"/>
    </row>
    <row r="4232">
      <c r="A4232" s="6" t="n"/>
      <c r="B4232" s="6" t="n"/>
      <c r="C4232" s="6" t="n"/>
    </row>
    <row r="4233">
      <c r="A4233" s="6" t="n"/>
      <c r="B4233" s="6" t="n"/>
      <c r="C4233" s="6" t="n"/>
    </row>
    <row r="4234">
      <c r="A4234" s="6" t="n"/>
      <c r="B4234" s="6" t="n"/>
      <c r="C4234" s="6" t="n"/>
    </row>
    <row r="4235">
      <c r="A4235" s="6" t="n"/>
      <c r="B4235" s="6" t="n"/>
      <c r="C4235" s="6" t="n"/>
    </row>
    <row r="4236">
      <c r="A4236" s="6" t="n"/>
      <c r="B4236" s="6" t="n"/>
      <c r="C4236" s="6" t="n"/>
    </row>
    <row r="4237">
      <c r="A4237" s="6" t="n"/>
      <c r="B4237" s="6" t="n"/>
      <c r="C4237" s="6" t="n"/>
    </row>
    <row r="4238">
      <c r="A4238" s="6" t="n"/>
      <c r="B4238" s="6" t="n"/>
      <c r="C4238" s="6" t="n"/>
    </row>
    <row r="4239">
      <c r="A4239" s="6" t="n"/>
      <c r="B4239" s="6" t="n"/>
      <c r="C4239" s="6" t="n"/>
    </row>
    <row r="4240">
      <c r="A4240" s="6" t="n"/>
      <c r="B4240" s="6" t="n"/>
      <c r="C4240" s="6" t="n"/>
    </row>
    <row r="4241">
      <c r="A4241" s="6" t="n"/>
      <c r="B4241" s="6" t="n"/>
      <c r="C4241" s="6" t="n"/>
    </row>
    <row r="4242">
      <c r="A4242" s="6" t="n"/>
      <c r="B4242" s="6" t="n"/>
      <c r="C4242" s="6" t="n"/>
    </row>
    <row r="4243">
      <c r="A4243" s="6" t="n"/>
      <c r="B4243" s="6" t="n"/>
      <c r="C4243" s="6" t="n"/>
    </row>
    <row r="4244">
      <c r="A4244" s="6" t="n"/>
      <c r="B4244" s="6" t="n"/>
      <c r="C4244" s="6" t="n"/>
    </row>
    <row r="4245">
      <c r="A4245" s="6" t="n"/>
      <c r="B4245" s="6" t="n"/>
      <c r="C4245" s="6" t="n"/>
    </row>
    <row r="4246">
      <c r="A4246" s="6" t="n"/>
      <c r="B4246" s="6" t="n"/>
      <c r="C4246" s="6" t="n"/>
    </row>
    <row r="4247">
      <c r="A4247" s="6" t="n"/>
      <c r="B4247" s="6" t="n"/>
      <c r="C4247" s="6" t="n"/>
    </row>
    <row r="4248">
      <c r="A4248" s="6" t="n"/>
      <c r="B4248" s="6" t="n"/>
      <c r="C4248" s="6" t="n"/>
    </row>
    <row r="4249">
      <c r="A4249" s="6" t="n"/>
      <c r="B4249" s="6" t="n"/>
      <c r="C4249" s="6" t="n"/>
    </row>
    <row r="4250">
      <c r="A4250" s="6" t="n"/>
      <c r="B4250" s="6" t="n"/>
      <c r="C4250" s="6" t="n"/>
    </row>
    <row r="4251">
      <c r="A4251" s="6" t="n"/>
      <c r="B4251" s="6" t="n"/>
      <c r="C4251" s="6" t="n"/>
    </row>
    <row r="4252">
      <c r="A4252" s="6" t="n"/>
      <c r="B4252" s="6" t="n"/>
      <c r="C4252" s="6" t="n"/>
    </row>
    <row r="4253">
      <c r="A4253" s="6" t="n"/>
      <c r="B4253" s="6" t="n"/>
      <c r="C4253" s="6" t="n"/>
    </row>
    <row r="4254">
      <c r="A4254" s="6" t="n"/>
      <c r="B4254" s="6" t="n"/>
      <c r="C4254" s="6" t="n"/>
    </row>
    <row r="4255">
      <c r="A4255" s="6" t="n"/>
      <c r="B4255" s="6" t="n"/>
      <c r="C4255" s="6" t="n"/>
    </row>
    <row r="4256">
      <c r="A4256" s="6" t="n"/>
      <c r="B4256" s="6" t="n"/>
      <c r="C4256" s="6" t="n"/>
    </row>
    <row r="4257">
      <c r="A4257" s="6" t="n"/>
      <c r="B4257" s="6" t="n"/>
      <c r="C4257" s="6" t="n"/>
    </row>
    <row r="4258">
      <c r="A4258" s="6" t="n"/>
      <c r="B4258" s="6" t="n"/>
      <c r="C4258" s="6" t="n"/>
    </row>
    <row r="4259">
      <c r="A4259" s="6" t="n"/>
      <c r="B4259" s="6" t="n"/>
      <c r="C4259" s="6" t="n"/>
    </row>
    <row r="4260">
      <c r="A4260" s="6" t="n"/>
      <c r="B4260" s="6" t="n"/>
      <c r="C4260" s="6" t="n"/>
    </row>
    <row r="4261">
      <c r="A4261" s="6" t="n"/>
      <c r="B4261" s="6" t="n"/>
      <c r="C4261" s="6" t="n"/>
    </row>
    <row r="4262">
      <c r="A4262" s="6" t="n"/>
      <c r="B4262" s="6" t="n"/>
      <c r="C4262" s="6" t="n"/>
    </row>
    <row r="4263">
      <c r="A4263" s="6" t="n"/>
      <c r="B4263" s="6" t="n"/>
      <c r="C4263" s="6" t="n"/>
    </row>
    <row r="4264">
      <c r="A4264" s="6" t="n"/>
      <c r="B4264" s="6" t="n"/>
      <c r="C4264" s="6" t="n"/>
    </row>
    <row r="4265">
      <c r="A4265" s="6" t="n"/>
      <c r="B4265" s="6" t="n"/>
      <c r="C4265" s="6" t="n"/>
    </row>
    <row r="4266">
      <c r="A4266" s="6" t="n"/>
      <c r="B4266" s="6" t="n"/>
      <c r="C4266" s="6" t="n"/>
    </row>
    <row r="4267">
      <c r="A4267" s="6" t="n"/>
      <c r="B4267" s="6" t="n"/>
      <c r="C4267" s="6" t="n"/>
    </row>
    <row r="4268">
      <c r="A4268" s="6" t="n"/>
      <c r="B4268" s="6" t="n"/>
      <c r="C4268" s="6" t="n"/>
    </row>
    <row r="4269">
      <c r="A4269" s="6" t="n"/>
      <c r="B4269" s="6" t="n"/>
      <c r="C4269" s="6" t="n"/>
    </row>
    <row r="4270">
      <c r="A4270" s="6" t="n"/>
      <c r="B4270" s="6" t="n"/>
      <c r="C4270" s="6" t="n"/>
    </row>
    <row r="4271">
      <c r="A4271" s="6" t="n"/>
      <c r="B4271" s="6" t="n"/>
      <c r="C4271" s="6" t="n"/>
    </row>
    <row r="4272">
      <c r="A4272" s="6" t="n"/>
      <c r="B4272" s="6" t="n"/>
      <c r="C4272" s="6" t="n"/>
    </row>
    <row r="4273">
      <c r="A4273" s="6" t="n"/>
      <c r="B4273" s="6" t="n"/>
      <c r="C4273" s="6" t="n"/>
    </row>
    <row r="4274">
      <c r="A4274" s="6" t="n"/>
      <c r="B4274" s="6" t="n"/>
      <c r="C4274" s="6" t="n"/>
    </row>
    <row r="4275">
      <c r="A4275" s="6" t="n"/>
      <c r="B4275" s="6" t="n"/>
      <c r="C4275" s="6" t="n"/>
    </row>
    <row r="4276">
      <c r="A4276" s="6" t="n"/>
      <c r="B4276" s="6" t="n"/>
      <c r="C4276" s="6" t="n"/>
    </row>
    <row r="4277">
      <c r="A4277" s="6" t="n"/>
      <c r="B4277" s="6" t="n"/>
      <c r="C4277" s="6" t="n"/>
    </row>
    <row r="4278">
      <c r="A4278" s="6" t="n"/>
      <c r="B4278" s="6" t="n"/>
      <c r="C4278" s="6" t="n"/>
    </row>
    <row r="4279">
      <c r="A4279" s="6" t="n"/>
      <c r="B4279" s="6" t="n"/>
      <c r="C4279" s="6" t="n"/>
    </row>
    <row r="4280">
      <c r="A4280" s="6" t="n"/>
      <c r="B4280" s="6" t="n"/>
      <c r="C4280" s="6" t="n"/>
    </row>
    <row r="4281">
      <c r="A4281" s="6" t="n"/>
      <c r="B4281" s="6" t="n"/>
      <c r="C4281" s="6" t="n"/>
    </row>
    <row r="4282">
      <c r="A4282" s="6" t="n"/>
      <c r="B4282" s="6" t="n"/>
      <c r="C4282" s="6" t="n"/>
    </row>
    <row r="4283">
      <c r="A4283" s="6" t="n"/>
      <c r="B4283" s="6" t="n"/>
      <c r="C4283" s="6" t="n"/>
    </row>
    <row r="4284">
      <c r="A4284" s="6" t="n"/>
      <c r="B4284" s="6" t="n"/>
      <c r="C4284" s="6" t="n"/>
    </row>
    <row r="4285">
      <c r="A4285" s="6" t="n"/>
      <c r="B4285" s="6" t="n"/>
      <c r="C4285" s="6" t="n"/>
    </row>
    <row r="4286">
      <c r="A4286" s="6" t="n"/>
      <c r="B4286" s="6" t="n"/>
      <c r="C4286" s="6" t="n"/>
    </row>
    <row r="4287">
      <c r="A4287" s="6" t="n"/>
      <c r="B4287" s="6" t="n"/>
      <c r="C4287" s="6" t="n"/>
    </row>
    <row r="4288">
      <c r="A4288" s="6" t="n"/>
      <c r="B4288" s="6" t="n"/>
      <c r="C4288" s="6" t="n"/>
    </row>
    <row r="4289">
      <c r="A4289" s="6" t="n"/>
      <c r="B4289" s="6" t="n"/>
      <c r="C4289" s="6" t="n"/>
    </row>
    <row r="4290">
      <c r="A4290" s="6" t="n"/>
      <c r="B4290" s="6" t="n"/>
      <c r="C4290" s="6" t="n"/>
    </row>
    <row r="4291">
      <c r="A4291" s="6" t="n"/>
      <c r="B4291" s="6" t="n"/>
      <c r="C4291" s="6" t="n"/>
    </row>
    <row r="4292">
      <c r="A4292" s="6" t="n"/>
      <c r="B4292" s="6" t="n"/>
      <c r="C4292" s="6" t="n"/>
    </row>
    <row r="4293">
      <c r="A4293" s="6" t="n"/>
      <c r="B4293" s="6" t="n"/>
      <c r="C4293" s="6" t="n"/>
    </row>
    <row r="4294">
      <c r="A4294" s="6" t="n"/>
      <c r="B4294" s="6" t="n"/>
      <c r="C4294" s="6" t="n"/>
    </row>
    <row r="4295">
      <c r="A4295" s="6" t="n"/>
      <c r="B4295" s="6" t="n"/>
      <c r="C4295" s="6" t="n"/>
    </row>
    <row r="4296">
      <c r="A4296" s="6" t="n"/>
      <c r="B4296" s="6" t="n"/>
      <c r="C4296" s="6" t="n"/>
    </row>
    <row r="4297">
      <c r="A4297" s="6" t="n"/>
      <c r="B4297" s="6" t="n"/>
      <c r="C4297" s="6" t="n"/>
    </row>
    <row r="4298">
      <c r="A4298" s="6" t="n"/>
      <c r="B4298" s="6" t="n"/>
      <c r="C4298" s="6" t="n"/>
    </row>
    <row r="4299">
      <c r="A4299" s="6" t="n"/>
      <c r="B4299" s="6" t="n"/>
      <c r="C4299" s="6" t="n"/>
    </row>
    <row r="4300">
      <c r="A4300" s="6" t="n"/>
      <c r="B4300" s="6" t="n"/>
      <c r="C4300" s="6" t="n"/>
    </row>
    <row r="4301">
      <c r="A4301" s="6" t="n"/>
      <c r="B4301" s="6" t="n"/>
      <c r="C4301" s="6" t="n"/>
    </row>
    <row r="4302">
      <c r="A4302" s="6" t="n"/>
      <c r="B4302" s="6" t="n"/>
      <c r="C4302" s="6" t="n"/>
    </row>
    <row r="4303">
      <c r="A4303" s="6" t="n"/>
      <c r="B4303" s="6" t="n"/>
      <c r="C4303" s="6" t="n"/>
    </row>
    <row r="4304">
      <c r="A4304" s="6" t="n"/>
      <c r="B4304" s="6" t="n"/>
      <c r="C4304" s="6" t="n"/>
    </row>
    <row r="4305">
      <c r="A4305" s="6" t="n"/>
      <c r="B4305" s="6" t="n"/>
      <c r="C4305" s="6" t="n"/>
    </row>
    <row r="4306">
      <c r="A4306" s="6" t="n"/>
      <c r="B4306" s="6" t="n"/>
      <c r="C4306" s="6" t="n"/>
    </row>
    <row r="4307">
      <c r="A4307" s="6" t="n"/>
      <c r="B4307" s="6" t="n"/>
      <c r="C4307" s="6" t="n"/>
    </row>
    <row r="4308">
      <c r="A4308" s="6" t="n"/>
      <c r="B4308" s="6" t="n"/>
      <c r="C4308" s="6" t="n"/>
    </row>
    <row r="4309">
      <c r="A4309" s="6" t="n"/>
      <c r="B4309" s="6" t="n"/>
      <c r="C4309" s="6" t="n"/>
    </row>
    <row r="4310">
      <c r="A4310" s="6" t="n"/>
      <c r="B4310" s="6" t="n"/>
      <c r="C4310" s="6" t="n"/>
    </row>
    <row r="4311">
      <c r="A4311" s="6" t="n"/>
      <c r="B4311" s="6" t="n"/>
      <c r="C4311" s="6" t="n"/>
    </row>
    <row r="4312">
      <c r="A4312" s="6" t="n"/>
      <c r="B4312" s="6" t="n"/>
      <c r="C4312" s="6" t="n"/>
    </row>
    <row r="4313">
      <c r="A4313" s="6" t="n"/>
      <c r="B4313" s="6" t="n"/>
      <c r="C4313" s="6" t="n"/>
    </row>
    <row r="4314">
      <c r="A4314" s="6" t="n"/>
      <c r="B4314" s="6" t="n"/>
      <c r="C4314" s="6" t="n"/>
    </row>
    <row r="4315">
      <c r="A4315" s="6" t="n"/>
      <c r="B4315" s="6" t="n"/>
      <c r="C4315" s="6" t="n"/>
    </row>
    <row r="4316">
      <c r="A4316" s="6" t="n"/>
      <c r="B4316" s="6" t="n"/>
      <c r="C4316" s="6" t="n"/>
    </row>
    <row r="4317">
      <c r="A4317" s="6" t="n"/>
      <c r="B4317" s="6" t="n"/>
      <c r="C4317" s="6" t="n"/>
    </row>
    <row r="4318">
      <c r="A4318" s="6" t="n"/>
      <c r="B4318" s="6" t="n"/>
      <c r="C4318" s="6" t="n"/>
    </row>
    <row r="4319">
      <c r="A4319" s="6" t="n"/>
      <c r="B4319" s="6" t="n"/>
      <c r="C4319" s="6" t="n"/>
    </row>
    <row r="4320">
      <c r="A4320" s="6" t="n"/>
      <c r="B4320" s="6" t="n"/>
      <c r="C4320" s="6" t="n"/>
    </row>
    <row r="4321">
      <c r="A4321" s="6" t="n"/>
      <c r="B4321" s="6" t="n"/>
      <c r="C4321" s="6" t="n"/>
    </row>
    <row r="4322">
      <c r="A4322" s="6" t="n"/>
      <c r="B4322" s="6" t="n"/>
      <c r="C4322" s="6" t="n"/>
    </row>
    <row r="4323">
      <c r="A4323" s="6" t="n"/>
      <c r="B4323" s="6" t="n"/>
      <c r="C4323" s="6" t="n"/>
    </row>
    <row r="4324">
      <c r="A4324" s="6" t="n"/>
      <c r="B4324" s="6" t="n"/>
      <c r="C4324" s="6" t="n"/>
    </row>
    <row r="4325">
      <c r="A4325" s="6" t="n"/>
      <c r="B4325" s="6" t="n"/>
      <c r="C4325" s="6" t="n"/>
    </row>
    <row r="4326">
      <c r="A4326" s="6" t="n"/>
      <c r="B4326" s="6" t="n"/>
      <c r="C4326" s="6" t="n"/>
    </row>
    <row r="4327">
      <c r="A4327" s="6" t="n"/>
      <c r="B4327" s="6" t="n"/>
      <c r="C4327" s="6" t="n"/>
    </row>
    <row r="4328">
      <c r="A4328" s="6" t="n"/>
      <c r="B4328" s="6" t="n"/>
      <c r="C4328" s="6" t="n"/>
    </row>
    <row r="4329">
      <c r="A4329" s="6" t="n"/>
      <c r="B4329" s="6" t="n"/>
      <c r="C4329" s="6" t="n"/>
    </row>
    <row r="4330">
      <c r="A4330" s="6" t="n"/>
      <c r="B4330" s="6" t="n"/>
      <c r="C4330" s="6" t="n"/>
    </row>
    <row r="4331">
      <c r="A4331" s="6" t="n"/>
      <c r="B4331" s="6" t="n"/>
      <c r="C4331" s="6" t="n"/>
    </row>
    <row r="4332">
      <c r="A4332" s="6" t="n"/>
      <c r="B4332" s="6" t="n"/>
      <c r="C4332" s="6" t="n"/>
    </row>
    <row r="4333">
      <c r="A4333" s="6" t="n"/>
      <c r="B4333" s="6" t="n"/>
      <c r="C4333" s="6" t="n"/>
    </row>
    <row r="4334">
      <c r="A4334" s="6" t="n"/>
      <c r="B4334" s="6" t="n"/>
      <c r="C4334" s="6" t="n"/>
    </row>
    <row r="4335">
      <c r="A4335" s="6" t="n"/>
      <c r="B4335" s="6" t="n"/>
      <c r="C4335" s="6" t="n"/>
    </row>
    <row r="4336">
      <c r="A4336" s="6" t="n"/>
      <c r="B4336" s="6" t="n"/>
      <c r="C4336" s="6" t="n"/>
    </row>
    <row r="4337">
      <c r="A4337" s="6" t="n"/>
      <c r="B4337" s="6" t="n"/>
      <c r="C4337" s="6" t="n"/>
    </row>
    <row r="4338">
      <c r="A4338" s="6" t="n"/>
      <c r="B4338" s="6" t="n"/>
      <c r="C4338" s="6" t="n"/>
    </row>
    <row r="4339">
      <c r="A4339" s="6" t="n"/>
      <c r="B4339" s="6" t="n"/>
      <c r="C4339" s="6" t="n"/>
    </row>
    <row r="4340">
      <c r="A4340" s="6" t="n"/>
      <c r="B4340" s="6" t="n"/>
      <c r="C4340" s="6" t="n"/>
    </row>
    <row r="4341">
      <c r="A4341" s="6" t="n"/>
      <c r="B4341" s="6" t="n"/>
      <c r="C4341" s="6" t="n"/>
    </row>
    <row r="4342">
      <c r="A4342" s="6" t="n"/>
      <c r="B4342" s="6" t="n"/>
      <c r="C4342" s="6" t="n"/>
    </row>
    <row r="4343">
      <c r="A4343" s="6" t="n"/>
      <c r="B4343" s="6" t="n"/>
      <c r="C4343" s="6" t="n"/>
    </row>
    <row r="4344">
      <c r="A4344" s="6" t="n"/>
      <c r="B4344" s="6" t="n"/>
      <c r="C4344" s="6" t="n"/>
    </row>
    <row r="4345">
      <c r="A4345" s="6" t="n"/>
      <c r="B4345" s="6" t="n"/>
      <c r="C4345" s="6" t="n"/>
    </row>
    <row r="4346">
      <c r="A4346" s="6" t="n"/>
      <c r="B4346" s="6" t="n"/>
      <c r="C4346" s="6" t="n"/>
    </row>
    <row r="4347">
      <c r="A4347" s="6" t="n"/>
      <c r="B4347" s="6" t="n"/>
      <c r="C4347" s="6" t="n"/>
    </row>
    <row r="4348">
      <c r="A4348" s="6" t="n"/>
      <c r="B4348" s="6" t="n"/>
      <c r="C4348" s="6" t="n"/>
    </row>
    <row r="4349">
      <c r="A4349" s="6" t="n"/>
      <c r="B4349" s="6" t="n"/>
      <c r="C4349" s="6" t="n"/>
    </row>
    <row r="4350">
      <c r="A4350" s="6" t="n"/>
      <c r="B4350" s="6" t="n"/>
      <c r="C4350" s="6" t="n"/>
    </row>
    <row r="4351">
      <c r="A4351" s="6" t="n"/>
      <c r="B4351" s="6" t="n"/>
      <c r="C4351" s="6" t="n"/>
    </row>
    <row r="4352">
      <c r="A4352" s="6" t="n"/>
      <c r="B4352" s="6" t="n"/>
      <c r="C4352" s="6" t="n"/>
    </row>
    <row r="4353">
      <c r="A4353" s="6" t="n"/>
      <c r="B4353" s="6" t="n"/>
      <c r="C4353" s="6" t="n"/>
    </row>
    <row r="4354">
      <c r="A4354" s="6" t="n"/>
      <c r="B4354" s="6" t="n"/>
      <c r="C4354" s="6" t="n"/>
    </row>
    <row r="4355">
      <c r="A4355" s="6" t="n"/>
      <c r="B4355" s="6" t="n"/>
      <c r="C4355" s="6" t="n"/>
    </row>
    <row r="4356">
      <c r="A4356" s="6" t="n"/>
      <c r="B4356" s="6" t="n"/>
      <c r="C4356" s="6" t="n"/>
    </row>
    <row r="4357">
      <c r="A4357" s="6" t="n"/>
      <c r="B4357" s="6" t="n"/>
      <c r="C4357" s="6" t="n"/>
    </row>
    <row r="4358">
      <c r="A4358" s="6" t="n"/>
      <c r="B4358" s="6" t="n"/>
      <c r="C4358" s="6" t="n"/>
    </row>
    <row r="4359">
      <c r="A4359" s="6" t="n"/>
      <c r="B4359" s="6" t="n"/>
      <c r="C4359" s="6" t="n"/>
    </row>
    <row r="4360">
      <c r="A4360" s="6" t="n"/>
      <c r="B4360" s="6" t="n"/>
      <c r="C4360" s="6" t="n"/>
    </row>
    <row r="4361">
      <c r="A4361" s="6" t="n"/>
      <c r="B4361" s="6" t="n"/>
      <c r="C4361" s="6" t="n"/>
    </row>
    <row r="4362">
      <c r="A4362" s="6" t="n"/>
      <c r="B4362" s="6" t="n"/>
      <c r="C4362" s="6" t="n"/>
    </row>
    <row r="4363">
      <c r="A4363" s="6" t="n"/>
      <c r="B4363" s="6" t="n"/>
      <c r="C4363" s="6" t="n"/>
    </row>
    <row r="4364">
      <c r="A4364" s="6" t="n"/>
      <c r="B4364" s="6" t="n"/>
      <c r="C4364" s="6" t="n"/>
    </row>
    <row r="4365">
      <c r="A4365" s="6" t="n"/>
      <c r="B4365" s="6" t="n"/>
      <c r="C4365" s="6" t="n"/>
    </row>
    <row r="4366">
      <c r="A4366" s="6" t="n"/>
      <c r="B4366" s="6" t="n"/>
      <c r="C4366" s="6" t="n"/>
    </row>
    <row r="4367">
      <c r="A4367" s="6" t="n"/>
      <c r="B4367" s="6" t="n"/>
      <c r="C4367" s="6" t="n"/>
    </row>
    <row r="4368">
      <c r="A4368" s="6" t="n"/>
      <c r="B4368" s="6" t="n"/>
      <c r="C4368" s="6" t="n"/>
    </row>
    <row r="4369">
      <c r="A4369" s="6" t="n"/>
      <c r="B4369" s="6" t="n"/>
      <c r="C4369" s="6" t="n"/>
    </row>
    <row r="4370">
      <c r="A4370" s="6" t="n"/>
      <c r="B4370" s="6" t="n"/>
      <c r="C4370" s="6" t="n"/>
    </row>
    <row r="4371">
      <c r="A4371" s="6" t="n"/>
      <c r="B4371" s="6" t="n"/>
      <c r="C4371" s="6" t="n"/>
    </row>
    <row r="4372">
      <c r="A4372" s="6" t="n"/>
      <c r="B4372" s="6" t="n"/>
      <c r="C4372" s="6" t="n"/>
    </row>
    <row r="4373">
      <c r="A4373" s="6" t="n"/>
      <c r="B4373" s="6" t="n"/>
      <c r="C4373" s="6" t="n"/>
    </row>
    <row r="4374">
      <c r="A4374" s="6" t="n"/>
      <c r="B4374" s="6" t="n"/>
      <c r="C4374" s="6" t="n"/>
    </row>
    <row r="4375">
      <c r="A4375" s="6" t="n"/>
      <c r="B4375" s="6" t="n"/>
      <c r="C4375" s="6" t="n"/>
    </row>
    <row r="4376">
      <c r="A4376" s="6" t="n"/>
      <c r="B4376" s="6" t="n"/>
      <c r="C4376" s="6" t="n"/>
    </row>
    <row r="4377">
      <c r="A4377" s="6" t="n"/>
      <c r="B4377" s="6" t="n"/>
      <c r="C4377" s="6" t="n"/>
    </row>
    <row r="4378">
      <c r="A4378" s="6" t="n"/>
      <c r="B4378" s="6" t="n"/>
      <c r="C4378" s="6" t="n"/>
    </row>
    <row r="4379">
      <c r="A4379" s="6" t="n"/>
      <c r="B4379" s="6" t="n"/>
      <c r="C4379" s="6" t="n"/>
    </row>
    <row r="4380">
      <c r="A4380" s="6" t="n"/>
      <c r="B4380" s="6" t="n"/>
      <c r="C4380" s="6" t="n"/>
    </row>
    <row r="4381">
      <c r="A4381" s="6" t="n"/>
      <c r="B4381" s="6" t="n"/>
      <c r="C4381" s="6" t="n"/>
    </row>
    <row r="4382">
      <c r="A4382" s="6" t="n"/>
      <c r="B4382" s="6" t="n"/>
      <c r="C4382" s="6" t="n"/>
    </row>
    <row r="4383">
      <c r="A4383" s="6" t="n"/>
      <c r="B4383" s="6" t="n"/>
      <c r="C4383" s="6" t="n"/>
    </row>
    <row r="4384">
      <c r="A4384" s="6" t="n"/>
      <c r="B4384" s="6" t="n"/>
      <c r="C4384" s="6" t="n"/>
    </row>
    <row r="4385">
      <c r="A4385" s="6" t="n"/>
      <c r="B4385" s="6" t="n"/>
      <c r="C4385" s="6" t="n"/>
    </row>
    <row r="4386">
      <c r="A4386" s="6" t="n"/>
      <c r="B4386" s="6" t="n"/>
      <c r="C4386" s="6" t="n"/>
    </row>
    <row r="4387">
      <c r="A4387" s="6" t="n"/>
      <c r="B4387" s="6" t="n"/>
      <c r="C4387" s="6" t="n"/>
    </row>
    <row r="4388">
      <c r="A4388" s="6" t="n"/>
      <c r="B4388" s="6" t="n"/>
      <c r="C4388" s="6" t="n"/>
    </row>
    <row r="4389">
      <c r="A4389" s="6" t="n"/>
      <c r="B4389" s="6" t="n"/>
      <c r="C4389" s="6" t="n"/>
    </row>
    <row r="4390">
      <c r="A4390" s="6" t="n"/>
      <c r="B4390" s="6" t="n"/>
      <c r="C4390" s="6" t="n"/>
    </row>
    <row r="4391">
      <c r="A4391" s="6" t="n"/>
      <c r="B4391" s="6" t="n"/>
      <c r="C4391" s="6" t="n"/>
    </row>
    <row r="4392">
      <c r="A4392" s="6" t="n"/>
      <c r="B4392" s="6" t="n"/>
      <c r="C4392" s="6" t="n"/>
    </row>
    <row r="4393">
      <c r="A4393" s="6" t="n"/>
      <c r="B4393" s="6" t="n"/>
      <c r="C4393" s="6" t="n"/>
    </row>
    <row r="4394">
      <c r="A4394" s="6" t="n"/>
      <c r="B4394" s="6" t="n"/>
      <c r="C4394" s="6" t="n"/>
    </row>
    <row r="4395">
      <c r="A4395" s="6" t="n"/>
      <c r="B4395" s="6" t="n"/>
      <c r="C4395" s="6" t="n"/>
    </row>
    <row r="4396">
      <c r="A4396" s="6" t="n"/>
      <c r="B4396" s="6" t="n"/>
      <c r="C4396" s="6" t="n"/>
    </row>
    <row r="4397">
      <c r="A4397" s="6" t="n"/>
      <c r="B4397" s="6" t="n"/>
      <c r="C4397" s="6" t="n"/>
    </row>
    <row r="4398">
      <c r="A4398" s="6" t="n"/>
      <c r="B4398" s="6" t="n"/>
      <c r="C4398" s="6" t="n"/>
    </row>
    <row r="4399">
      <c r="A4399" s="6" t="n"/>
      <c r="B4399" s="6" t="n"/>
      <c r="C4399" s="6" t="n"/>
    </row>
    <row r="4400">
      <c r="A4400" s="6" t="n"/>
      <c r="B4400" s="6" t="n"/>
      <c r="C4400" s="6" t="n"/>
    </row>
    <row r="4401">
      <c r="A4401" s="6" t="n"/>
      <c r="B4401" s="6" t="n"/>
      <c r="C4401" s="6" t="n"/>
    </row>
    <row r="4402">
      <c r="A4402" s="6" t="n"/>
      <c r="B4402" s="6" t="n"/>
      <c r="C4402" s="6" t="n"/>
    </row>
    <row r="4403">
      <c r="A4403" s="6" t="n"/>
      <c r="B4403" s="6" t="n"/>
      <c r="C4403" s="6" t="n"/>
    </row>
    <row r="4404">
      <c r="A4404" s="6" t="n"/>
      <c r="B4404" s="6" t="n"/>
      <c r="C4404" s="6" t="n"/>
    </row>
    <row r="4405">
      <c r="A4405" s="6" t="n"/>
      <c r="B4405" s="6" t="n"/>
      <c r="C4405" s="6" t="n"/>
    </row>
    <row r="4406">
      <c r="A4406" s="6" t="n"/>
      <c r="B4406" s="6" t="n"/>
      <c r="C4406" s="6" t="n"/>
    </row>
    <row r="4407">
      <c r="A4407" s="6" t="n"/>
      <c r="B4407" s="6" t="n"/>
      <c r="C4407" s="6" t="n"/>
    </row>
    <row r="4408">
      <c r="A4408" s="6" t="n"/>
      <c r="B4408" s="6" t="n"/>
      <c r="C4408" s="6" t="n"/>
    </row>
    <row r="4409">
      <c r="A4409" s="6" t="n"/>
      <c r="B4409" s="6" t="n"/>
      <c r="C4409" s="6" t="n"/>
    </row>
    <row r="4410">
      <c r="A4410" s="6" t="n"/>
      <c r="B4410" s="6" t="n"/>
      <c r="C4410" s="6" t="n"/>
    </row>
    <row r="4411">
      <c r="A4411" s="6" t="n"/>
      <c r="B4411" s="6" t="n"/>
      <c r="C4411" s="6" t="n"/>
    </row>
    <row r="4412">
      <c r="A4412" s="6" t="n"/>
      <c r="B4412" s="6" t="n"/>
      <c r="C4412" s="6" t="n"/>
    </row>
    <row r="4413">
      <c r="A4413" s="6" t="n"/>
      <c r="B4413" s="6" t="n"/>
      <c r="C4413" s="6" t="n"/>
    </row>
    <row r="4414">
      <c r="A4414" s="6" t="n"/>
      <c r="B4414" s="6" t="n"/>
      <c r="C4414" s="6" t="n"/>
    </row>
    <row r="4415">
      <c r="A4415" s="6" t="n"/>
      <c r="B4415" s="6" t="n"/>
      <c r="C4415" s="6" t="n"/>
    </row>
    <row r="4416">
      <c r="A4416" s="6" t="n"/>
      <c r="B4416" s="6" t="n"/>
      <c r="C4416" s="6" t="n"/>
    </row>
    <row r="4417">
      <c r="A4417" s="6" t="n"/>
      <c r="B4417" s="6" t="n"/>
      <c r="C4417" s="6" t="n"/>
    </row>
    <row r="4418">
      <c r="A4418" s="6" t="n"/>
      <c r="B4418" s="6" t="n"/>
      <c r="C4418" s="6" t="n"/>
    </row>
    <row r="4419">
      <c r="A4419" s="6" t="n"/>
      <c r="B4419" s="6" t="n"/>
      <c r="C4419" s="6" t="n"/>
    </row>
    <row r="4420">
      <c r="A4420" s="6" t="n"/>
      <c r="B4420" s="6" t="n"/>
      <c r="C4420" s="6" t="n"/>
    </row>
    <row r="4421">
      <c r="A4421" s="6" t="n"/>
      <c r="B4421" s="6" t="n"/>
      <c r="C4421" s="6" t="n"/>
    </row>
    <row r="4422">
      <c r="A4422" s="6" t="n"/>
      <c r="B4422" s="6" t="n"/>
      <c r="C4422" s="6" t="n"/>
    </row>
    <row r="4423">
      <c r="A4423" s="6" t="n"/>
      <c r="B4423" s="6" t="n"/>
      <c r="C4423" s="6" t="n"/>
    </row>
    <row r="4424">
      <c r="A4424" s="6" t="n"/>
      <c r="B4424" s="6" t="n"/>
      <c r="C4424" s="6" t="n"/>
    </row>
    <row r="4425">
      <c r="A4425" s="6" t="n"/>
      <c r="B4425" s="6" t="n"/>
      <c r="C4425" s="6" t="n"/>
    </row>
    <row r="4426">
      <c r="A4426" s="6" t="n"/>
      <c r="B4426" s="6" t="n"/>
      <c r="C4426" s="6" t="n"/>
    </row>
    <row r="4427">
      <c r="A4427" s="6" t="n"/>
      <c r="B4427" s="6" t="n"/>
      <c r="C4427" s="6" t="n"/>
    </row>
    <row r="4428">
      <c r="A4428" s="6" t="n"/>
      <c r="B4428" s="6" t="n"/>
      <c r="C4428" s="6" t="n"/>
    </row>
    <row r="4429">
      <c r="A4429" s="6" t="n"/>
      <c r="B4429" s="6" t="n"/>
      <c r="C4429" s="6" t="n"/>
    </row>
    <row r="4430">
      <c r="A4430" s="6" t="n"/>
      <c r="B4430" s="6" t="n"/>
      <c r="C4430" s="6" t="n"/>
    </row>
    <row r="4431">
      <c r="A4431" s="6" t="n"/>
      <c r="B4431" s="6" t="n"/>
      <c r="C4431" s="6" t="n"/>
    </row>
    <row r="4432">
      <c r="A4432" s="6" t="n"/>
      <c r="B4432" s="6" t="n"/>
      <c r="C4432" s="6" t="n"/>
    </row>
    <row r="4433">
      <c r="A4433" s="6" t="n"/>
      <c r="B4433" s="6" t="n"/>
      <c r="C4433" s="6" t="n"/>
    </row>
    <row r="4434">
      <c r="A4434" s="6" t="n"/>
      <c r="B4434" s="6" t="n"/>
      <c r="C4434" s="6" t="n"/>
    </row>
    <row r="4435">
      <c r="A4435" s="6" t="n"/>
      <c r="B4435" s="6" t="n"/>
      <c r="C4435" s="6" t="n"/>
    </row>
    <row r="4436">
      <c r="A4436" s="6" t="n"/>
      <c r="B4436" s="6" t="n"/>
      <c r="C4436" s="6" t="n"/>
    </row>
    <row r="4437">
      <c r="A4437" s="6" t="n"/>
      <c r="B4437" s="6" t="n"/>
      <c r="C4437" s="6" t="n"/>
    </row>
    <row r="4438">
      <c r="A4438" s="6" t="n"/>
      <c r="B4438" s="6" t="n"/>
      <c r="C4438" s="6" t="n"/>
    </row>
    <row r="4439">
      <c r="A4439" s="6" t="n"/>
      <c r="B4439" s="6" t="n"/>
      <c r="C4439" s="6" t="n"/>
    </row>
    <row r="4440">
      <c r="A4440" s="6" t="n"/>
      <c r="B4440" s="6" t="n"/>
      <c r="C4440" s="6" t="n"/>
    </row>
    <row r="4441">
      <c r="A4441" s="6" t="n"/>
      <c r="B4441" s="6" t="n"/>
      <c r="C4441" s="6" t="n"/>
    </row>
    <row r="4442">
      <c r="A4442" s="6" t="n"/>
      <c r="B4442" s="6" t="n"/>
      <c r="C4442" s="6" t="n"/>
    </row>
    <row r="4443">
      <c r="A4443" s="6" t="n"/>
      <c r="B4443" s="6" t="n"/>
      <c r="C4443" s="6" t="n"/>
    </row>
    <row r="4444">
      <c r="A4444" s="6" t="n"/>
      <c r="B4444" s="6" t="n"/>
      <c r="C4444" s="6" t="n"/>
    </row>
    <row r="4445">
      <c r="A4445" s="6" t="n"/>
      <c r="B4445" s="6" t="n"/>
      <c r="C4445" s="6" t="n"/>
    </row>
    <row r="4446">
      <c r="A4446" s="6" t="n"/>
      <c r="B4446" s="6" t="n"/>
      <c r="C4446" s="6" t="n"/>
    </row>
    <row r="4447">
      <c r="A4447" s="6" t="n"/>
      <c r="B4447" s="6" t="n"/>
      <c r="C4447" s="6" t="n"/>
    </row>
    <row r="4448">
      <c r="A4448" s="6" t="n"/>
      <c r="B4448" s="6" t="n"/>
      <c r="C4448" s="6" t="n"/>
    </row>
    <row r="4449">
      <c r="A4449" s="6" t="n"/>
      <c r="B4449" s="6" t="n"/>
      <c r="C4449" s="6" t="n"/>
    </row>
    <row r="4450">
      <c r="A4450" s="6" t="n"/>
      <c r="B4450" s="6" t="n"/>
      <c r="C4450" s="6" t="n"/>
    </row>
    <row r="4451">
      <c r="A4451" s="6" t="n"/>
      <c r="B4451" s="6" t="n"/>
      <c r="C4451" s="6" t="n"/>
    </row>
    <row r="4452">
      <c r="A4452" s="6" t="n"/>
      <c r="B4452" s="6" t="n"/>
      <c r="C4452" s="6" t="n"/>
    </row>
    <row r="4453">
      <c r="A4453" s="6" t="n"/>
      <c r="B4453" s="6" t="n"/>
      <c r="C4453" s="6" t="n"/>
    </row>
    <row r="4454">
      <c r="A4454" s="6" t="n"/>
      <c r="B4454" s="6" t="n"/>
      <c r="C4454" s="6" t="n"/>
    </row>
    <row r="4455">
      <c r="A4455" s="6" t="n"/>
      <c r="B4455" s="6" t="n"/>
      <c r="C4455" s="6" t="n"/>
    </row>
    <row r="4456">
      <c r="A4456" s="6" t="n"/>
      <c r="B4456" s="6" t="n"/>
      <c r="C4456" s="6" t="n"/>
    </row>
    <row r="4457">
      <c r="A4457" s="6" t="n"/>
      <c r="B4457" s="6" t="n"/>
      <c r="C4457" s="6" t="n"/>
    </row>
    <row r="4458">
      <c r="A4458" s="6" t="n"/>
      <c r="B4458" s="6" t="n"/>
      <c r="C4458" s="6" t="n"/>
    </row>
    <row r="4459">
      <c r="A4459" s="6" t="n"/>
      <c r="B4459" s="6" t="n"/>
      <c r="C4459" s="6" t="n"/>
    </row>
    <row r="4460">
      <c r="A4460" s="6" t="n"/>
      <c r="B4460" s="6" t="n"/>
      <c r="C4460" s="6" t="n"/>
    </row>
    <row r="4461">
      <c r="A4461" s="6" t="n"/>
      <c r="B4461" s="6" t="n"/>
      <c r="C4461" s="6" t="n"/>
    </row>
    <row r="4462">
      <c r="A4462" s="6" t="n"/>
      <c r="B4462" s="6" t="n"/>
      <c r="C4462" s="6" t="n"/>
    </row>
    <row r="4463">
      <c r="A4463" s="6" t="n"/>
      <c r="B4463" s="6" t="n"/>
      <c r="C4463" s="6" t="n"/>
    </row>
    <row r="4464">
      <c r="A4464" s="6" t="n"/>
      <c r="B4464" s="6" t="n"/>
      <c r="C4464" s="6" t="n"/>
    </row>
    <row r="4465">
      <c r="A4465" s="6" t="n"/>
      <c r="B4465" s="6" t="n"/>
      <c r="C4465" s="6" t="n"/>
    </row>
    <row r="4466">
      <c r="A4466" s="6" t="n"/>
      <c r="B4466" s="6" t="n"/>
      <c r="C4466" s="6" t="n"/>
    </row>
    <row r="4467">
      <c r="A4467" s="6" t="n"/>
      <c r="B4467" s="6" t="n"/>
      <c r="C4467" s="6" t="n"/>
    </row>
    <row r="4468">
      <c r="A4468" s="6" t="n"/>
      <c r="B4468" s="6" t="n"/>
      <c r="C4468" s="6" t="n"/>
    </row>
    <row r="4469">
      <c r="A4469" s="6" t="n"/>
      <c r="B4469" s="6" t="n"/>
      <c r="C4469" s="6" t="n"/>
    </row>
    <row r="4470">
      <c r="A4470" s="6" t="n"/>
      <c r="B4470" s="6" t="n"/>
      <c r="C4470" s="6" t="n"/>
    </row>
    <row r="4471">
      <c r="A4471" s="6" t="n"/>
      <c r="B4471" s="6" t="n"/>
      <c r="C4471" s="6" t="n"/>
    </row>
    <row r="4472">
      <c r="A4472" s="6" t="n"/>
      <c r="B4472" s="6" t="n"/>
      <c r="C4472" s="6" t="n"/>
    </row>
    <row r="4473">
      <c r="A4473" s="6" t="n"/>
      <c r="B4473" s="6" t="n"/>
      <c r="C4473" s="6" t="n"/>
    </row>
    <row r="4474">
      <c r="A4474" s="6" t="n"/>
      <c r="B4474" s="6" t="n"/>
      <c r="C4474" s="6" t="n"/>
    </row>
    <row r="4475">
      <c r="A4475" s="6" t="n"/>
      <c r="B4475" s="6" t="n"/>
      <c r="C4475" s="6" t="n"/>
    </row>
    <row r="4476">
      <c r="A4476" s="6" t="n"/>
      <c r="B4476" s="6" t="n"/>
      <c r="C4476" s="6" t="n"/>
    </row>
    <row r="4477">
      <c r="A4477" s="6" t="n"/>
      <c r="B4477" s="6" t="n"/>
      <c r="C4477" s="6" t="n"/>
    </row>
    <row r="4478">
      <c r="A4478" s="6" t="n"/>
      <c r="B4478" s="6" t="n"/>
      <c r="C4478" s="6" t="n"/>
    </row>
    <row r="4479">
      <c r="A4479" s="6" t="n"/>
      <c r="B4479" s="6" t="n"/>
      <c r="C4479" s="6" t="n"/>
    </row>
    <row r="4480">
      <c r="A4480" s="6" t="n"/>
      <c r="B4480" s="6" t="n"/>
      <c r="C4480" s="6" t="n"/>
    </row>
    <row r="4481">
      <c r="A4481" s="6" t="n"/>
      <c r="B4481" s="6" t="n"/>
      <c r="C4481" s="6" t="n"/>
    </row>
    <row r="4482">
      <c r="A4482" s="6" t="n"/>
      <c r="B4482" s="6" t="n"/>
      <c r="C4482" s="6" t="n"/>
    </row>
    <row r="4483">
      <c r="A4483" s="6" t="n"/>
      <c r="B4483" s="6" t="n"/>
      <c r="C4483" s="6" t="n"/>
    </row>
    <row r="4484">
      <c r="A4484" s="6" t="n"/>
      <c r="B4484" s="6" t="n"/>
      <c r="C4484" s="6" t="n"/>
    </row>
    <row r="4485">
      <c r="A4485" s="6" t="n"/>
      <c r="B4485" s="6" t="n"/>
      <c r="C4485" s="6" t="n"/>
    </row>
    <row r="4486">
      <c r="A4486" s="6" t="n"/>
      <c r="B4486" s="6" t="n"/>
      <c r="C4486" s="6" t="n"/>
    </row>
    <row r="4487">
      <c r="A4487" s="6" t="n"/>
      <c r="B4487" s="6" t="n"/>
      <c r="C4487" s="6" t="n"/>
    </row>
    <row r="4488">
      <c r="A4488" s="6" t="n"/>
      <c r="B4488" s="6" t="n"/>
      <c r="C4488" s="6" t="n"/>
    </row>
    <row r="4489">
      <c r="A4489" s="6" t="n"/>
      <c r="B4489" s="6" t="n"/>
      <c r="C4489" s="6" t="n"/>
    </row>
    <row r="4490">
      <c r="A4490" s="6" t="n"/>
      <c r="B4490" s="6" t="n"/>
      <c r="C4490" s="6" t="n"/>
    </row>
    <row r="4491">
      <c r="A4491" s="6" t="n"/>
      <c r="B4491" s="6" t="n"/>
      <c r="C4491" s="6" t="n"/>
    </row>
    <row r="4492">
      <c r="A4492" s="6" t="n"/>
      <c r="B4492" s="6" t="n"/>
      <c r="C4492" s="6" t="n"/>
    </row>
    <row r="4493">
      <c r="A4493" s="6" t="n"/>
      <c r="B4493" s="6" t="n"/>
      <c r="C4493" s="6" t="n"/>
    </row>
    <row r="4494">
      <c r="A4494" s="6" t="n"/>
      <c r="B4494" s="6" t="n"/>
      <c r="C4494" s="6" t="n"/>
    </row>
    <row r="4495">
      <c r="A4495" s="6" t="n"/>
      <c r="B4495" s="6" t="n"/>
      <c r="C4495" s="6" t="n"/>
    </row>
    <row r="4496">
      <c r="A4496" s="6" t="n"/>
      <c r="B4496" s="6" t="n"/>
      <c r="C4496" s="6" t="n"/>
    </row>
    <row r="4497">
      <c r="A4497" s="6" t="n"/>
      <c r="B4497" s="6" t="n"/>
      <c r="C4497" s="6" t="n"/>
    </row>
    <row r="4498">
      <c r="A4498" s="6" t="n"/>
      <c r="B4498" s="6" t="n"/>
      <c r="C4498" s="6" t="n"/>
    </row>
    <row r="4499">
      <c r="A4499" s="6" t="n"/>
      <c r="B4499" s="6" t="n"/>
      <c r="C4499" s="6" t="n"/>
    </row>
    <row r="4500">
      <c r="A4500" s="6" t="n"/>
      <c r="B4500" s="6" t="n"/>
      <c r="C4500" s="6" t="n"/>
    </row>
    <row r="4501">
      <c r="A4501" s="6" t="n"/>
      <c r="B4501" s="6" t="n"/>
      <c r="C4501" s="6" t="n"/>
    </row>
    <row r="4502">
      <c r="A4502" s="6" t="n"/>
      <c r="B4502" s="6" t="n"/>
      <c r="C4502" s="6" t="n"/>
    </row>
    <row r="4503">
      <c r="A4503" s="6" t="n"/>
      <c r="B4503" s="6" t="n"/>
      <c r="C4503" s="6" t="n"/>
    </row>
    <row r="4504">
      <c r="A4504" s="6" t="n"/>
      <c r="B4504" s="6" t="n"/>
      <c r="C4504" s="6" t="n"/>
    </row>
    <row r="4505">
      <c r="A4505" s="6" t="n"/>
      <c r="B4505" s="6" t="n"/>
      <c r="C4505" s="6" t="n"/>
    </row>
    <row r="4506">
      <c r="A4506" s="6" t="n"/>
      <c r="B4506" s="6" t="n"/>
      <c r="C4506" s="6" t="n"/>
    </row>
    <row r="4507">
      <c r="A4507" s="6" t="n"/>
      <c r="B4507" s="6" t="n"/>
      <c r="C4507" s="6" t="n"/>
    </row>
    <row r="4508">
      <c r="A4508" s="6" t="n"/>
      <c r="B4508" s="6" t="n"/>
      <c r="C4508" s="6" t="n"/>
    </row>
    <row r="4509">
      <c r="A4509" s="6" t="n"/>
      <c r="B4509" s="6" t="n"/>
      <c r="C4509" s="6" t="n"/>
    </row>
    <row r="4510">
      <c r="A4510" s="6" t="n"/>
      <c r="B4510" s="6" t="n"/>
      <c r="C4510" s="6" t="n"/>
    </row>
    <row r="4511">
      <c r="A4511" s="6" t="n"/>
      <c r="B4511" s="6" t="n"/>
      <c r="C4511" s="6" t="n"/>
    </row>
    <row r="4512">
      <c r="A4512" s="6" t="n"/>
      <c r="B4512" s="6" t="n"/>
      <c r="C4512" s="6" t="n"/>
    </row>
    <row r="4513">
      <c r="A4513" s="6" t="n"/>
      <c r="B4513" s="6" t="n"/>
      <c r="C4513" s="6" t="n"/>
    </row>
    <row r="4514">
      <c r="A4514" s="6" t="n"/>
      <c r="B4514" s="6" t="n"/>
      <c r="C4514" s="6" t="n"/>
    </row>
    <row r="4515">
      <c r="A4515" s="6" t="n"/>
      <c r="B4515" s="6" t="n"/>
      <c r="C4515" s="6" t="n"/>
    </row>
    <row r="4516">
      <c r="A4516" s="6" t="n"/>
      <c r="B4516" s="6" t="n"/>
      <c r="C4516" s="6" t="n"/>
    </row>
    <row r="4517">
      <c r="A4517" s="6" t="n"/>
      <c r="B4517" s="6" t="n"/>
      <c r="C4517" s="6" t="n"/>
    </row>
    <row r="4518">
      <c r="A4518" s="6" t="n"/>
      <c r="B4518" s="6" t="n"/>
      <c r="C4518" s="6" t="n"/>
    </row>
    <row r="4519">
      <c r="A4519" s="6" t="n"/>
      <c r="B4519" s="6" t="n"/>
      <c r="C4519" s="6" t="n"/>
    </row>
    <row r="4520">
      <c r="A4520" s="6" t="n"/>
      <c r="B4520" s="6" t="n"/>
      <c r="C4520" s="6" t="n"/>
    </row>
    <row r="4521">
      <c r="A4521" s="6" t="n"/>
      <c r="B4521" s="6" t="n"/>
      <c r="C4521" s="6" t="n"/>
    </row>
    <row r="4522">
      <c r="A4522" s="6" t="n"/>
      <c r="B4522" s="6" t="n"/>
      <c r="C4522" s="6" t="n"/>
    </row>
    <row r="4523">
      <c r="A4523" s="6" t="n"/>
      <c r="B4523" s="6" t="n"/>
      <c r="C4523" s="6" t="n"/>
    </row>
    <row r="4524">
      <c r="A4524" s="6" t="n"/>
      <c r="B4524" s="6" t="n"/>
      <c r="C4524" s="6" t="n"/>
    </row>
    <row r="4525">
      <c r="A4525" s="6" t="n"/>
      <c r="B4525" s="6" t="n"/>
      <c r="C4525" s="6" t="n"/>
    </row>
    <row r="4526">
      <c r="A4526" s="6" t="n"/>
      <c r="B4526" s="6" t="n"/>
      <c r="C4526" s="6" t="n"/>
    </row>
    <row r="4527">
      <c r="A4527" s="6" t="n"/>
      <c r="B4527" s="6" t="n"/>
      <c r="C4527" s="6" t="n"/>
    </row>
    <row r="4528">
      <c r="A4528" s="6" t="n"/>
      <c r="B4528" s="6" t="n"/>
      <c r="C4528" s="6" t="n"/>
    </row>
    <row r="4529">
      <c r="A4529" s="6" t="n"/>
      <c r="B4529" s="6" t="n"/>
      <c r="C4529" s="6" t="n"/>
    </row>
    <row r="4530">
      <c r="A4530" s="6" t="n"/>
      <c r="B4530" s="6" t="n"/>
      <c r="C4530" s="6" t="n"/>
    </row>
    <row r="4531">
      <c r="A4531" s="6" t="n"/>
      <c r="B4531" s="6" t="n"/>
      <c r="C4531" s="6" t="n"/>
    </row>
    <row r="4532">
      <c r="A4532" s="6" t="n"/>
      <c r="B4532" s="6" t="n"/>
      <c r="C4532" s="6" t="n"/>
    </row>
    <row r="4533">
      <c r="A4533" s="6" t="n"/>
      <c r="B4533" s="6" t="n"/>
      <c r="C4533" s="6" t="n"/>
    </row>
    <row r="4534">
      <c r="A4534" s="6" t="n"/>
      <c r="B4534" s="6" t="n"/>
      <c r="C4534" s="6" t="n"/>
    </row>
    <row r="4535">
      <c r="A4535" s="6" t="n"/>
      <c r="B4535" s="6" t="n"/>
      <c r="C4535" s="6" t="n"/>
    </row>
    <row r="4536">
      <c r="A4536" s="6" t="n"/>
      <c r="B4536" s="6" t="n"/>
      <c r="C4536" s="6" t="n"/>
    </row>
    <row r="4537">
      <c r="A4537" s="6" t="n"/>
      <c r="B4537" s="6" t="n"/>
      <c r="C4537" s="6" t="n"/>
    </row>
    <row r="4538">
      <c r="A4538" s="6" t="n"/>
      <c r="B4538" s="6" t="n"/>
      <c r="C4538" s="6" t="n"/>
    </row>
    <row r="4539">
      <c r="A4539" s="6" t="n"/>
      <c r="B4539" s="6" t="n"/>
      <c r="C4539" s="6" t="n"/>
    </row>
    <row r="4540">
      <c r="A4540" s="6" t="n"/>
      <c r="B4540" s="6" t="n"/>
      <c r="C4540" s="6" t="n"/>
    </row>
    <row r="4541">
      <c r="A4541" s="6" t="n"/>
      <c r="B4541" s="6" t="n"/>
      <c r="C4541" s="6" t="n"/>
    </row>
    <row r="4542">
      <c r="A4542" s="6" t="n"/>
      <c r="B4542" s="6" t="n"/>
      <c r="C4542" s="6" t="n"/>
    </row>
    <row r="4543">
      <c r="A4543" s="6" t="n"/>
      <c r="B4543" s="6" t="n"/>
      <c r="C4543" s="6" t="n"/>
    </row>
    <row r="4544">
      <c r="A4544" s="6" t="n"/>
      <c r="B4544" s="6" t="n"/>
      <c r="C4544" s="6" t="n"/>
    </row>
    <row r="4545">
      <c r="A4545" s="6" t="n"/>
      <c r="B4545" s="6" t="n"/>
      <c r="C4545" s="6" t="n"/>
    </row>
    <row r="4546">
      <c r="A4546" s="6" t="n"/>
      <c r="B4546" s="6" t="n"/>
      <c r="C4546" s="6" t="n"/>
    </row>
    <row r="4547">
      <c r="A4547" s="6" t="n"/>
      <c r="B4547" s="6" t="n"/>
      <c r="C4547" s="6" t="n"/>
    </row>
    <row r="4548">
      <c r="A4548" s="6" t="n"/>
      <c r="B4548" s="6" t="n"/>
      <c r="C4548" s="6" t="n"/>
    </row>
    <row r="4549">
      <c r="A4549" s="6" t="n"/>
      <c r="B4549" s="6" t="n"/>
      <c r="C4549" s="6" t="n"/>
    </row>
    <row r="4550">
      <c r="A4550" s="6" t="n"/>
      <c r="B4550" s="6" t="n"/>
      <c r="C4550" s="6" t="n"/>
    </row>
    <row r="4551">
      <c r="A4551" s="6" t="n"/>
      <c r="B4551" s="6" t="n"/>
      <c r="C4551" s="6" t="n"/>
    </row>
    <row r="4552">
      <c r="A4552" s="6" t="n"/>
      <c r="B4552" s="6" t="n"/>
      <c r="C4552" s="6" t="n"/>
    </row>
    <row r="4553">
      <c r="A4553" s="6" t="n"/>
      <c r="B4553" s="6" t="n"/>
      <c r="C4553" s="6" t="n"/>
    </row>
    <row r="4554">
      <c r="A4554" s="6" t="n"/>
      <c r="B4554" s="6" t="n"/>
      <c r="C4554" s="6" t="n"/>
    </row>
    <row r="4555">
      <c r="A4555" s="6" t="n"/>
      <c r="B4555" s="6" t="n"/>
      <c r="C4555" s="6" t="n"/>
    </row>
    <row r="4556">
      <c r="A4556" s="6" t="n"/>
      <c r="B4556" s="6" t="n"/>
      <c r="C4556" s="6" t="n"/>
    </row>
    <row r="4557">
      <c r="A4557" s="6" t="n"/>
      <c r="B4557" s="6" t="n"/>
      <c r="C4557" s="6" t="n"/>
    </row>
    <row r="4558">
      <c r="A4558" s="6" t="n"/>
      <c r="B4558" s="6" t="n"/>
      <c r="C4558" s="6" t="n"/>
    </row>
    <row r="4559">
      <c r="A4559" s="6" t="n"/>
      <c r="B4559" s="6" t="n"/>
      <c r="C4559" s="6" t="n"/>
    </row>
    <row r="4560">
      <c r="A4560" s="6" t="n"/>
      <c r="B4560" s="6" t="n"/>
      <c r="C4560" s="6" t="n"/>
    </row>
    <row r="4561">
      <c r="A4561" s="6" t="n"/>
      <c r="B4561" s="6" t="n"/>
      <c r="C4561" s="6" t="n"/>
    </row>
    <row r="4562">
      <c r="A4562" s="6" t="n"/>
      <c r="B4562" s="6" t="n"/>
      <c r="C4562" s="6" t="n"/>
    </row>
    <row r="4563">
      <c r="A4563" s="6" t="n"/>
      <c r="B4563" s="6" t="n"/>
      <c r="C4563" s="6" t="n"/>
    </row>
    <row r="4564">
      <c r="A4564" s="6" t="n"/>
      <c r="B4564" s="6" t="n"/>
      <c r="C4564" s="6" t="n"/>
    </row>
    <row r="4565">
      <c r="A4565" s="6" t="n"/>
      <c r="B4565" s="6" t="n"/>
      <c r="C4565" s="6" t="n"/>
    </row>
    <row r="4566">
      <c r="A4566" s="6" t="n"/>
      <c r="B4566" s="6" t="n"/>
      <c r="C4566" s="6" t="n"/>
    </row>
    <row r="4567">
      <c r="A4567" s="6" t="n"/>
      <c r="B4567" s="6" t="n"/>
      <c r="C4567" s="6" t="n"/>
    </row>
    <row r="4568">
      <c r="A4568" s="6" t="n"/>
      <c r="B4568" s="6" t="n"/>
      <c r="C4568" s="6" t="n"/>
    </row>
    <row r="4569">
      <c r="A4569" s="6" t="n"/>
      <c r="B4569" s="6" t="n"/>
      <c r="C4569" s="6" t="n"/>
    </row>
    <row r="4570">
      <c r="A4570" s="6" t="n"/>
      <c r="B4570" s="6" t="n"/>
      <c r="C4570" s="6" t="n"/>
    </row>
    <row r="4571">
      <c r="A4571" s="6" t="n"/>
      <c r="B4571" s="6" t="n"/>
      <c r="C4571" s="6" t="n"/>
    </row>
    <row r="4572">
      <c r="A4572" s="6" t="n"/>
      <c r="B4572" s="6" t="n"/>
      <c r="C4572" s="6" t="n"/>
    </row>
    <row r="4573">
      <c r="A4573" s="6" t="n"/>
      <c r="B4573" s="6" t="n"/>
      <c r="C4573" s="6" t="n"/>
    </row>
    <row r="4574">
      <c r="A4574" s="6" t="n"/>
      <c r="B4574" s="6" t="n"/>
      <c r="C4574" s="6" t="n"/>
    </row>
    <row r="4575">
      <c r="A4575" s="6" t="n"/>
      <c r="B4575" s="6" t="n"/>
      <c r="C4575" s="6" t="n"/>
    </row>
    <row r="4576">
      <c r="A4576" s="6" t="n"/>
      <c r="B4576" s="6" t="n"/>
      <c r="C4576" s="6" t="n"/>
    </row>
    <row r="4577">
      <c r="A4577" s="6" t="n"/>
      <c r="B4577" s="6" t="n"/>
      <c r="C4577" s="6" t="n"/>
    </row>
    <row r="4578">
      <c r="A4578" s="6" t="n"/>
      <c r="B4578" s="6" t="n"/>
      <c r="C4578" s="6" t="n"/>
    </row>
    <row r="4579">
      <c r="A4579" s="6" t="n"/>
      <c r="B4579" s="6" t="n"/>
      <c r="C4579" s="6" t="n"/>
    </row>
    <row r="4580">
      <c r="A4580" s="6" t="n"/>
      <c r="B4580" s="6" t="n"/>
      <c r="C4580" s="6" t="n"/>
    </row>
    <row r="4581">
      <c r="A4581" s="6" t="n"/>
      <c r="B4581" s="6" t="n"/>
      <c r="C4581" s="6" t="n"/>
    </row>
    <row r="4582">
      <c r="A4582" s="6" t="n"/>
      <c r="B4582" s="6" t="n"/>
      <c r="C4582" s="6" t="n"/>
    </row>
    <row r="4583">
      <c r="A4583" s="6" t="n"/>
      <c r="B4583" s="6" t="n"/>
      <c r="C4583" s="6" t="n"/>
    </row>
    <row r="4584">
      <c r="A4584" s="6" t="n"/>
      <c r="B4584" s="6" t="n"/>
      <c r="C4584" s="6" t="n"/>
    </row>
    <row r="4585">
      <c r="A4585" s="6" t="n"/>
      <c r="B4585" s="6" t="n"/>
      <c r="C4585" s="6" t="n"/>
    </row>
    <row r="4586">
      <c r="A4586" s="6" t="n"/>
      <c r="B4586" s="6" t="n"/>
      <c r="C4586" s="6" t="n"/>
    </row>
    <row r="4587">
      <c r="A4587" s="6" t="n"/>
      <c r="B4587" s="6" t="n"/>
      <c r="C4587" s="6" t="n"/>
    </row>
    <row r="4588">
      <c r="A4588" s="6" t="n"/>
      <c r="B4588" s="6" t="n"/>
      <c r="C4588" s="6" t="n"/>
    </row>
    <row r="4589">
      <c r="A4589" s="6" t="n"/>
      <c r="B4589" s="6" t="n"/>
      <c r="C4589" s="6" t="n"/>
    </row>
    <row r="4590">
      <c r="A4590" s="6" t="n"/>
      <c r="B4590" s="6" t="n"/>
      <c r="C4590" s="6" t="n"/>
    </row>
    <row r="4591">
      <c r="A4591" s="6" t="n"/>
      <c r="B4591" s="6" t="n"/>
      <c r="C4591" s="6" t="n"/>
    </row>
    <row r="4592">
      <c r="A4592" s="6" t="n"/>
      <c r="B4592" s="6" t="n"/>
      <c r="C4592" s="6" t="n"/>
    </row>
    <row r="4593">
      <c r="A4593" s="6" t="n"/>
      <c r="B4593" s="6" t="n"/>
      <c r="C4593" s="6" t="n"/>
    </row>
    <row r="4594">
      <c r="A4594" s="6" t="n"/>
      <c r="B4594" s="6" t="n"/>
      <c r="C4594" s="6" t="n"/>
    </row>
    <row r="4595">
      <c r="A4595" s="6" t="n"/>
      <c r="B4595" s="6" t="n"/>
      <c r="C4595" s="6" t="n"/>
    </row>
    <row r="4596">
      <c r="A4596" s="6" t="n"/>
      <c r="B4596" s="6" t="n"/>
      <c r="C4596" s="6" t="n"/>
    </row>
    <row r="4597">
      <c r="A4597" s="6" t="n"/>
      <c r="B4597" s="6" t="n"/>
      <c r="C4597" s="6" t="n"/>
    </row>
    <row r="4598">
      <c r="A4598" s="6" t="n"/>
      <c r="B4598" s="6" t="n"/>
      <c r="C4598" s="6" t="n"/>
    </row>
    <row r="4599">
      <c r="A4599" s="6" t="n"/>
      <c r="B4599" s="6" t="n"/>
      <c r="C4599" s="6" t="n"/>
    </row>
    <row r="4600">
      <c r="A4600" s="6" t="n"/>
      <c r="B4600" s="6" t="n"/>
      <c r="C4600" s="6" t="n"/>
    </row>
    <row r="4601">
      <c r="A4601" s="6" t="n"/>
      <c r="B4601" s="6" t="n"/>
      <c r="C4601" s="6" t="n"/>
    </row>
    <row r="4602">
      <c r="A4602" s="6" t="n"/>
      <c r="B4602" s="6" t="n"/>
      <c r="C4602" s="6" t="n"/>
    </row>
    <row r="4603">
      <c r="A4603" s="6" t="n"/>
      <c r="B4603" s="6" t="n"/>
      <c r="C4603" s="6" t="n"/>
    </row>
    <row r="4604">
      <c r="A4604" s="6" t="n"/>
      <c r="B4604" s="6" t="n"/>
      <c r="C4604" s="6" t="n"/>
    </row>
    <row r="4605">
      <c r="A4605" s="6" t="n"/>
      <c r="B4605" s="6" t="n"/>
      <c r="C4605" s="6" t="n"/>
    </row>
    <row r="4606">
      <c r="A4606" s="6" t="n"/>
      <c r="B4606" s="6" t="n"/>
      <c r="C4606" s="6" t="n"/>
    </row>
    <row r="4607">
      <c r="A4607" s="6" t="n"/>
      <c r="B4607" s="6" t="n"/>
      <c r="C4607" s="6" t="n"/>
    </row>
    <row r="4608">
      <c r="A4608" s="6" t="n"/>
      <c r="B4608" s="6" t="n"/>
      <c r="C4608" s="6" t="n"/>
    </row>
    <row r="4609">
      <c r="A4609" s="6" t="n"/>
      <c r="B4609" s="6" t="n"/>
      <c r="C4609" s="6" t="n"/>
    </row>
    <row r="4610">
      <c r="A4610" s="6" t="n"/>
      <c r="B4610" s="6" t="n"/>
      <c r="C4610" s="6" t="n"/>
    </row>
    <row r="4611">
      <c r="A4611" s="6" t="n"/>
      <c r="B4611" s="6" t="n"/>
      <c r="C4611" s="6" t="n"/>
    </row>
    <row r="4612">
      <c r="A4612" s="6" t="n"/>
      <c r="B4612" s="6" t="n"/>
      <c r="C4612" s="6" t="n"/>
    </row>
    <row r="4613">
      <c r="A4613" s="6" t="n"/>
      <c r="B4613" s="6" t="n"/>
      <c r="C4613" s="6" t="n"/>
    </row>
    <row r="4614">
      <c r="A4614" s="6" t="n"/>
      <c r="B4614" s="6" t="n"/>
      <c r="C4614" s="6" t="n"/>
    </row>
    <row r="4615">
      <c r="A4615" s="6" t="n"/>
      <c r="B4615" s="6" t="n"/>
      <c r="C4615" s="6" t="n"/>
    </row>
    <row r="4616">
      <c r="A4616" s="6" t="n"/>
      <c r="B4616" s="6" t="n"/>
      <c r="C4616" s="6" t="n"/>
    </row>
    <row r="4617">
      <c r="A4617" s="6" t="n"/>
      <c r="B4617" s="6" t="n"/>
      <c r="C4617" s="6" t="n"/>
    </row>
    <row r="4618">
      <c r="A4618" s="6" t="n"/>
      <c r="B4618" s="6" t="n"/>
      <c r="C4618" s="6" t="n"/>
    </row>
    <row r="4619">
      <c r="A4619" s="6" t="n"/>
      <c r="B4619" s="6" t="n"/>
      <c r="C4619" s="6" t="n"/>
    </row>
    <row r="4620">
      <c r="A4620" s="6" t="n"/>
      <c r="B4620" s="6" t="n"/>
      <c r="C4620" s="6" t="n"/>
    </row>
    <row r="4621">
      <c r="A4621" s="6" t="n"/>
      <c r="B4621" s="6" t="n"/>
      <c r="C4621" s="6" t="n"/>
    </row>
    <row r="4622">
      <c r="A4622" s="6" t="n"/>
      <c r="B4622" s="6" t="n"/>
      <c r="C4622" s="6" t="n"/>
    </row>
    <row r="4623">
      <c r="A4623" s="6" t="n"/>
      <c r="B4623" s="6" t="n"/>
      <c r="C4623" s="6" t="n"/>
    </row>
    <row r="4624">
      <c r="A4624" s="6" t="n"/>
      <c r="B4624" s="6" t="n"/>
      <c r="C4624" s="6" t="n"/>
    </row>
    <row r="4625">
      <c r="A4625" s="6" t="n"/>
      <c r="B4625" s="6" t="n"/>
      <c r="C4625" s="6" t="n"/>
    </row>
    <row r="4626">
      <c r="A4626" s="6" t="n"/>
      <c r="B4626" s="6" t="n"/>
      <c r="C4626" s="6" t="n"/>
    </row>
    <row r="4627">
      <c r="A4627" s="6" t="n"/>
      <c r="B4627" s="6" t="n"/>
      <c r="C4627" s="6" t="n"/>
    </row>
    <row r="4628">
      <c r="A4628" s="6" t="n"/>
      <c r="B4628" s="6" t="n"/>
      <c r="C4628" s="6" t="n"/>
    </row>
    <row r="4629">
      <c r="A4629" s="6" t="n"/>
      <c r="B4629" s="6" t="n"/>
      <c r="C4629" s="6" t="n"/>
    </row>
    <row r="4630">
      <c r="A4630" s="6" t="n"/>
      <c r="B4630" s="6" t="n"/>
      <c r="C4630" s="6" t="n"/>
    </row>
    <row r="4631">
      <c r="A4631" s="6" t="n"/>
      <c r="B4631" s="6" t="n"/>
      <c r="C4631" s="6" t="n"/>
    </row>
    <row r="4632">
      <c r="A4632" s="6" t="n"/>
      <c r="B4632" s="6" t="n"/>
      <c r="C4632" s="6" t="n"/>
    </row>
    <row r="4633">
      <c r="A4633" s="6" t="n"/>
      <c r="B4633" s="6" t="n"/>
      <c r="C4633" s="6" t="n"/>
    </row>
    <row r="4634">
      <c r="A4634" s="6" t="n"/>
      <c r="B4634" s="6" t="n"/>
      <c r="C4634" s="6" t="n"/>
    </row>
    <row r="4635">
      <c r="A4635" s="6" t="n"/>
      <c r="B4635" s="6" t="n"/>
      <c r="C4635" s="6" t="n"/>
    </row>
    <row r="4636">
      <c r="A4636" s="6" t="n"/>
      <c r="B4636" s="6" t="n"/>
      <c r="C4636" s="6" t="n"/>
    </row>
    <row r="4637">
      <c r="A4637" s="6" t="n"/>
      <c r="B4637" s="6" t="n"/>
      <c r="C4637" s="6" t="n"/>
    </row>
    <row r="4638">
      <c r="A4638" s="6" t="n"/>
      <c r="B4638" s="6" t="n"/>
      <c r="C4638" s="6" t="n"/>
    </row>
    <row r="4639">
      <c r="A4639" s="6" t="n"/>
      <c r="B4639" s="6" t="n"/>
      <c r="C4639" s="6" t="n"/>
    </row>
    <row r="4640">
      <c r="A4640" s="6" t="n"/>
      <c r="B4640" s="6" t="n"/>
      <c r="C4640" s="6" t="n"/>
    </row>
    <row r="4641">
      <c r="A4641" s="6" t="n"/>
      <c r="B4641" s="6" t="n"/>
      <c r="C4641" s="6" t="n"/>
    </row>
    <row r="4642">
      <c r="A4642" s="6" t="n"/>
      <c r="B4642" s="6" t="n"/>
      <c r="C4642" s="6" t="n"/>
    </row>
    <row r="4643">
      <c r="A4643" s="6" t="n"/>
      <c r="B4643" s="6" t="n"/>
      <c r="C4643" s="6" t="n"/>
    </row>
    <row r="4644">
      <c r="A4644" s="6" t="n"/>
      <c r="B4644" s="6" t="n"/>
      <c r="C4644" s="6" t="n"/>
    </row>
    <row r="4645">
      <c r="A4645" s="6" t="n"/>
      <c r="B4645" s="6" t="n"/>
      <c r="C4645" s="6" t="n"/>
    </row>
    <row r="4646">
      <c r="A4646" s="6" t="n"/>
      <c r="B4646" s="6" t="n"/>
      <c r="C4646" s="6" t="n"/>
    </row>
    <row r="4647">
      <c r="A4647" s="6" t="n"/>
      <c r="B4647" s="6" t="n"/>
      <c r="C4647" s="6" t="n"/>
    </row>
    <row r="4648">
      <c r="A4648" s="6" t="n"/>
      <c r="B4648" s="6" t="n"/>
      <c r="C4648" s="6" t="n"/>
    </row>
    <row r="4649">
      <c r="A4649" s="6" t="n"/>
      <c r="B4649" s="6" t="n"/>
      <c r="C4649" s="6" t="n"/>
    </row>
    <row r="4650">
      <c r="A4650" s="6" t="n"/>
      <c r="B4650" s="6" t="n"/>
      <c r="C4650" s="6" t="n"/>
    </row>
    <row r="4651">
      <c r="A4651" s="6" t="n"/>
      <c r="B4651" s="6" t="n"/>
      <c r="C4651" s="6" t="n"/>
    </row>
    <row r="4652">
      <c r="A4652" s="6" t="n"/>
      <c r="B4652" s="6" t="n"/>
      <c r="C4652" s="6" t="n"/>
    </row>
    <row r="4653">
      <c r="A4653" s="6" t="n"/>
      <c r="B4653" s="6" t="n"/>
      <c r="C4653" s="6" t="n"/>
    </row>
    <row r="4654">
      <c r="A4654" s="6" t="n"/>
      <c r="B4654" s="6" t="n"/>
      <c r="C4654" s="6" t="n"/>
    </row>
    <row r="4655">
      <c r="A4655" s="68" t="n"/>
      <c r="B4655" s="68" t="n"/>
      <c r="C4655" s="68" t="n"/>
      <c r="D4655" s="68" t="n"/>
    </row>
    <row r="4656">
      <c r="A4656" s="68" t="n"/>
      <c r="B4656" s="68" t="n"/>
      <c r="C4656" s="68" t="n"/>
      <c r="D4656" s="68" t="n"/>
    </row>
    <row r="4657">
      <c r="A4657" s="68" t="n"/>
      <c r="B4657" s="68" t="n"/>
      <c r="C4657" s="68" t="n"/>
      <c r="D4657" s="68" t="n"/>
    </row>
    <row r="4658">
      <c r="A4658" s="68" t="n"/>
      <c r="B4658" s="68" t="n"/>
      <c r="C4658" s="68" t="n"/>
      <c r="D4658" s="68" t="n"/>
    </row>
    <row r="4659">
      <c r="A4659" s="68" t="n"/>
      <c r="B4659" s="68" t="n"/>
      <c r="C4659" s="68" t="n"/>
      <c r="D4659" s="68" t="n"/>
    </row>
    <row r="4660">
      <c r="A4660" s="68" t="n"/>
      <c r="B4660" s="68" t="n"/>
      <c r="C4660" s="68" t="n"/>
      <c r="D4660" s="68" t="n"/>
    </row>
    <row r="4661">
      <c r="A4661" s="68" t="n"/>
      <c r="B4661" s="68" t="n"/>
      <c r="C4661" s="68" t="n"/>
      <c r="D4661" s="68" t="n"/>
    </row>
    <row r="4662">
      <c r="A4662" s="68" t="n"/>
      <c r="B4662" s="68" t="n"/>
      <c r="C4662" s="68" t="n"/>
      <c r="D4662" s="68" t="n"/>
    </row>
    <row r="4663">
      <c r="A4663" s="68" t="n"/>
      <c r="B4663" s="68" t="n"/>
      <c r="C4663" s="68" t="n"/>
      <c r="D4663" s="68" t="n"/>
    </row>
    <row r="4664">
      <c r="A4664" s="68" t="n"/>
      <c r="B4664" s="68" t="n"/>
      <c r="C4664" s="68" t="n"/>
      <c r="D4664" s="68" t="n"/>
    </row>
    <row r="4665">
      <c r="A4665" s="68" t="n"/>
      <c r="B4665" s="68" t="n"/>
      <c r="C4665" s="68" t="n"/>
      <c r="D4665" s="68" t="n"/>
    </row>
    <row r="4666">
      <c r="A4666" s="68" t="n"/>
      <c r="B4666" s="68" t="n"/>
      <c r="C4666" s="68" t="n"/>
      <c r="D4666" s="68" t="n"/>
    </row>
    <row r="4667">
      <c r="A4667" s="68" t="n"/>
      <c r="B4667" s="68" t="n"/>
      <c r="C4667" s="68" t="n"/>
      <c r="D4667" s="68" t="n"/>
    </row>
    <row r="4668">
      <c r="A4668" s="68" t="n"/>
      <c r="B4668" s="68" t="n"/>
      <c r="C4668" s="68" t="n"/>
      <c r="D4668" s="68" t="n"/>
    </row>
    <row r="4669">
      <c r="A4669" s="68" t="n"/>
      <c r="B4669" s="68" t="n"/>
      <c r="C4669" s="68" t="n"/>
      <c r="D4669" s="68" t="n"/>
    </row>
    <row r="4670">
      <c r="A4670" s="68" t="n"/>
      <c r="B4670" s="68" t="n"/>
      <c r="C4670" s="68" t="n"/>
      <c r="D4670" s="68" t="n"/>
    </row>
    <row r="4671">
      <c r="A4671" s="68" t="n"/>
      <c r="B4671" s="68" t="n"/>
      <c r="C4671" s="68" t="n"/>
      <c r="D4671" s="68" t="n"/>
    </row>
    <row r="4672">
      <c r="A4672" s="68" t="n"/>
      <c r="B4672" s="68" t="n"/>
      <c r="C4672" s="68" t="n"/>
      <c r="D4672" s="68" t="n"/>
    </row>
    <row r="4673">
      <c r="A4673" s="68" t="n"/>
      <c r="B4673" s="68" t="n"/>
      <c r="C4673" s="68" t="n"/>
      <c r="D4673" s="68" t="n"/>
    </row>
    <row r="4674">
      <c r="A4674" s="68" t="n"/>
      <c r="B4674" s="68" t="n"/>
      <c r="C4674" s="68" t="n"/>
      <c r="D4674" s="68" t="n"/>
    </row>
    <row r="4675">
      <c r="A4675" s="68" t="n"/>
      <c r="B4675" s="68" t="n"/>
      <c r="C4675" s="68" t="n"/>
      <c r="D4675" s="68" t="n"/>
    </row>
    <row r="4676">
      <c r="A4676" s="68" t="n"/>
      <c r="B4676" s="68" t="n"/>
      <c r="C4676" s="68" t="n"/>
      <c r="D4676" s="68" t="n"/>
    </row>
    <row r="4677">
      <c r="A4677" s="68" t="n"/>
      <c r="B4677" s="68" t="n"/>
      <c r="C4677" s="68" t="n"/>
      <c r="D4677" s="68" t="n"/>
    </row>
    <row r="4678">
      <c r="A4678" s="68" t="n"/>
      <c r="B4678" s="68" t="n"/>
      <c r="C4678" s="68" t="n"/>
      <c r="D4678" s="68" t="n"/>
    </row>
    <row r="4679">
      <c r="A4679" s="68" t="n"/>
      <c r="B4679" s="68" t="n"/>
      <c r="C4679" s="68" t="n"/>
      <c r="D4679" s="68" t="n"/>
    </row>
    <row r="4680">
      <c r="A4680" s="68" t="n"/>
      <c r="B4680" s="68" t="n"/>
      <c r="C4680" s="68" t="n"/>
      <c r="D4680" s="68" t="n"/>
    </row>
    <row r="4681">
      <c r="A4681" s="68" t="n"/>
      <c r="B4681" s="68" t="n"/>
      <c r="C4681" s="68" t="n"/>
      <c r="D4681" s="68" t="n"/>
    </row>
    <row r="4682">
      <c r="A4682" s="68" t="n"/>
      <c r="B4682" s="68" t="n"/>
      <c r="C4682" s="68" t="n"/>
      <c r="D4682" s="68" t="n"/>
    </row>
    <row r="4683">
      <c r="A4683" s="68" t="n"/>
      <c r="B4683" s="68" t="n"/>
      <c r="C4683" s="68" t="n"/>
      <c r="D4683" s="68" t="n"/>
    </row>
    <row r="4684">
      <c r="A4684" s="68" t="n"/>
      <c r="B4684" s="68" t="n"/>
      <c r="C4684" s="68" t="n"/>
      <c r="D4684" s="68" t="n"/>
    </row>
    <row r="4685">
      <c r="A4685" s="68" t="n"/>
      <c r="B4685" s="68" t="n"/>
      <c r="C4685" s="68" t="n"/>
      <c r="D4685" s="68" t="n"/>
    </row>
    <row r="4686">
      <c r="A4686" s="68" t="n"/>
      <c r="B4686" s="68" t="n"/>
      <c r="C4686" s="68" t="n"/>
      <c r="D4686" s="68" t="n"/>
    </row>
    <row r="4687">
      <c r="A4687" s="68" t="n"/>
      <c r="B4687" s="68" t="n"/>
      <c r="C4687" s="68" t="n"/>
      <c r="D4687" s="68" t="n"/>
    </row>
    <row r="4688">
      <c r="A4688" s="68" t="n"/>
      <c r="B4688" s="68" t="n"/>
      <c r="C4688" s="68" t="n"/>
      <c r="D4688" s="68" t="n"/>
    </row>
    <row r="4689">
      <c r="A4689" s="68" t="n"/>
      <c r="B4689" s="68" t="n"/>
      <c r="C4689" s="68" t="n"/>
      <c r="D4689" s="68" t="n"/>
    </row>
    <row r="4690">
      <c r="A4690" s="68" t="n"/>
      <c r="B4690" s="68" t="n"/>
      <c r="C4690" s="68" t="n"/>
      <c r="D4690" s="68" t="n"/>
    </row>
    <row r="4691">
      <c r="A4691" s="68" t="n"/>
      <c r="B4691" s="68" t="n"/>
      <c r="C4691" s="68" t="n"/>
      <c r="D4691" s="68" t="n"/>
    </row>
    <row r="4692">
      <c r="A4692" s="68" t="n"/>
      <c r="B4692" s="68" t="n"/>
      <c r="C4692" s="68" t="n"/>
      <c r="D4692" s="68" t="n"/>
    </row>
    <row r="4693">
      <c r="A4693" s="68" t="n"/>
      <c r="B4693" s="68" t="n"/>
      <c r="C4693" s="68" t="n"/>
      <c r="D4693" s="68" t="n"/>
    </row>
    <row r="4694">
      <c r="A4694" s="68" t="n"/>
      <c r="B4694" s="68" t="n"/>
      <c r="C4694" s="68" t="n"/>
      <c r="D4694" s="68" t="n"/>
    </row>
    <row r="4695">
      <c r="A4695" s="68" t="n"/>
      <c r="B4695" s="68" t="n"/>
      <c r="C4695" s="68" t="n"/>
      <c r="D4695" s="68" t="n"/>
      <c r="E4695" s="68" t="n"/>
    </row>
    <row r="4696">
      <c r="A4696" s="68" t="n"/>
      <c r="B4696" s="68" t="n"/>
      <c r="C4696" s="68" t="n"/>
      <c r="D4696" s="68" t="n"/>
      <c r="E4696" s="68" t="n"/>
    </row>
    <row r="4697">
      <c r="A4697" s="68" t="n"/>
      <c r="B4697" s="68" t="n"/>
      <c r="C4697" s="68" t="n"/>
      <c r="D4697" s="68" t="n"/>
      <c r="E4697" s="68" t="n"/>
    </row>
    <row r="4698">
      <c r="A4698" s="68" t="n"/>
      <c r="B4698" s="68" t="n"/>
      <c r="C4698" s="68" t="n"/>
      <c r="D4698" s="68" t="n"/>
      <c r="E4698" s="68" t="n"/>
    </row>
    <row r="4699">
      <c r="A4699" s="68" t="n"/>
      <c r="B4699" s="68" t="n"/>
      <c r="C4699" s="68" t="n"/>
      <c r="D4699" s="68" t="n"/>
      <c r="E4699" s="68" t="n"/>
    </row>
    <row r="4700">
      <c r="A4700" s="68" t="n"/>
      <c r="B4700" s="68" t="n"/>
      <c r="C4700" s="68" t="n"/>
      <c r="D4700" s="68" t="n"/>
      <c r="E4700" s="68" t="n"/>
    </row>
    <row r="4701">
      <c r="A4701" s="68" t="n"/>
      <c r="B4701" s="68" t="n"/>
      <c r="C4701" s="68" t="n"/>
      <c r="D4701" s="68" t="n"/>
      <c r="E4701" s="68" t="n"/>
    </row>
    <row r="4702">
      <c r="A4702" s="68" t="n"/>
      <c r="B4702" s="68" t="n"/>
      <c r="C4702" s="68" t="n"/>
      <c r="D4702" s="68" t="n"/>
      <c r="E4702" s="68" t="n"/>
    </row>
    <row r="4703">
      <c r="A4703" s="68" t="n"/>
      <c r="B4703" s="68" t="n"/>
      <c r="C4703" s="68" t="n"/>
      <c r="D4703" s="68" t="n"/>
      <c r="E4703" s="68" t="n"/>
    </row>
    <row r="4704">
      <c r="A4704" s="68" t="n"/>
      <c r="B4704" s="68" t="n"/>
      <c r="C4704" s="68" t="n"/>
      <c r="D4704" s="68" t="n"/>
      <c r="E4704" s="68" t="n"/>
    </row>
    <row r="4705">
      <c r="A4705" s="68" t="n"/>
      <c r="B4705" s="68" t="n"/>
      <c r="C4705" s="68" t="n"/>
      <c r="D4705" s="68" t="n"/>
      <c r="E4705" s="68" t="n"/>
    </row>
    <row r="4706">
      <c r="A4706" s="68" t="n"/>
      <c r="B4706" s="68" t="n"/>
      <c r="C4706" s="68" t="n"/>
      <c r="D4706" s="68" t="n"/>
      <c r="E4706" s="68" t="n"/>
    </row>
    <row r="4707">
      <c r="A4707" s="68" t="n"/>
      <c r="B4707" s="68" t="n"/>
      <c r="C4707" s="68" t="n"/>
      <c r="D4707" s="68" t="n"/>
      <c r="E4707" s="68" t="n"/>
    </row>
    <row r="4708">
      <c r="A4708" s="68" t="n"/>
      <c r="B4708" s="68" t="n"/>
      <c r="C4708" s="68" t="n"/>
      <c r="D4708" s="68" t="n"/>
      <c r="E4708" s="68" t="n"/>
    </row>
    <row r="4709">
      <c r="A4709" s="68" t="n"/>
      <c r="B4709" s="68" t="n"/>
      <c r="C4709" s="68" t="n"/>
      <c r="D4709" s="68" t="n"/>
      <c r="E4709" s="68" t="n"/>
    </row>
    <row r="4710">
      <c r="A4710" s="68" t="n"/>
      <c r="B4710" s="68" t="n"/>
      <c r="C4710" s="68" t="n"/>
      <c r="D4710" s="68" t="n"/>
      <c r="E4710" s="68" t="n"/>
    </row>
    <row r="4711">
      <c r="A4711" s="68" t="n"/>
      <c r="B4711" s="68" t="n"/>
      <c r="C4711" s="68" t="n"/>
      <c r="D4711" s="68" t="n"/>
      <c r="E4711" s="68" t="n"/>
    </row>
    <row r="4712">
      <c r="A4712" s="68" t="n"/>
      <c r="B4712" s="68" t="n"/>
      <c r="C4712" s="68" t="n"/>
      <c r="D4712" s="68" t="n"/>
      <c r="E4712" s="68" t="n"/>
    </row>
    <row r="4713">
      <c r="A4713" s="68" t="n"/>
      <c r="B4713" s="68" t="n"/>
      <c r="C4713" s="68" t="n"/>
      <c r="D4713" s="68" t="n"/>
      <c r="E4713" s="68" t="n"/>
    </row>
    <row r="4714">
      <c r="A4714" s="68" t="n"/>
      <c r="B4714" s="68" t="n"/>
      <c r="C4714" s="68" t="n"/>
      <c r="D4714" s="68" t="n"/>
      <c r="E4714" s="68" t="n"/>
    </row>
    <row r="4715">
      <c r="A4715" s="68" t="n"/>
      <c r="B4715" s="68" t="n"/>
      <c r="C4715" s="68" t="n"/>
      <c r="D4715" s="68" t="n"/>
      <c r="E4715" s="68" t="n"/>
    </row>
    <row r="4716">
      <c r="A4716" s="68" t="n"/>
      <c r="B4716" s="68" t="n"/>
      <c r="C4716" s="68" t="n"/>
      <c r="D4716" s="68" t="n"/>
      <c r="E4716" s="68" t="n"/>
    </row>
    <row r="4717">
      <c r="A4717" s="68" t="n"/>
      <c r="B4717" s="68" t="n"/>
      <c r="C4717" s="68" t="n"/>
      <c r="D4717" s="68" t="n"/>
      <c r="E4717" s="68" t="n"/>
    </row>
    <row r="4718">
      <c r="A4718" s="68" t="n"/>
      <c r="B4718" s="68" t="n"/>
      <c r="C4718" s="68" t="n"/>
      <c r="D4718" s="68" t="n"/>
      <c r="E4718" s="68" t="n"/>
    </row>
    <row r="4719">
      <c r="A4719" s="68" t="n"/>
      <c r="B4719" s="68" t="n"/>
      <c r="C4719" s="68" t="n"/>
      <c r="D4719" s="68" t="n"/>
      <c r="E4719" s="68" t="n"/>
    </row>
    <row r="4720">
      <c r="A4720" s="68" t="n"/>
      <c r="B4720" s="68" t="n"/>
      <c r="C4720" s="68" t="n"/>
      <c r="D4720" s="68" t="n"/>
      <c r="E4720" s="68" t="n"/>
    </row>
    <row r="4721">
      <c r="A4721" s="68" t="n"/>
      <c r="B4721" s="68" t="n"/>
      <c r="C4721" s="68" t="n"/>
      <c r="D4721" s="68" t="n"/>
      <c r="E4721" s="68" t="n"/>
    </row>
    <row r="4722">
      <c r="A4722" s="68" t="n"/>
      <c r="B4722" s="68" t="n"/>
      <c r="C4722" s="68" t="n"/>
      <c r="D4722" s="68" t="n"/>
      <c r="E4722" s="68" t="n"/>
    </row>
    <row r="4723">
      <c r="A4723" s="68" t="n"/>
      <c r="B4723" s="68" t="n"/>
      <c r="C4723" s="68" t="n"/>
      <c r="D4723" s="68" t="n"/>
      <c r="E4723" s="68" t="n"/>
    </row>
    <row r="4724">
      <c r="A4724" s="68" t="n"/>
      <c r="B4724" s="68" t="n"/>
      <c r="C4724" s="68" t="n"/>
      <c r="D4724" s="68" t="n"/>
      <c r="E4724" s="68" t="n"/>
    </row>
    <row r="4725">
      <c r="A4725" s="68" t="n"/>
      <c r="B4725" s="68" t="n"/>
      <c r="C4725" s="68" t="n"/>
      <c r="D4725" s="68" t="n"/>
      <c r="E4725" s="68" t="n"/>
    </row>
    <row r="4726">
      <c r="A4726" s="68" t="n"/>
      <c r="B4726" s="68" t="n"/>
      <c r="C4726" s="68" t="n"/>
      <c r="D4726" s="68" t="n"/>
      <c r="E4726" s="68" t="n"/>
    </row>
    <row r="4727">
      <c r="A4727" s="68" t="n"/>
      <c r="B4727" s="68" t="n"/>
      <c r="C4727" s="68" t="n"/>
      <c r="D4727" s="68" t="n"/>
      <c r="E4727" s="68" t="n"/>
    </row>
    <row r="4728">
      <c r="A4728" s="68" t="n"/>
      <c r="B4728" s="68" t="n"/>
      <c r="C4728" s="68" t="n"/>
      <c r="D4728" s="68" t="n"/>
      <c r="E4728" s="68" t="n"/>
    </row>
    <row r="4729">
      <c r="A4729" s="68" t="n"/>
      <c r="B4729" s="68" t="n"/>
      <c r="C4729" s="68" t="n"/>
      <c r="D4729" s="68" t="n"/>
      <c r="E4729" s="68" t="n"/>
    </row>
    <row r="4730">
      <c r="A4730" s="68" t="n"/>
      <c r="B4730" s="68" t="n"/>
      <c r="C4730" s="68" t="n"/>
      <c r="D4730" s="68" t="n"/>
      <c r="E4730" s="68" t="n"/>
    </row>
    <row r="4731">
      <c r="A4731" s="68" t="n"/>
      <c r="B4731" s="68" t="n"/>
      <c r="C4731" s="68" t="n"/>
      <c r="D4731" s="68" t="n"/>
      <c r="E4731" s="68" t="n"/>
    </row>
    <row r="4732">
      <c r="A4732" s="68" t="n"/>
      <c r="B4732" s="68" t="n"/>
      <c r="C4732" s="68" t="n"/>
      <c r="D4732" s="68" t="n"/>
      <c r="E4732" s="68" t="n"/>
    </row>
    <row r="4733">
      <c r="A4733" s="68" t="n"/>
      <c r="B4733" s="68" t="n"/>
      <c r="C4733" s="68" t="n"/>
      <c r="D4733" s="68" t="n"/>
      <c r="E4733" s="68" t="n"/>
    </row>
    <row r="4734">
      <c r="A4734" s="68" t="n"/>
      <c r="B4734" s="68" t="n"/>
      <c r="C4734" s="68" t="n"/>
      <c r="D4734" s="68" t="n"/>
      <c r="E4734" s="68" t="n"/>
    </row>
    <row r="4735">
      <c r="A4735" s="68" t="n"/>
      <c r="B4735" s="68" t="n"/>
      <c r="C4735" s="68" t="n"/>
      <c r="D4735" s="68" t="n"/>
      <c r="E4735" s="68" t="n"/>
    </row>
    <row r="4736">
      <c r="A4736" s="68" t="n"/>
      <c r="B4736" s="68" t="n"/>
      <c r="C4736" s="68" t="n"/>
      <c r="D4736" s="68" t="n"/>
      <c r="E4736" s="68" t="n"/>
    </row>
    <row r="4737">
      <c r="A4737" s="68" t="n"/>
      <c r="B4737" s="68" t="n"/>
      <c r="C4737" s="68" t="n"/>
      <c r="D4737" s="68" t="n"/>
      <c r="E4737" s="68" t="n"/>
    </row>
    <row r="4738">
      <c r="A4738" s="68" t="n"/>
      <c r="B4738" s="68" t="n"/>
      <c r="C4738" s="68" t="n"/>
      <c r="D4738" s="68" t="n"/>
      <c r="E4738" s="68" t="n"/>
    </row>
    <row r="4739">
      <c r="A4739" s="68" t="n"/>
      <c r="B4739" s="68" t="n"/>
      <c r="C4739" s="68" t="n"/>
      <c r="D4739" s="68" t="n"/>
      <c r="E4739" s="68" t="n"/>
    </row>
    <row r="4740">
      <c r="A4740" s="68" t="n"/>
      <c r="B4740" s="68" t="n"/>
      <c r="C4740" s="68" t="n"/>
      <c r="D4740" s="68" t="n"/>
      <c r="E4740" s="68" t="n"/>
    </row>
    <row r="4741">
      <c r="A4741" s="68" t="n"/>
      <c r="B4741" s="68" t="n"/>
      <c r="C4741" s="68" t="n"/>
      <c r="D4741" s="68" t="n"/>
      <c r="E4741" s="68" t="n"/>
    </row>
    <row r="4742">
      <c r="A4742" s="68" t="n"/>
      <c r="B4742" s="68" t="n"/>
      <c r="C4742" s="68" t="n"/>
      <c r="D4742" s="68" t="n"/>
      <c r="E4742" s="68" t="n"/>
    </row>
    <row r="4743">
      <c r="A4743" s="68" t="n"/>
      <c r="B4743" s="68" t="n"/>
      <c r="C4743" s="68" t="n"/>
      <c r="D4743" s="68" t="n"/>
      <c r="E4743" s="68" t="n"/>
    </row>
    <row r="4744">
      <c r="A4744" s="68" t="n"/>
      <c r="B4744" s="68" t="n"/>
      <c r="C4744" s="68" t="n"/>
      <c r="D4744" s="68" t="n"/>
      <c r="E4744" s="68" t="n"/>
    </row>
    <row r="4745">
      <c r="A4745" s="68" t="n"/>
      <c r="B4745" s="68" t="n"/>
      <c r="C4745" s="68" t="n"/>
      <c r="D4745" s="68" t="n"/>
      <c r="E4745" s="68" t="n"/>
    </row>
    <row r="4746">
      <c r="A4746" s="68" t="n"/>
      <c r="B4746" s="68" t="n"/>
      <c r="C4746" s="68" t="n"/>
      <c r="D4746" s="68" t="n"/>
      <c r="E4746" s="68" t="n"/>
    </row>
    <row r="4747">
      <c r="A4747" s="68" t="n"/>
      <c r="B4747" s="68" t="n"/>
      <c r="C4747" s="68" t="n"/>
      <c r="D4747" s="68" t="n"/>
      <c r="E4747" s="68" t="n"/>
    </row>
    <row r="4748">
      <c r="A4748" s="68" t="n"/>
      <c r="B4748" s="68" t="n"/>
      <c r="C4748" s="68" t="n"/>
      <c r="D4748" s="68" t="n"/>
      <c r="E4748" s="68" t="n"/>
    </row>
    <row r="4749">
      <c r="A4749" s="68" t="n"/>
      <c r="B4749" s="68" t="n"/>
      <c r="C4749" s="68" t="n"/>
      <c r="D4749" s="68" t="n"/>
      <c r="E4749" s="68" t="n"/>
    </row>
    <row r="4750">
      <c r="A4750" s="68" t="n"/>
      <c r="B4750" s="68" t="n"/>
      <c r="C4750" s="68" t="n"/>
      <c r="D4750" s="68" t="n"/>
      <c r="E4750" s="68" t="n"/>
    </row>
    <row r="4751">
      <c r="A4751" s="68" t="n"/>
      <c r="B4751" s="68" t="n"/>
      <c r="C4751" s="68" t="n"/>
      <c r="D4751" s="68" t="n"/>
      <c r="E4751" s="68" t="n"/>
    </row>
    <row r="4752">
      <c r="A4752" s="68" t="n"/>
      <c r="B4752" s="68" t="n"/>
      <c r="C4752" s="68" t="n"/>
      <c r="D4752" s="68" t="n"/>
      <c r="E4752" s="68" t="n"/>
    </row>
    <row r="4753">
      <c r="A4753" s="68" t="n"/>
      <c r="B4753" s="68" t="n"/>
      <c r="C4753" s="68" t="n"/>
      <c r="D4753" s="68" t="n"/>
      <c r="E4753" s="68" t="n"/>
    </row>
    <row r="4754">
      <c r="A4754" s="68" t="n"/>
      <c r="B4754" s="68" t="n"/>
      <c r="C4754" s="68" t="n"/>
      <c r="D4754" s="68" t="n"/>
      <c r="E4754" s="68" t="n"/>
    </row>
    <row r="4755">
      <c r="A4755" s="68" t="n"/>
      <c r="B4755" s="68" t="n"/>
      <c r="C4755" s="68" t="n"/>
      <c r="D4755" s="68" t="n"/>
      <c r="E4755" s="68" t="n"/>
    </row>
    <row r="4756">
      <c r="A4756" s="68" t="n"/>
      <c r="B4756" s="68" t="n"/>
      <c r="C4756" s="68" t="n"/>
      <c r="D4756" s="68" t="n"/>
      <c r="E4756" s="68" t="n"/>
    </row>
    <row r="4757">
      <c r="A4757" s="68" t="n"/>
      <c r="B4757" s="68" t="n"/>
      <c r="C4757" s="68" t="n"/>
      <c r="D4757" s="68" t="n"/>
      <c r="E4757" s="68" t="n"/>
    </row>
    <row r="4758">
      <c r="A4758" s="68" t="n"/>
      <c r="B4758" s="68" t="n"/>
      <c r="C4758" s="68" t="n"/>
      <c r="D4758" s="68" t="n"/>
      <c r="E4758" s="68" t="n"/>
    </row>
    <row r="4759">
      <c r="A4759" s="68" t="n"/>
      <c r="B4759" s="68" t="n"/>
      <c r="C4759" s="68" t="n"/>
      <c r="D4759" s="68" t="n"/>
      <c r="E4759" s="68" t="n"/>
    </row>
    <row r="4760">
      <c r="A4760" s="68" t="n"/>
      <c r="B4760" s="68" t="n"/>
      <c r="C4760" s="68" t="n"/>
      <c r="D4760" s="68" t="n"/>
      <c r="E4760" s="68" t="n"/>
    </row>
    <row r="4761">
      <c r="A4761" s="68" t="n"/>
      <c r="B4761" s="68" t="n"/>
      <c r="C4761" s="68" t="n"/>
      <c r="D4761" s="68" t="n"/>
      <c r="E4761" s="68" t="n"/>
    </row>
    <row r="4762">
      <c r="A4762" s="68" t="n"/>
      <c r="B4762" s="68" t="n"/>
      <c r="C4762" s="68" t="n"/>
      <c r="D4762" s="68" t="n"/>
      <c r="E4762" s="68" t="n"/>
    </row>
    <row r="4763">
      <c r="A4763" s="68" t="n"/>
      <c r="B4763" s="68" t="n"/>
      <c r="C4763" s="68" t="n"/>
      <c r="D4763" s="68" t="n"/>
      <c r="E4763" s="68" t="n"/>
    </row>
    <row r="4764">
      <c r="A4764" s="68" t="n"/>
      <c r="B4764" s="68" t="n"/>
      <c r="C4764" s="68" t="n"/>
      <c r="D4764" s="68" t="n"/>
      <c r="E4764" s="68" t="n"/>
    </row>
    <row r="4765">
      <c r="A4765" s="68" t="n"/>
      <c r="B4765" s="68" t="n"/>
      <c r="C4765" s="68" t="n"/>
      <c r="D4765" s="68" t="n"/>
      <c r="E4765" s="68" t="n"/>
    </row>
    <row r="4766">
      <c r="A4766" s="68" t="n"/>
      <c r="B4766" s="68" t="n"/>
      <c r="C4766" s="68" t="n"/>
      <c r="D4766" s="68" t="n"/>
      <c r="E4766" s="68" t="n"/>
    </row>
    <row r="4767">
      <c r="A4767" s="68" t="n"/>
      <c r="B4767" s="68" t="n"/>
      <c r="C4767" s="68" t="n"/>
      <c r="D4767" s="68" t="n"/>
      <c r="E4767" s="68" t="n"/>
    </row>
    <row r="4768">
      <c r="A4768" s="68" t="n"/>
      <c r="B4768" s="68" t="n"/>
      <c r="C4768" s="68" t="n"/>
      <c r="D4768" s="68" t="n"/>
      <c r="E4768" s="68" t="n"/>
    </row>
    <row r="4769">
      <c r="A4769" s="68" t="n"/>
      <c r="B4769" s="68" t="n"/>
      <c r="C4769" s="68" t="n"/>
      <c r="D4769" s="68" t="n"/>
      <c r="E4769" s="68" t="n"/>
    </row>
    <row r="4770">
      <c r="A4770" s="68" t="n"/>
      <c r="B4770" s="68" t="n"/>
      <c r="C4770" s="68" t="n"/>
      <c r="D4770" s="68" t="n"/>
      <c r="E4770" s="68" t="n"/>
    </row>
    <row r="4771">
      <c r="A4771" s="68" t="n"/>
      <c r="B4771" s="68" t="n"/>
      <c r="C4771" s="68" t="n"/>
      <c r="D4771" s="68" t="n"/>
      <c r="E4771" s="68" t="n"/>
    </row>
    <row r="4772">
      <c r="A4772" s="68" t="n"/>
      <c r="B4772" s="68" t="n"/>
      <c r="C4772" s="68" t="n"/>
      <c r="D4772" s="68" t="n"/>
      <c r="E4772" s="68" t="n"/>
    </row>
    <row r="4773">
      <c r="A4773" s="68" t="n"/>
      <c r="B4773" s="68" t="n"/>
      <c r="C4773" s="68" t="n"/>
      <c r="D4773" s="68" t="n"/>
      <c r="E4773" s="68" t="n"/>
    </row>
    <row r="4774">
      <c r="A4774" s="68" t="n"/>
      <c r="B4774" s="68" t="n"/>
      <c r="C4774" s="68" t="n"/>
      <c r="D4774" s="68" t="n"/>
      <c r="E4774" s="68" t="n"/>
    </row>
    <row r="4775">
      <c r="A4775" s="68" t="n"/>
      <c r="B4775" s="68" t="n"/>
      <c r="C4775" s="68" t="n"/>
      <c r="D4775" s="68" t="n"/>
      <c r="E4775" s="68" t="n"/>
    </row>
    <row r="4776">
      <c r="A4776" s="68" t="n"/>
      <c r="B4776" s="68" t="n"/>
      <c r="C4776" s="68" t="n"/>
      <c r="D4776" s="68" t="n"/>
      <c r="E4776" s="68" t="n"/>
    </row>
    <row r="4777">
      <c r="A4777" s="68" t="n"/>
      <c r="B4777" s="68" t="n"/>
      <c r="C4777" s="68" t="n"/>
      <c r="D4777" s="68" t="n"/>
      <c r="E4777" s="68" t="n"/>
    </row>
    <row r="4778">
      <c r="A4778" s="68" t="n"/>
      <c r="B4778" s="68" t="n"/>
      <c r="C4778" s="68" t="n"/>
      <c r="D4778" s="68" t="n"/>
      <c r="E4778" s="68" t="n"/>
    </row>
    <row r="4779">
      <c r="A4779" s="68" t="n"/>
      <c r="B4779" s="68" t="n"/>
      <c r="C4779" s="68" t="n"/>
      <c r="D4779" s="68" t="n"/>
      <c r="E4779" s="68" t="n"/>
    </row>
    <row r="4780">
      <c r="A4780" s="68" t="n"/>
      <c r="B4780" s="68" t="n"/>
      <c r="C4780" s="68" t="n"/>
      <c r="D4780" s="68" t="n"/>
      <c r="E4780" s="68" t="n"/>
    </row>
    <row r="4781">
      <c r="A4781" s="68" t="n"/>
      <c r="B4781" s="68" t="n"/>
      <c r="C4781" s="68" t="n"/>
      <c r="D4781" s="68" t="n"/>
      <c r="E4781" s="68" t="n"/>
    </row>
    <row r="4782">
      <c r="A4782" s="68" t="n"/>
      <c r="B4782" s="68" t="n"/>
      <c r="C4782" s="68" t="n"/>
      <c r="D4782" s="68" t="n"/>
      <c r="E4782" s="68" t="n"/>
    </row>
    <row r="4783">
      <c r="A4783" s="68" t="n"/>
      <c r="B4783" s="68" t="n"/>
      <c r="C4783" s="68" t="n"/>
      <c r="D4783" s="68" t="n"/>
      <c r="E4783" s="68" t="n"/>
    </row>
    <row r="4784">
      <c r="A4784" s="68" t="n"/>
      <c r="B4784" s="68" t="n"/>
      <c r="C4784" s="68" t="n"/>
      <c r="D4784" s="68" t="n"/>
      <c r="E4784" s="68" t="n"/>
    </row>
    <row r="4785">
      <c r="A4785" s="68" t="n"/>
      <c r="B4785" s="68" t="n"/>
      <c r="C4785" s="68" t="n"/>
      <c r="D4785" s="68" t="n"/>
      <c r="E4785" s="68" t="n"/>
    </row>
    <row r="4786">
      <c r="A4786" s="68" t="n"/>
      <c r="B4786" s="68" t="n"/>
      <c r="C4786" s="68" t="n"/>
      <c r="D4786" s="68" t="n"/>
      <c r="E4786" s="68" t="n"/>
    </row>
    <row r="4787">
      <c r="A4787" s="68" t="n"/>
      <c r="B4787" s="68" t="n"/>
      <c r="C4787" s="68" t="n"/>
      <c r="D4787" s="68" t="n"/>
      <c r="E4787" s="68" t="n"/>
    </row>
    <row r="4788">
      <c r="A4788" s="68" t="n"/>
      <c r="B4788" s="68" t="n"/>
      <c r="C4788" s="68" t="n"/>
      <c r="D4788" s="68" t="n"/>
      <c r="E4788" s="68" t="n"/>
    </row>
    <row r="4789">
      <c r="A4789" s="68" t="n"/>
      <c r="B4789" s="68" t="n"/>
      <c r="C4789" s="68" t="n"/>
      <c r="D4789" s="68" t="n"/>
      <c r="E4789" s="68" t="n"/>
    </row>
    <row r="4790">
      <c r="A4790" s="68" t="n"/>
      <c r="B4790" s="68" t="n"/>
      <c r="C4790" s="68" t="n"/>
      <c r="D4790" s="68" t="n"/>
      <c r="E4790" s="68" t="n"/>
    </row>
    <row r="4791">
      <c r="A4791" s="68" t="n"/>
      <c r="B4791" s="68" t="n"/>
      <c r="C4791" s="68" t="n"/>
      <c r="D4791" s="68" t="n"/>
      <c r="E4791" s="68" t="n"/>
    </row>
    <row r="4792">
      <c r="A4792" s="68" t="n"/>
      <c r="B4792" s="68" t="n"/>
      <c r="C4792" s="68" t="n"/>
      <c r="D4792" s="68" t="n"/>
      <c r="E4792" s="68" t="n"/>
    </row>
    <row r="4793">
      <c r="A4793" s="68" t="n"/>
      <c r="B4793" s="68" t="n"/>
      <c r="C4793" s="68" t="n"/>
      <c r="D4793" s="68" t="n"/>
      <c r="E4793" s="68" t="n"/>
    </row>
    <row r="4794">
      <c r="A4794" s="68" t="n"/>
      <c r="B4794" s="68" t="n"/>
      <c r="C4794" s="68" t="n"/>
      <c r="D4794" s="68" t="n"/>
      <c r="E4794" s="68" t="n"/>
    </row>
    <row r="4795">
      <c r="A4795" s="68" t="n"/>
      <c r="B4795" s="68" t="n"/>
      <c r="C4795" s="68" t="n"/>
      <c r="D4795" s="68" t="n"/>
      <c r="E4795" s="68" t="n"/>
    </row>
    <row r="4796">
      <c r="A4796" s="68" t="n"/>
      <c r="B4796" s="68" t="n"/>
      <c r="C4796" s="68" t="n"/>
      <c r="D4796" s="68" t="n"/>
      <c r="E4796" s="68" t="n"/>
    </row>
    <row r="4797">
      <c r="A4797" s="68" t="n"/>
      <c r="B4797" s="68" t="n"/>
      <c r="C4797" s="68" t="n"/>
      <c r="D4797" s="68" t="n"/>
      <c r="E4797" s="68" t="n"/>
    </row>
    <row r="4798">
      <c r="A4798" s="68" t="n"/>
      <c r="B4798" s="68" t="n"/>
      <c r="C4798" s="68" t="n"/>
      <c r="D4798" s="68" t="n"/>
      <c r="E4798" s="68" t="n"/>
    </row>
    <row r="4799">
      <c r="A4799" s="68" t="n"/>
      <c r="B4799" s="68" t="n"/>
      <c r="C4799" s="68" t="n"/>
      <c r="D4799" s="68" t="n"/>
      <c r="E4799" s="68" t="n"/>
    </row>
    <row r="4800">
      <c r="A4800" s="68" t="n"/>
      <c r="B4800" s="68" t="n"/>
      <c r="C4800" s="68" t="n"/>
      <c r="D4800" s="68" t="n"/>
      <c r="E4800" s="68" t="n"/>
    </row>
    <row r="4801">
      <c r="A4801" s="68" t="n"/>
      <c r="B4801" s="68" t="n"/>
      <c r="C4801" s="68" t="n"/>
      <c r="D4801" s="68" t="n"/>
      <c r="E4801" s="68" t="n"/>
    </row>
    <row r="4802">
      <c r="A4802" s="68" t="n"/>
      <c r="B4802" s="68" t="n"/>
      <c r="C4802" s="68" t="n"/>
      <c r="D4802" s="68" t="n"/>
      <c r="E4802" s="68" t="n"/>
    </row>
    <row r="4803">
      <c r="A4803" s="68" t="n"/>
      <c r="B4803" s="68" t="n"/>
      <c r="C4803" s="68" t="n"/>
      <c r="D4803" s="68" t="n"/>
      <c r="E4803" s="68" t="n"/>
    </row>
    <row r="4804">
      <c r="A4804" s="68" t="n"/>
      <c r="B4804" s="68" t="n"/>
      <c r="C4804" s="68" t="n"/>
      <c r="D4804" s="68" t="n"/>
      <c r="E4804" s="68" t="n"/>
    </row>
    <row r="4805">
      <c r="A4805" s="68" t="n"/>
      <c r="B4805" s="68" t="n"/>
      <c r="C4805" s="68" t="n"/>
      <c r="D4805" s="68" t="n"/>
      <c r="E4805" s="68" t="n"/>
    </row>
    <row r="4806">
      <c r="A4806" s="68" t="n"/>
      <c r="B4806" s="68" t="n"/>
      <c r="C4806" s="68" t="n"/>
      <c r="D4806" s="68" t="n"/>
      <c r="E4806" s="68" t="n"/>
    </row>
    <row r="4807">
      <c r="A4807" s="68" t="n"/>
      <c r="B4807" s="68" t="n"/>
      <c r="C4807" s="68" t="n"/>
      <c r="D4807" s="68" t="n"/>
      <c r="E4807" s="68" t="n"/>
    </row>
    <row r="4808">
      <c r="A4808" s="68" t="n"/>
      <c r="B4808" s="68" t="n"/>
      <c r="C4808" s="68" t="n"/>
      <c r="D4808" s="68" t="n"/>
      <c r="E4808" s="68" t="n"/>
    </row>
    <row r="4809">
      <c r="A4809" s="68" t="n"/>
      <c r="B4809" s="68" t="n"/>
      <c r="C4809" s="68" t="n"/>
      <c r="D4809" s="68" t="n"/>
      <c r="E4809" s="68" t="n"/>
    </row>
    <row r="4810">
      <c r="A4810" s="68" t="n"/>
      <c r="B4810" s="68" t="n"/>
      <c r="C4810" s="68" t="n"/>
      <c r="D4810" s="68" t="n"/>
      <c r="E4810" s="68" t="n"/>
    </row>
    <row r="4811">
      <c r="A4811" s="68" t="n"/>
      <c r="B4811" s="68" t="n"/>
      <c r="C4811" s="68" t="n"/>
      <c r="D4811" s="68" t="n"/>
      <c r="E4811" s="68" t="n"/>
    </row>
    <row r="4812">
      <c r="A4812" s="68" t="n"/>
      <c r="B4812" s="68" t="n"/>
      <c r="C4812" s="68" t="n"/>
      <c r="D4812" s="68" t="n"/>
      <c r="E4812" s="68" t="n"/>
    </row>
    <row r="4813">
      <c r="A4813" s="68" t="n"/>
      <c r="B4813" s="68" t="n"/>
      <c r="C4813" s="68" t="n"/>
      <c r="D4813" s="68" t="n"/>
      <c r="E4813" s="68" t="n"/>
    </row>
    <row r="4814">
      <c r="A4814" s="68" t="n"/>
      <c r="B4814" s="68" t="n"/>
      <c r="C4814" s="68" t="n"/>
      <c r="D4814" s="68" t="n"/>
      <c r="E4814" s="68" t="n"/>
    </row>
    <row r="4815">
      <c r="E4815" s="68" t="n"/>
    </row>
    <row r="4816">
      <c r="E4816" s="68" t="n"/>
    </row>
    <row r="4817">
      <c r="E4817" s="68" t="n"/>
    </row>
    <row r="4818">
      <c r="E4818" s="68" t="n"/>
    </row>
    <row r="4819">
      <c r="E4819" s="68" t="n"/>
    </row>
    <row r="4820">
      <c r="E4820" s="68" t="n"/>
    </row>
    <row r="4821">
      <c r="E4821" s="68" t="n"/>
    </row>
    <row r="4822">
      <c r="E4822" s="68" t="n"/>
    </row>
    <row r="4823">
      <c r="E4823" s="68" t="n"/>
    </row>
    <row r="4824">
      <c r="E4824" s="68" t="n"/>
    </row>
    <row r="4825">
      <c r="E4825" s="68" t="n"/>
    </row>
    <row r="4826">
      <c r="E4826" s="68" t="n"/>
    </row>
    <row r="4827">
      <c r="E4827" s="68" t="n"/>
    </row>
    <row r="4828">
      <c r="E4828" s="68" t="n"/>
    </row>
    <row r="4829">
      <c r="E4829" s="68" t="n"/>
    </row>
    <row r="4830">
      <c r="E4830" s="68" t="n"/>
    </row>
    <row r="4831">
      <c r="E4831" s="68" t="n"/>
    </row>
    <row r="4832">
      <c r="E4832" s="68" t="n"/>
    </row>
    <row r="4833">
      <c r="E4833" s="68" t="n"/>
    </row>
    <row r="4834">
      <c r="E4834" s="68" t="n"/>
    </row>
    <row r="4835">
      <c r="E4835" s="68" t="n"/>
    </row>
    <row r="4836">
      <c r="E4836" s="68" t="n"/>
    </row>
    <row r="4837">
      <c r="E4837" s="68" t="n"/>
    </row>
    <row r="4838">
      <c r="E4838" s="68" t="n"/>
    </row>
    <row r="4839">
      <c r="E4839" s="68" t="n"/>
    </row>
    <row r="4840">
      <c r="E4840" s="68" t="n"/>
    </row>
    <row r="4841">
      <c r="E4841" s="68" t="n"/>
    </row>
    <row r="4842">
      <c r="E4842" s="68" t="n"/>
    </row>
    <row r="4843">
      <c r="E4843" s="68" t="n"/>
    </row>
    <row r="4844">
      <c r="E4844" s="68" t="n"/>
    </row>
    <row r="4845">
      <c r="E4845" s="68" t="n"/>
    </row>
    <row r="4846">
      <c r="E4846" s="68" t="n"/>
    </row>
    <row r="4847">
      <c r="E4847" s="68" t="n"/>
    </row>
    <row r="4848">
      <c r="E4848" s="68" t="n"/>
    </row>
    <row r="4849">
      <c r="E4849" s="68" t="n"/>
    </row>
    <row r="4850">
      <c r="E4850" s="68" t="n"/>
    </row>
    <row r="4851">
      <c r="E4851" s="68" t="n"/>
    </row>
    <row r="4852">
      <c r="E4852" s="68" t="n"/>
    </row>
    <row r="4853">
      <c r="E4853" s="68" t="n"/>
    </row>
    <row r="4854">
      <c r="E4854" s="6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Russell Lundholm and Richard Sloan</dc:creator>
  <dc:title xmlns:dc="http://purl.org/dc/elements/1.1/">eVal - Software for Valuation</dc:title>
  <dcterms:created xmlns:dcterms="http://purl.org/dc/terms/" xmlns:xsi="http://www.w3.org/2001/XMLSchema-instance" xsi:type="dcterms:W3CDTF">1999-05-11T20:42:00Z</dcterms:created>
  <dcterms:modified xmlns:dcterms="http://purl.org/dc/terms/" xmlns:xsi="http://www.w3.org/2001/XMLSchema-instance" xsi:type="dcterms:W3CDTF">2025-12-22T00:56:16Z</dcterms:modified>
  <cp:lastModifiedBy>Diana Li</cp:lastModifiedBy>
  <cp:lastPrinted>2006-02-16T23:58:00Z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DD4EB2B29A61D677B7404769FCE54078_43</vt:lpwstr>
  </property>
  <property name="KSOProductBuildVer" fmtid="{D5CDD505-2E9C-101B-9397-08002B2CF9AE}" pid="3">
    <vt:lpwstr xmlns:vt="http://schemas.openxmlformats.org/officeDocument/2006/docPropsVTypes">1033-6.11.0.8615</vt:lpwstr>
  </property>
</Properties>
</file>